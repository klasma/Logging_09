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46204</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46204</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46204</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46204</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46204</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46204</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30236-2025</t>
        </is>
      </c>
      <c r="B8" s="1" t="n">
        <v>45827</v>
      </c>
      <c r="C8" s="1" t="n">
        <v>46204</v>
      </c>
      <c r="D8" t="inlineStr">
        <is>
          <t>GOTLANDS LÄN</t>
        </is>
      </c>
      <c r="E8" t="inlineStr">
        <is>
          <t>GOTLAND</t>
        </is>
      </c>
      <c r="G8" t="n">
        <v>13.6</v>
      </c>
      <c r="H8" t="n">
        <v>10</v>
      </c>
      <c r="I8" t="n">
        <v>11</v>
      </c>
      <c r="J8" t="n">
        <v>9</v>
      </c>
      <c r="K8" t="n">
        <v>10</v>
      </c>
      <c r="L8" t="n">
        <v>0</v>
      </c>
      <c r="M8" t="n">
        <v>0</v>
      </c>
      <c r="N8" t="n">
        <v>0</v>
      </c>
      <c r="O8" t="n">
        <v>19</v>
      </c>
      <c r="P8" t="n">
        <v>10</v>
      </c>
      <c r="Q8" t="n">
        <v>34</v>
      </c>
      <c r="R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8">
        <f>HYPERLINK("https://klasma.github.io/Logging_0980/artfynd/A 30236-2025 artfynd.xlsx", "A 30236-2025")</f>
        <v/>
      </c>
      <c r="T8">
        <f>HYPERLINK("https://klasma.github.io/Logging_0980/kartor/A 30236-2025 karta.png", "A 30236-2025")</f>
        <v/>
      </c>
      <c r="V8">
        <f>HYPERLINK("https://klasma.github.io/Logging_0980/klagomål/A 30236-2025 FSC-klagomål.docx", "A 30236-2025")</f>
        <v/>
      </c>
      <c r="W8">
        <f>HYPERLINK("https://klasma.github.io/Logging_0980/klagomålsmail/A 30236-2025 FSC-klagomål mail.docx", "A 30236-2025")</f>
        <v/>
      </c>
      <c r="X8">
        <f>HYPERLINK("https://klasma.github.io/Logging_0980/tillsyn/A 30236-2025 tillsynsbegäran.docx", "A 30236-2025")</f>
        <v/>
      </c>
      <c r="Y8">
        <f>HYPERLINK("https://klasma.github.io/Logging_0980/tillsynsmail/A 30236-2025 tillsynsbegäran mail.docx", "A 30236-2025")</f>
        <v/>
      </c>
      <c r="Z8">
        <f>HYPERLINK("https://klasma.github.io/Logging_0980/fåglar/A 30236-2025 prioriterade fågelarter.docx", "A 30236-2025")</f>
        <v/>
      </c>
    </row>
    <row r="9" ht="15" customHeight="1">
      <c r="A9" t="inlineStr">
        <is>
          <t>A 30542-2025</t>
        </is>
      </c>
      <c r="B9" s="1" t="n">
        <v>45831</v>
      </c>
      <c r="C9" s="1" t="n">
        <v>46204</v>
      </c>
      <c r="D9" t="inlineStr">
        <is>
          <t>GOTLANDS LÄN</t>
        </is>
      </c>
      <c r="E9" t="inlineStr">
        <is>
          <t>GOTLAND</t>
        </is>
      </c>
      <c r="G9" t="n">
        <v>8.300000000000001</v>
      </c>
      <c r="H9" t="n">
        <v>7</v>
      </c>
      <c r="I9" t="n">
        <v>7</v>
      </c>
      <c r="J9" t="n">
        <v>14</v>
      </c>
      <c r="K9" t="n">
        <v>7</v>
      </c>
      <c r="L9" t="n">
        <v>2</v>
      </c>
      <c r="M9" t="n">
        <v>0</v>
      </c>
      <c r="N9" t="n">
        <v>0</v>
      </c>
      <c r="O9" t="n">
        <v>23</v>
      </c>
      <c r="P9" t="n">
        <v>9</v>
      </c>
      <c r="Q9" t="n">
        <v>34</v>
      </c>
      <c r="R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40235-2025</t>
        </is>
      </c>
      <c r="B10" s="1" t="n">
        <v>45894</v>
      </c>
      <c r="C10" s="1" t="n">
        <v>46204</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46204</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46204</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46204</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46204</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46204</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46204</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24575-2025</t>
        </is>
      </c>
      <c r="B17" s="1" t="n">
        <v>45798</v>
      </c>
      <c r="C17" s="1" t="n">
        <v>46204</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2222-2024</t>
        </is>
      </c>
      <c r="B18" s="1" t="n">
        <v>45309</v>
      </c>
      <c r="C18" s="1" t="n">
        <v>46204</v>
      </c>
      <c r="D18" t="inlineStr">
        <is>
          <t>GOTLANDS LÄN</t>
        </is>
      </c>
      <c r="E18" t="inlineStr">
        <is>
          <t>GOTLAND</t>
        </is>
      </c>
      <c r="F18" t="inlineStr">
        <is>
          <t>Kyrkan</t>
        </is>
      </c>
      <c r="G18" t="n">
        <v>10.6</v>
      </c>
      <c r="H18" t="n">
        <v>1</v>
      </c>
      <c r="I18" t="n">
        <v>5</v>
      </c>
      <c r="J18" t="n">
        <v>10</v>
      </c>
      <c r="K18" t="n">
        <v>6</v>
      </c>
      <c r="L18" t="n">
        <v>0</v>
      </c>
      <c r="M18" t="n">
        <v>0</v>
      </c>
      <c r="N18" t="n">
        <v>0</v>
      </c>
      <c r="O18" t="n">
        <v>16</v>
      </c>
      <c r="P18" t="n">
        <v>6</v>
      </c>
      <c r="Q18" t="n">
        <v>22</v>
      </c>
      <c r="R1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8">
        <f>HYPERLINK("https://klasma.github.io/Logging_0980/artfynd/A 2222-2024 artfynd.xlsx", "A 2222-2024")</f>
        <v/>
      </c>
      <c r="T18">
        <f>HYPERLINK("https://klasma.github.io/Logging_0980/kartor/A 2222-2024 karta.png", "A 2222-2024")</f>
        <v/>
      </c>
      <c r="V18">
        <f>HYPERLINK("https://klasma.github.io/Logging_0980/klagomål/A 2222-2024 FSC-klagomål.docx", "A 2222-2024")</f>
        <v/>
      </c>
      <c r="W18">
        <f>HYPERLINK("https://klasma.github.io/Logging_0980/klagomålsmail/A 2222-2024 FSC-klagomål mail.docx", "A 2222-2024")</f>
        <v/>
      </c>
      <c r="X18">
        <f>HYPERLINK("https://klasma.github.io/Logging_0980/tillsyn/A 2222-2024 tillsynsbegäran.docx", "A 2222-2024")</f>
        <v/>
      </c>
      <c r="Y18">
        <f>HYPERLINK("https://klasma.github.io/Logging_0980/tillsynsmail/A 2222-2024 tillsynsbegäran mail.docx", "A 2222-2024")</f>
        <v/>
      </c>
      <c r="Z18">
        <f>HYPERLINK("https://klasma.github.io/Logging_0980/fåglar/A 2222-2024 prioriterade fågelarter.docx", "A 2222-2024")</f>
        <v/>
      </c>
    </row>
    <row r="19" ht="15" customHeight="1">
      <c r="A19" t="inlineStr">
        <is>
          <t>A 62551-2022</t>
        </is>
      </c>
      <c r="B19" s="1" t="n">
        <v>44924</v>
      </c>
      <c r="C19" s="1" t="n">
        <v>46204</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46204</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8645-2025</t>
        </is>
      </c>
      <c r="B21" s="1" t="n">
        <v>45712</v>
      </c>
      <c r="C21" s="1" t="n">
        <v>46204</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46204</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15068-2025</t>
        </is>
      </c>
      <c r="B23" s="1" t="n">
        <v>45743</v>
      </c>
      <c r="C23" s="1" t="n">
        <v>46204</v>
      </c>
      <c r="D23" t="inlineStr">
        <is>
          <t>GOTLANDS LÄN</t>
        </is>
      </c>
      <c r="E23" t="inlineStr">
        <is>
          <t>GOTLAND</t>
        </is>
      </c>
      <c r="G23" t="n">
        <v>37.3</v>
      </c>
      <c r="H23" t="n">
        <v>5</v>
      </c>
      <c r="I23" t="n">
        <v>3</v>
      </c>
      <c r="J23" t="n">
        <v>6</v>
      </c>
      <c r="K23" t="n">
        <v>4</v>
      </c>
      <c r="L23" t="n">
        <v>0</v>
      </c>
      <c r="M23" t="n">
        <v>0</v>
      </c>
      <c r="N23" t="n">
        <v>0</v>
      </c>
      <c r="O23" t="n">
        <v>11</v>
      </c>
      <c r="P23" t="n">
        <v>4</v>
      </c>
      <c r="Q23" t="n">
        <v>19</v>
      </c>
      <c r="R23"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3">
        <f>HYPERLINK("https://klasma.github.io/Logging_0980/artfynd/A 15068-2025 artfynd.xlsx", "A 15068-2025")</f>
        <v/>
      </c>
      <c r="T23">
        <f>HYPERLINK("https://klasma.github.io/Logging_0980/kartor/A 15068-2025 karta.png", "A 15068-2025")</f>
        <v/>
      </c>
      <c r="V23">
        <f>HYPERLINK("https://klasma.github.io/Logging_0980/klagomål/A 15068-2025 FSC-klagomål.docx", "A 15068-2025")</f>
        <v/>
      </c>
      <c r="W23">
        <f>HYPERLINK("https://klasma.github.io/Logging_0980/klagomålsmail/A 15068-2025 FSC-klagomål mail.docx", "A 15068-2025")</f>
        <v/>
      </c>
      <c r="X23">
        <f>HYPERLINK("https://klasma.github.io/Logging_0980/tillsyn/A 15068-2025 tillsynsbegäran.docx", "A 15068-2025")</f>
        <v/>
      </c>
      <c r="Y23">
        <f>HYPERLINK("https://klasma.github.io/Logging_0980/tillsynsmail/A 15068-2025 tillsynsbegäran mail.docx", "A 15068-2025")</f>
        <v/>
      </c>
    </row>
    <row r="24" ht="15" customHeight="1">
      <c r="A24" t="inlineStr">
        <is>
          <t>A 15629-2024</t>
        </is>
      </c>
      <c r="B24" s="1" t="n">
        <v>45402</v>
      </c>
      <c r="C24" s="1" t="n">
        <v>46204</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46204</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26987-2026</t>
        </is>
      </c>
      <c r="B26" s="1" t="n">
        <v>46185</v>
      </c>
      <c r="C26" s="1" t="n">
        <v>46204</v>
      </c>
      <c r="D26" t="inlineStr">
        <is>
          <t>GOTLANDS LÄN</t>
        </is>
      </c>
      <c r="E26" t="inlineStr">
        <is>
          <t>GOTLAND</t>
        </is>
      </c>
      <c r="G26" t="n">
        <v>4.6</v>
      </c>
      <c r="H26" t="n">
        <v>6</v>
      </c>
      <c r="I26" t="n">
        <v>2</v>
      </c>
      <c r="J26" t="n">
        <v>11</v>
      </c>
      <c r="K26" t="n">
        <v>1</v>
      </c>
      <c r="L26" t="n">
        <v>1</v>
      </c>
      <c r="M26" t="n">
        <v>0</v>
      </c>
      <c r="N26" t="n">
        <v>0</v>
      </c>
      <c r="O26" t="n">
        <v>13</v>
      </c>
      <c r="P26" t="n">
        <v>2</v>
      </c>
      <c r="Q26" t="n">
        <v>18</v>
      </c>
      <c r="R26" s="2" t="inlineStr">
        <is>
          <t>Ask
Granrotspindling
Backtimjan
Blå slemspindling
Dårgräsfjäril
Grönsångare
Odörspindling
Reliktbock
Röd skogslilja
Solvända
Svinrot
Sårläka
Ängsstarr
Skogsknipprot
Svavelriska
Ormbär
Spillkråka
Halsbandsflugsnappare</t>
        </is>
      </c>
      <c r="S26">
        <f>HYPERLINK("https://klasma.github.io/Logging_0980/artfynd/A 26987-2026 artfynd.xlsx", "A 26987-2026")</f>
        <v/>
      </c>
      <c r="T26">
        <f>HYPERLINK("https://klasma.github.io/Logging_0980/kartor/A 26987-2026 karta.png", "A 26987-2026")</f>
        <v/>
      </c>
      <c r="V26">
        <f>HYPERLINK("https://klasma.github.io/Logging_0980/klagomål/A 26987-2026 FSC-klagomål.docx", "A 26987-2026")</f>
        <v/>
      </c>
      <c r="W26">
        <f>HYPERLINK("https://klasma.github.io/Logging_0980/klagomålsmail/A 26987-2026 FSC-klagomål mail.docx", "A 26987-2026")</f>
        <v/>
      </c>
      <c r="X26">
        <f>HYPERLINK("https://klasma.github.io/Logging_0980/tillsyn/A 26987-2026 tillsynsbegäran.docx", "A 26987-2026")</f>
        <v/>
      </c>
      <c r="Y26">
        <f>HYPERLINK("https://klasma.github.io/Logging_0980/tillsynsmail/A 26987-2026 tillsynsbegäran mail.docx", "A 26987-2026")</f>
        <v/>
      </c>
      <c r="Z26">
        <f>HYPERLINK("https://klasma.github.io/Logging_0980/fåglar/A 26987-2026 prioriterade fågelarter.docx", "A 26987-2026")</f>
        <v/>
      </c>
    </row>
    <row r="27" ht="15" customHeight="1">
      <c r="A27" t="inlineStr">
        <is>
          <t>A 61697-2023</t>
        </is>
      </c>
      <c r="B27" s="1" t="n">
        <v>45265</v>
      </c>
      <c r="C27" s="1" t="n">
        <v>46204</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46204</v>
      </c>
      <c r="D28" t="inlineStr">
        <is>
          <t>GOTLANDS LÄN</t>
        </is>
      </c>
      <c r="E28" t="inlineStr">
        <is>
          <t>GOTLAND</t>
        </is>
      </c>
      <c r="G28" t="n">
        <v>5.8</v>
      </c>
      <c r="H28" t="n">
        <v>3</v>
      </c>
      <c r="I28" t="n">
        <v>2</v>
      </c>
      <c r="J28" t="n">
        <v>9</v>
      </c>
      <c r="K28" t="n">
        <v>2</v>
      </c>
      <c r="L28" t="n">
        <v>0</v>
      </c>
      <c r="M28" t="n">
        <v>1</v>
      </c>
      <c r="N28" t="n">
        <v>0</v>
      </c>
      <c r="O28" t="n">
        <v>12</v>
      </c>
      <c r="P28" t="n">
        <v>3</v>
      </c>
      <c r="Q28" t="n">
        <v>17</v>
      </c>
      <c r="R28" s="2" t="inlineStr">
        <is>
          <t>Järnek
Gråfingerört
Naveljordstjärna
Axveronika
Backstarr
Backtimjan
Crepis tectorum subsp. tectorum
Grönnopping
Kalkvaxing
Odörspindling
Solvända
Svinrot
Anisspindling
Mindre märgborre
Blåsippa
Nattviol
Sankt pers nycklar</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46204</v>
      </c>
      <c r="D29" t="inlineStr">
        <is>
          <t>GOTLANDS LÄN</t>
        </is>
      </c>
      <c r="E29" t="inlineStr">
        <is>
          <t>GOTLAND</t>
        </is>
      </c>
      <c r="G29" t="n">
        <v>13.9</v>
      </c>
      <c r="H29" t="n">
        <v>5</v>
      </c>
      <c r="I29" t="n">
        <v>4</v>
      </c>
      <c r="J29" t="n">
        <v>7</v>
      </c>
      <c r="K29" t="n">
        <v>4</v>
      </c>
      <c r="L29" t="n">
        <v>0</v>
      </c>
      <c r="M29" t="n">
        <v>0</v>
      </c>
      <c r="N29" t="n">
        <v>0</v>
      </c>
      <c r="O29" t="n">
        <v>11</v>
      </c>
      <c r="P29" t="n">
        <v>4</v>
      </c>
      <c r="Q29" t="n">
        <v>17</v>
      </c>
      <c r="R29" s="2" t="inlineStr">
        <is>
          <t>Granrotspindling
Gulsträngad fagerspindling
Källnate
Vit taggsvamp
Backtimjan
Blå slemspindling
Dårgräsfjäril
Jordtistel
Odörspindling
Solvända
Äggspindling
Blåmossa
Mindre märgborre
Nästrot
Skogsknipprot
Spillkråka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35141-2022</t>
        </is>
      </c>
      <c r="B30" s="1" t="n">
        <v>44797</v>
      </c>
      <c r="C30" s="1" t="n">
        <v>46204</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46204</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46204</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6153-2024</t>
        </is>
      </c>
      <c r="B33" s="1" t="n">
        <v>45337</v>
      </c>
      <c r="C33" s="1" t="n">
        <v>46204</v>
      </c>
      <c r="D33" t="inlineStr">
        <is>
          <t>GOTLANDS LÄN</t>
        </is>
      </c>
      <c r="E33" t="inlineStr">
        <is>
          <t>GOTLAND</t>
        </is>
      </c>
      <c r="G33" t="n">
        <v>14.2</v>
      </c>
      <c r="H33" t="n">
        <v>0</v>
      </c>
      <c r="I33" t="n">
        <v>3</v>
      </c>
      <c r="J33" t="n">
        <v>3</v>
      </c>
      <c r="K33" t="n">
        <v>8</v>
      </c>
      <c r="L33" t="n">
        <v>2</v>
      </c>
      <c r="M33" t="n">
        <v>0</v>
      </c>
      <c r="N33" t="n">
        <v>0</v>
      </c>
      <c r="O33" t="n">
        <v>13</v>
      </c>
      <c r="P33" t="n">
        <v>10</v>
      </c>
      <c r="Q33" t="n">
        <v>16</v>
      </c>
      <c r="R33"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3">
        <f>HYPERLINK("https://klasma.github.io/Logging_0980/artfynd/A 6153-2024 artfynd.xlsx", "A 6153-2024")</f>
        <v/>
      </c>
      <c r="T33">
        <f>HYPERLINK("https://klasma.github.io/Logging_0980/kartor/A 6153-2024 karta.png", "A 6153-2024")</f>
        <v/>
      </c>
      <c r="V33">
        <f>HYPERLINK("https://klasma.github.io/Logging_0980/klagomål/A 6153-2024 FSC-klagomål.docx", "A 6153-2024")</f>
        <v/>
      </c>
      <c r="W33">
        <f>HYPERLINK("https://klasma.github.io/Logging_0980/klagomålsmail/A 6153-2024 FSC-klagomål mail.docx", "A 6153-2024")</f>
        <v/>
      </c>
      <c r="X33">
        <f>HYPERLINK("https://klasma.github.io/Logging_0980/tillsyn/A 6153-2024 tillsynsbegäran.docx", "A 6153-2024")</f>
        <v/>
      </c>
      <c r="Y33">
        <f>HYPERLINK("https://klasma.github.io/Logging_0980/tillsynsmail/A 6153-2024 tillsynsbegäran mail.docx", "A 6153-2024")</f>
        <v/>
      </c>
    </row>
    <row r="34" ht="15" customHeight="1">
      <c r="A34" t="inlineStr">
        <is>
          <t>A 44204-2022</t>
        </is>
      </c>
      <c r="B34" s="1" t="n">
        <v>44839</v>
      </c>
      <c r="C34" s="1" t="n">
        <v>46204</v>
      </c>
      <c r="D34" t="inlineStr">
        <is>
          <t>GOTLANDS LÄN</t>
        </is>
      </c>
      <c r="E34" t="inlineStr">
        <is>
          <t>GOTLAND</t>
        </is>
      </c>
      <c r="G34" t="n">
        <v>2.3</v>
      </c>
      <c r="H34" t="n">
        <v>4</v>
      </c>
      <c r="I34" t="n">
        <v>3</v>
      </c>
      <c r="J34" t="n">
        <v>6</v>
      </c>
      <c r="K34" t="n">
        <v>3</v>
      </c>
      <c r="L34" t="n">
        <v>2</v>
      </c>
      <c r="M34" t="n">
        <v>0</v>
      </c>
      <c r="N34" t="n">
        <v>0</v>
      </c>
      <c r="O34" t="n">
        <v>11</v>
      </c>
      <c r="P34" t="n">
        <v>5</v>
      </c>
      <c r="Q34" t="n">
        <v>16</v>
      </c>
      <c r="R3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63872-2021</t>
        </is>
      </c>
      <c r="B35" s="1" t="n">
        <v>44509</v>
      </c>
      <c r="C35" s="1" t="n">
        <v>46204</v>
      </c>
      <c r="D35" t="inlineStr">
        <is>
          <t>GOTLANDS LÄN</t>
        </is>
      </c>
      <c r="E35" t="inlineStr">
        <is>
          <t>GOTLAND</t>
        </is>
      </c>
      <c r="G35" t="n">
        <v>20.5</v>
      </c>
      <c r="H35" t="n">
        <v>3</v>
      </c>
      <c r="I35" t="n">
        <v>1</v>
      </c>
      <c r="J35" t="n">
        <v>5</v>
      </c>
      <c r="K35" t="n">
        <v>6</v>
      </c>
      <c r="L35" t="n">
        <v>0</v>
      </c>
      <c r="M35" t="n">
        <v>0</v>
      </c>
      <c r="N35" t="n">
        <v>0</v>
      </c>
      <c r="O35" t="n">
        <v>11</v>
      </c>
      <c r="P35" t="n">
        <v>6</v>
      </c>
      <c r="Q35" t="n">
        <v>15</v>
      </c>
      <c r="R35" s="2" t="inlineStr">
        <is>
          <t>Duvspindling
Gulsträngad fagerspindling
Lundvaxskivling
Narrspindling
Svartgrön spindling
Tallpraktspindling
Barrfagerspindling
Jordtistel
Jungfrulin
Kristallporing
Odörspindling
Fransig jordstjärna
Blåsippa
Spillkråka
Sankt pers nycklar</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43201-2023</t>
        </is>
      </c>
      <c r="B36" s="1" t="n">
        <v>45183</v>
      </c>
      <c r="C36" s="1" t="n">
        <v>46204</v>
      </c>
      <c r="D36" t="inlineStr">
        <is>
          <t>GOTLANDS LÄN</t>
        </is>
      </c>
      <c r="E36" t="inlineStr">
        <is>
          <t>GOTLAND</t>
        </is>
      </c>
      <c r="G36" t="n">
        <v>5.6</v>
      </c>
      <c r="H36" t="n">
        <v>0</v>
      </c>
      <c r="I36" t="n">
        <v>6</v>
      </c>
      <c r="J36" t="n">
        <v>4</v>
      </c>
      <c r="K36" t="n">
        <v>3</v>
      </c>
      <c r="L36" t="n">
        <v>2</v>
      </c>
      <c r="M36" t="n">
        <v>0</v>
      </c>
      <c r="N36" t="n">
        <v>0</v>
      </c>
      <c r="O36" t="n">
        <v>9</v>
      </c>
      <c r="P36" t="n">
        <v>5</v>
      </c>
      <c r="Q36" t="n">
        <v>15</v>
      </c>
      <c r="R36" s="2" t="inlineStr">
        <is>
          <t>Almlav
Mörk lundlav
Blek kraterlav
Mörk kraterlav
Ädellav
Hjälmbrosklav
Lunglav
Rosa skärelav
Skuggorangelav
Guldlockmossa
Gulpudrad spiklav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27759-2026</t>
        </is>
      </c>
      <c r="B37" s="1" t="n">
        <v>46191</v>
      </c>
      <c r="C37" s="1" t="n">
        <v>46204</v>
      </c>
      <c r="D37" t="inlineStr">
        <is>
          <t>GOTLANDS LÄN</t>
        </is>
      </c>
      <c r="E37" t="inlineStr">
        <is>
          <t>GOTLAND</t>
        </is>
      </c>
      <c r="G37" t="n">
        <v>12.1</v>
      </c>
      <c r="H37" t="n">
        <v>3</v>
      </c>
      <c r="I37" t="n">
        <v>5</v>
      </c>
      <c r="J37" t="n">
        <v>1</v>
      </c>
      <c r="K37" t="n">
        <v>4</v>
      </c>
      <c r="L37" t="n">
        <v>0</v>
      </c>
      <c r="M37" t="n">
        <v>2</v>
      </c>
      <c r="N37" t="n">
        <v>0</v>
      </c>
      <c r="O37" t="n">
        <v>7</v>
      </c>
      <c r="P37" t="n">
        <v>6</v>
      </c>
      <c r="Q37" t="n">
        <v>15</v>
      </c>
      <c r="R37" s="2" t="inlineStr">
        <is>
          <t>Cinnoberfläck
Coniocarpon fallax
Aspfjädermossa
Mörk kraterlav
Tvådoftspindling
Ädellav
Odörspindling
Anisspindling
Havstulpanlav
Korallblylav
Pluteus cyanopus
Rikfruktig blemlav
Kråka
Skogsduva
Revlummer</t>
        </is>
      </c>
      <c r="S37">
        <f>HYPERLINK("https://klasma.github.io/Logging_0980/artfynd/A 27759-2026 artfynd.xlsx", "A 27759-2026")</f>
        <v/>
      </c>
      <c r="T37">
        <f>HYPERLINK("https://klasma.github.io/Logging_0980/kartor/A 27759-2026 karta.png", "A 27759-2026")</f>
        <v/>
      </c>
      <c r="V37">
        <f>HYPERLINK("https://klasma.github.io/Logging_0980/klagomål/A 27759-2026 FSC-klagomål.docx", "A 27759-2026")</f>
        <v/>
      </c>
      <c r="W37">
        <f>HYPERLINK("https://klasma.github.io/Logging_0980/klagomålsmail/A 27759-2026 FSC-klagomål mail.docx", "A 27759-2026")</f>
        <v/>
      </c>
      <c r="X37">
        <f>HYPERLINK("https://klasma.github.io/Logging_0980/tillsyn/A 27759-2026 tillsynsbegäran.docx", "A 27759-2026")</f>
        <v/>
      </c>
      <c r="Y37">
        <f>HYPERLINK("https://klasma.github.io/Logging_0980/tillsynsmail/A 27759-2026 tillsynsbegäran mail.docx", "A 27759-2026")</f>
        <v/>
      </c>
    </row>
    <row r="38" ht="15" customHeight="1">
      <c r="A38" t="inlineStr">
        <is>
          <t>A 11176-2024</t>
        </is>
      </c>
      <c r="B38" s="1" t="n">
        <v>45371</v>
      </c>
      <c r="C38" s="1" t="n">
        <v>46204</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44928-2022</t>
        </is>
      </c>
      <c r="B39" s="1" t="n">
        <v>44841</v>
      </c>
      <c r="C39" s="1" t="n">
        <v>46204</v>
      </c>
      <c r="D39" t="inlineStr">
        <is>
          <t>GOTLANDS LÄN</t>
        </is>
      </c>
      <c r="E39" t="inlineStr">
        <is>
          <t>GOTLAND</t>
        </is>
      </c>
      <c r="G39" t="n">
        <v>3.7</v>
      </c>
      <c r="H39" t="n">
        <v>1</v>
      </c>
      <c r="I39" t="n">
        <v>4</v>
      </c>
      <c r="J39" t="n">
        <v>5</v>
      </c>
      <c r="K39" t="n">
        <v>3</v>
      </c>
      <c r="L39" t="n">
        <v>1</v>
      </c>
      <c r="M39" t="n">
        <v>0</v>
      </c>
      <c r="N39" t="n">
        <v>0</v>
      </c>
      <c r="O39" t="n">
        <v>10</v>
      </c>
      <c r="P39" t="n">
        <v>4</v>
      </c>
      <c r="Q39" t="n">
        <v>14</v>
      </c>
      <c r="R39" s="2" t="inlineStr">
        <is>
          <t>Barkkvastmossa
Gulsträngad fagerspindling
Mörk kraterlav
Tvillingspindling
Blå slemspindling
Kattfotslav
Odörspindling
Puderspindling
Ängsstarr
Frostig asplav
Anisspindling
Axag
Kärrlilja
Svavelriska</t>
        </is>
      </c>
      <c r="S39">
        <f>HYPERLINK("https://klasma.github.io/Logging_0980/artfynd/A 44928-2022 artfynd.xlsx", "A 44928-2022")</f>
        <v/>
      </c>
      <c r="T39">
        <f>HYPERLINK("https://klasma.github.io/Logging_0980/kartor/A 44928-2022 karta.png", "A 44928-2022")</f>
        <v/>
      </c>
      <c r="V39">
        <f>HYPERLINK("https://klasma.github.io/Logging_0980/klagomål/A 44928-2022 FSC-klagomål.docx", "A 44928-2022")</f>
        <v/>
      </c>
      <c r="W39">
        <f>HYPERLINK("https://klasma.github.io/Logging_0980/klagomålsmail/A 44928-2022 FSC-klagomål mail.docx", "A 44928-2022")</f>
        <v/>
      </c>
      <c r="X39">
        <f>HYPERLINK("https://klasma.github.io/Logging_0980/tillsyn/A 44928-2022 tillsynsbegäran.docx", "A 44928-2022")</f>
        <v/>
      </c>
      <c r="Y39">
        <f>HYPERLINK("https://klasma.github.io/Logging_0980/tillsynsmail/A 44928-2022 tillsynsbegäran mail.docx", "A 44928-2022")</f>
        <v/>
      </c>
    </row>
    <row r="40" ht="15" customHeight="1">
      <c r="A40" t="inlineStr">
        <is>
          <t>A 10274-2026</t>
        </is>
      </c>
      <c r="B40" s="1" t="n">
        <v>46076</v>
      </c>
      <c r="C40" s="1" t="n">
        <v>46204</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33153-2024</t>
        </is>
      </c>
      <c r="B41" s="1" t="n">
        <v>45518</v>
      </c>
      <c r="C41" s="1" t="n">
        <v>46204</v>
      </c>
      <c r="D41" t="inlineStr">
        <is>
          <t>GOTLANDS LÄN</t>
        </is>
      </c>
      <c r="E41" t="inlineStr">
        <is>
          <t>GOTLAND</t>
        </is>
      </c>
      <c r="G41" t="n">
        <v>10.3</v>
      </c>
      <c r="H41" t="n">
        <v>3</v>
      </c>
      <c r="I41" t="n">
        <v>8</v>
      </c>
      <c r="J41" t="n">
        <v>5</v>
      </c>
      <c r="K41" t="n">
        <v>1</v>
      </c>
      <c r="L41" t="n">
        <v>0</v>
      </c>
      <c r="M41" t="n">
        <v>0</v>
      </c>
      <c r="N41" t="n">
        <v>0</v>
      </c>
      <c r="O41" t="n">
        <v>6</v>
      </c>
      <c r="P41" t="n">
        <v>1</v>
      </c>
      <c r="Q41" t="n">
        <v>14</v>
      </c>
      <c r="R41" s="2" t="inlineStr">
        <is>
          <t>Duvspindling
Blå slemspindling
Flattoppad klubbsvamp
Jordtistel
Odörspindling
Solvända
Nästrot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14354-2024</t>
        </is>
      </c>
      <c r="B42" s="1" t="n">
        <v>45393</v>
      </c>
      <c r="C42" s="1" t="n">
        <v>46204</v>
      </c>
      <c r="D42" t="inlineStr">
        <is>
          <t>GOTLANDS LÄN</t>
        </is>
      </c>
      <c r="E42" t="inlineStr">
        <is>
          <t>GOTLAND</t>
        </is>
      </c>
      <c r="G42" t="n">
        <v>2.4</v>
      </c>
      <c r="H42" t="n">
        <v>10</v>
      </c>
      <c r="I42" t="n">
        <v>4</v>
      </c>
      <c r="J42" t="n">
        <v>6</v>
      </c>
      <c r="K42" t="n">
        <v>0</v>
      </c>
      <c r="L42" t="n">
        <v>0</v>
      </c>
      <c r="M42" t="n">
        <v>0</v>
      </c>
      <c r="N42" t="n">
        <v>0</v>
      </c>
      <c r="O42" t="n">
        <v>6</v>
      </c>
      <c r="P42" t="n">
        <v>0</v>
      </c>
      <c r="Q42" t="n">
        <v>14</v>
      </c>
      <c r="R42" s="2" t="inlineStr">
        <is>
          <t>Dårgräsfjäril
Entita
Grönsångare
Smedbock
Svinrot
Ängsskära
Blåmossa
Nästrot
Skogsknipprot
Tvåblad
Blåsippa
Spillkråka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c r="Z42">
        <f>HYPERLINK("https://klasma.github.io/Logging_0980/fåglar/A 14354-2024 prioriterade fågelarter.docx", "A 14354-2024")</f>
        <v/>
      </c>
    </row>
    <row r="43" ht="15" customHeight="1">
      <c r="A43" t="inlineStr">
        <is>
          <t>A 27168-2022</t>
        </is>
      </c>
      <c r="B43" s="1" t="n">
        <v>44741</v>
      </c>
      <c r="C43" s="1" t="n">
        <v>46204</v>
      </c>
      <c r="D43" t="inlineStr">
        <is>
          <t>GOTLANDS LÄN</t>
        </is>
      </c>
      <c r="E43" t="inlineStr">
        <is>
          <t>GOTLAND</t>
        </is>
      </c>
      <c r="G43" t="n">
        <v>2.2</v>
      </c>
      <c r="H43" t="n">
        <v>9</v>
      </c>
      <c r="I43" t="n">
        <v>4</v>
      </c>
      <c r="J43" t="n">
        <v>2</v>
      </c>
      <c r="K43" t="n">
        <v>2</v>
      </c>
      <c r="L43" t="n">
        <v>0</v>
      </c>
      <c r="M43" t="n">
        <v>0</v>
      </c>
      <c r="N43" t="n">
        <v>0</v>
      </c>
      <c r="O43" t="n">
        <v>4</v>
      </c>
      <c r="P43" t="n">
        <v>2</v>
      </c>
      <c r="Q43" t="n">
        <v>13</v>
      </c>
      <c r="R43" s="2" t="inlineStr">
        <is>
          <t>Bredbrämad bastardsvärmare
Gotlandsmåra
Solvända
Svinrot
Purpurknipprot
Skogsknipprot
Tvåblad
Vit skogslilja
Citronfläckad kärrtrollslända
Brudsporre
Fläcknycklar
Kärrknipprot
Nattviol</t>
        </is>
      </c>
      <c r="S43">
        <f>HYPERLINK("https://klasma.github.io/Logging_0980/artfynd/A 27168-2022 artfynd.xlsx", "A 27168-2022")</f>
        <v/>
      </c>
      <c r="T43">
        <f>HYPERLINK("https://klasma.github.io/Logging_0980/kartor/A 27168-2022 karta.png", "A 27168-2022")</f>
        <v/>
      </c>
      <c r="V43">
        <f>HYPERLINK("https://klasma.github.io/Logging_0980/klagomål/A 27168-2022 FSC-klagomål.docx", "A 27168-2022")</f>
        <v/>
      </c>
      <c r="W43">
        <f>HYPERLINK("https://klasma.github.io/Logging_0980/klagomålsmail/A 27168-2022 FSC-klagomål mail.docx", "A 27168-2022")</f>
        <v/>
      </c>
      <c r="X43">
        <f>HYPERLINK("https://klasma.github.io/Logging_0980/tillsyn/A 27168-2022 tillsynsbegäran.docx", "A 27168-2022")</f>
        <v/>
      </c>
      <c r="Y43">
        <f>HYPERLINK("https://klasma.github.io/Logging_0980/tillsynsmail/A 27168-2022 tillsynsbegäran mail.docx", "A 27168-2022")</f>
        <v/>
      </c>
    </row>
    <row r="44" ht="15" customHeight="1">
      <c r="A44" t="inlineStr">
        <is>
          <t>A 63149-2025</t>
        </is>
      </c>
      <c r="B44" s="1" t="n">
        <v>46010</v>
      </c>
      <c r="C44" s="1" t="n">
        <v>46204</v>
      </c>
      <c r="D44" t="inlineStr">
        <is>
          <t>GOTLANDS LÄN</t>
        </is>
      </c>
      <c r="E44" t="inlineStr">
        <is>
          <t>GOTLAND</t>
        </is>
      </c>
      <c r="G44" t="n">
        <v>4.3</v>
      </c>
      <c r="H44" t="n">
        <v>7</v>
      </c>
      <c r="I44" t="n">
        <v>2</v>
      </c>
      <c r="J44" t="n">
        <v>6</v>
      </c>
      <c r="K44" t="n">
        <v>0</v>
      </c>
      <c r="L44" t="n">
        <v>0</v>
      </c>
      <c r="M44" t="n">
        <v>0</v>
      </c>
      <c r="N44" t="n">
        <v>0</v>
      </c>
      <c r="O44" t="n">
        <v>6</v>
      </c>
      <c r="P44" t="n">
        <v>0</v>
      </c>
      <c r="Q44" t="n">
        <v>13</v>
      </c>
      <c r="R44" s="2" t="inlineStr">
        <is>
          <t>Backtimjan
Berggräsfjäril
Dårgräsfjäril
Gulsparv
Solvända
Svinrot
Anisspindling
Skogsknipprot
Ormbär
Spillkråka
Fläcknycklar
Nattviol
Sankt pers nycklar</t>
        </is>
      </c>
      <c r="S44">
        <f>HYPERLINK("https://klasma.github.io/Logging_0980/artfynd/A 63149-2025 artfynd.xlsx", "A 63149-2025")</f>
        <v/>
      </c>
      <c r="T44">
        <f>HYPERLINK("https://klasma.github.io/Logging_0980/kartor/A 63149-2025 karta.png", "A 63149-2025")</f>
        <v/>
      </c>
      <c r="V44">
        <f>HYPERLINK("https://klasma.github.io/Logging_0980/klagomål/A 63149-2025 FSC-klagomål.docx", "A 63149-2025")</f>
        <v/>
      </c>
      <c r="W44">
        <f>HYPERLINK("https://klasma.github.io/Logging_0980/klagomålsmail/A 63149-2025 FSC-klagomål mail.docx", "A 63149-2025")</f>
        <v/>
      </c>
      <c r="X44">
        <f>HYPERLINK("https://klasma.github.io/Logging_0980/tillsyn/A 63149-2025 tillsynsbegäran.docx", "A 63149-2025")</f>
        <v/>
      </c>
      <c r="Y44">
        <f>HYPERLINK("https://klasma.github.io/Logging_0980/tillsynsmail/A 63149-2025 tillsynsbegäran mail.docx", "A 63149-2025")</f>
        <v/>
      </c>
      <c r="Z44">
        <f>HYPERLINK("https://klasma.github.io/Logging_0980/fåglar/A 63149-2025 prioriterade fågelarter.docx", "A 63149-2025")</f>
        <v/>
      </c>
    </row>
    <row r="45" ht="15" customHeight="1">
      <c r="A45" t="inlineStr">
        <is>
          <t>A 37037-2021</t>
        </is>
      </c>
      <c r="B45" s="1" t="n">
        <v>44393</v>
      </c>
      <c r="C45" s="1" t="n">
        <v>46204</v>
      </c>
      <c r="D45" t="inlineStr">
        <is>
          <t>GOTLANDS LÄN</t>
        </is>
      </c>
      <c r="E45" t="inlineStr">
        <is>
          <t>GOTLAND</t>
        </is>
      </c>
      <c r="G45" t="n">
        <v>10.2</v>
      </c>
      <c r="H45" t="n">
        <v>1</v>
      </c>
      <c r="I45" t="n">
        <v>4</v>
      </c>
      <c r="J45" t="n">
        <v>4</v>
      </c>
      <c r="K45" t="n">
        <v>4</v>
      </c>
      <c r="L45" t="n">
        <v>0</v>
      </c>
      <c r="M45" t="n">
        <v>0</v>
      </c>
      <c r="N45" t="n">
        <v>0</v>
      </c>
      <c r="O45" t="n">
        <v>8</v>
      </c>
      <c r="P45" t="n">
        <v>4</v>
      </c>
      <c r="Q45" t="n">
        <v>12</v>
      </c>
      <c r="R45" s="2" t="inlineStr">
        <is>
          <t>Gulsträngad fagerspindling
Svartgrön spindling
Trollspindling
Vit taggsvamp
Apollofjäril
Blå slemspindling
Kattfotslav
Odörspindling
Anisspindling
Olivspindling
Svavelriska
Zontaggsvamp</t>
        </is>
      </c>
      <c r="S45">
        <f>HYPERLINK("https://klasma.github.io/Logging_0980/artfynd/A 37037-2021 artfynd.xlsx", "A 37037-2021")</f>
        <v/>
      </c>
      <c r="T45">
        <f>HYPERLINK("https://klasma.github.io/Logging_0980/kartor/A 37037-2021 karta.png", "A 37037-2021")</f>
        <v/>
      </c>
      <c r="V45">
        <f>HYPERLINK("https://klasma.github.io/Logging_0980/klagomål/A 37037-2021 FSC-klagomål.docx", "A 37037-2021")</f>
        <v/>
      </c>
      <c r="W45">
        <f>HYPERLINK("https://klasma.github.io/Logging_0980/klagomålsmail/A 37037-2021 FSC-klagomål mail.docx", "A 37037-2021")</f>
        <v/>
      </c>
      <c r="X45">
        <f>HYPERLINK("https://klasma.github.io/Logging_0980/tillsyn/A 37037-2021 tillsynsbegäran.docx", "A 37037-2021")</f>
        <v/>
      </c>
      <c r="Y45">
        <f>HYPERLINK("https://klasma.github.io/Logging_0980/tillsynsmail/A 37037-2021 tillsynsbegäran mail.docx", "A 37037-2021")</f>
        <v/>
      </c>
    </row>
    <row r="46" ht="15" customHeight="1">
      <c r="A46" t="inlineStr">
        <is>
          <t>A 3324-2023</t>
        </is>
      </c>
      <c r="B46" s="1" t="n">
        <v>44949</v>
      </c>
      <c r="C46" s="1" t="n">
        <v>46204</v>
      </c>
      <c r="D46" t="inlineStr">
        <is>
          <t>GOTLANDS LÄN</t>
        </is>
      </c>
      <c r="E46" t="inlineStr">
        <is>
          <t>GOTLAND</t>
        </is>
      </c>
      <c r="G46" t="n">
        <v>6.2</v>
      </c>
      <c r="H46" t="n">
        <v>0</v>
      </c>
      <c r="I46" t="n">
        <v>3</v>
      </c>
      <c r="J46" t="n">
        <v>3</v>
      </c>
      <c r="K46" t="n">
        <v>6</v>
      </c>
      <c r="L46" t="n">
        <v>0</v>
      </c>
      <c r="M46" t="n">
        <v>0</v>
      </c>
      <c r="N46" t="n">
        <v>0</v>
      </c>
      <c r="O46" t="n">
        <v>9</v>
      </c>
      <c r="P46" t="n">
        <v>6</v>
      </c>
      <c r="Q46" t="n">
        <v>12</v>
      </c>
      <c r="R46" s="2" t="inlineStr">
        <is>
          <t>Blåfotad fagerspindling
Duvspindling
Granrotspindling
Gulsträngad fagerspindling
Svartgrön spindling
Tvillingspindling
Blå slemspindling
Odörspindling
Äggspindling
Anisspindling
Olivspindling
Rödgul trumpetsvamp</t>
        </is>
      </c>
      <c r="S46">
        <f>HYPERLINK("https://klasma.github.io/Logging_0980/artfynd/A 3324-2023 artfynd.xlsx", "A 3324-2023")</f>
        <v/>
      </c>
      <c r="T46">
        <f>HYPERLINK("https://klasma.github.io/Logging_0980/kartor/A 3324-2023 karta.png", "A 3324-2023")</f>
        <v/>
      </c>
      <c r="V46">
        <f>HYPERLINK("https://klasma.github.io/Logging_0980/klagomål/A 3324-2023 FSC-klagomål.docx", "A 3324-2023")</f>
        <v/>
      </c>
      <c r="W46">
        <f>HYPERLINK("https://klasma.github.io/Logging_0980/klagomålsmail/A 3324-2023 FSC-klagomål mail.docx", "A 3324-2023")</f>
        <v/>
      </c>
      <c r="X46">
        <f>HYPERLINK("https://klasma.github.io/Logging_0980/tillsyn/A 3324-2023 tillsynsbegäran.docx", "A 3324-2023")</f>
        <v/>
      </c>
      <c r="Y46">
        <f>HYPERLINK("https://klasma.github.io/Logging_0980/tillsynsmail/A 3324-2023 tillsynsbegäran mail.docx", "A 3324-2023")</f>
        <v/>
      </c>
    </row>
    <row r="47" ht="15" customHeight="1">
      <c r="A47" t="inlineStr">
        <is>
          <t>A 28287-2024</t>
        </is>
      </c>
      <c r="B47" s="1" t="n">
        <v>45477</v>
      </c>
      <c r="C47" s="1" t="n">
        <v>46204</v>
      </c>
      <c r="D47" t="inlineStr">
        <is>
          <t>GOTLANDS LÄN</t>
        </is>
      </c>
      <c r="E47" t="inlineStr">
        <is>
          <t>GOTLAND</t>
        </is>
      </c>
      <c r="G47" t="n">
        <v>23.4</v>
      </c>
      <c r="H47" t="n">
        <v>2</v>
      </c>
      <c r="I47" t="n">
        <v>0</v>
      </c>
      <c r="J47" t="n">
        <v>10</v>
      </c>
      <c r="K47" t="n">
        <v>0</v>
      </c>
      <c r="L47" t="n">
        <v>1</v>
      </c>
      <c r="M47" t="n">
        <v>0</v>
      </c>
      <c r="N47" t="n">
        <v>0</v>
      </c>
      <c r="O47" t="n">
        <v>11</v>
      </c>
      <c r="P47" t="n">
        <v>1</v>
      </c>
      <c r="Q47" t="n">
        <v>12</v>
      </c>
      <c r="R47" s="2" t="inlineStr">
        <is>
          <t>Ask
Axveronika
Backtimjan
Flentimotej
Gulsparv
Jordtistel
Piggtistel
Silversmygare
Smedbock
Solvända
Vårstarr
Blåsippa</t>
        </is>
      </c>
      <c r="S47">
        <f>HYPERLINK("https://klasma.github.io/Logging_0980/artfynd/A 28287-2024 artfynd.xlsx", "A 28287-2024")</f>
        <v/>
      </c>
      <c r="T47">
        <f>HYPERLINK("https://klasma.github.io/Logging_0980/kartor/A 28287-2024 karta.png", "A 28287-2024")</f>
        <v/>
      </c>
      <c r="V47">
        <f>HYPERLINK("https://klasma.github.io/Logging_0980/klagomål/A 28287-2024 FSC-klagomål.docx", "A 28287-2024")</f>
        <v/>
      </c>
      <c r="W47">
        <f>HYPERLINK("https://klasma.github.io/Logging_0980/klagomålsmail/A 28287-2024 FSC-klagomål mail.docx", "A 28287-2024")</f>
        <v/>
      </c>
      <c r="X47">
        <f>HYPERLINK("https://klasma.github.io/Logging_0980/tillsyn/A 28287-2024 tillsynsbegäran.docx", "A 28287-2024")</f>
        <v/>
      </c>
      <c r="Y47">
        <f>HYPERLINK("https://klasma.github.io/Logging_0980/tillsynsmail/A 28287-2024 tillsynsbegäran mail.docx", "A 28287-2024")</f>
        <v/>
      </c>
      <c r="Z47">
        <f>HYPERLINK("https://klasma.github.io/Logging_0980/fåglar/A 28287-2024 prioriterade fågelarter.docx", "A 28287-2024")</f>
        <v/>
      </c>
    </row>
    <row r="48" ht="15" customHeight="1">
      <c r="A48" t="inlineStr">
        <is>
          <t>A 6052-2024</t>
        </is>
      </c>
      <c r="B48" s="1" t="n">
        <v>45336</v>
      </c>
      <c r="C48" s="1" t="n">
        <v>46204</v>
      </c>
      <c r="D48" t="inlineStr">
        <is>
          <t>GOTLANDS LÄN</t>
        </is>
      </c>
      <c r="E48" t="inlineStr">
        <is>
          <t>GOTLAND</t>
        </is>
      </c>
      <c r="G48" t="n">
        <v>10.3</v>
      </c>
      <c r="H48" t="n">
        <v>1</v>
      </c>
      <c r="I48" t="n">
        <v>3</v>
      </c>
      <c r="J48" t="n">
        <v>7</v>
      </c>
      <c r="K48" t="n">
        <v>2</v>
      </c>
      <c r="L48" t="n">
        <v>0</v>
      </c>
      <c r="M48" t="n">
        <v>0</v>
      </c>
      <c r="N48" t="n">
        <v>0</v>
      </c>
      <c r="O48" t="n">
        <v>9</v>
      </c>
      <c r="P48" t="n">
        <v>2</v>
      </c>
      <c r="Q48" t="n">
        <v>12</v>
      </c>
      <c r="R48" s="2" t="inlineStr">
        <is>
          <t>Lansettfibbla
Narrspindling
Ladlav
Odörspindling
Smedbock
Svinrot
Tallticka
Vippärt
Vårärt
Anisspindling
Nästrot
Olivspindling</t>
        </is>
      </c>
      <c r="S48">
        <f>HYPERLINK("https://klasma.github.io/Logging_0980/artfynd/A 6052-2024 artfynd.xlsx", "A 6052-2024")</f>
        <v/>
      </c>
      <c r="T48">
        <f>HYPERLINK("https://klasma.github.io/Logging_0980/kartor/A 6052-2024 karta.png", "A 6052-2024")</f>
        <v/>
      </c>
      <c r="V48">
        <f>HYPERLINK("https://klasma.github.io/Logging_0980/klagomål/A 6052-2024 FSC-klagomål.docx", "A 6052-2024")</f>
        <v/>
      </c>
      <c r="W48">
        <f>HYPERLINK("https://klasma.github.io/Logging_0980/klagomålsmail/A 6052-2024 FSC-klagomål mail.docx", "A 6052-2024")</f>
        <v/>
      </c>
      <c r="X48">
        <f>HYPERLINK("https://klasma.github.io/Logging_0980/tillsyn/A 6052-2024 tillsynsbegäran.docx", "A 6052-2024")</f>
        <v/>
      </c>
      <c r="Y48">
        <f>HYPERLINK("https://klasma.github.io/Logging_0980/tillsynsmail/A 6052-2024 tillsynsbegäran mail.docx", "A 6052-2024")</f>
        <v/>
      </c>
    </row>
    <row r="49" ht="15" customHeight="1">
      <c r="A49" t="inlineStr">
        <is>
          <t>A 17766-2024</t>
        </is>
      </c>
      <c r="B49" s="1" t="n">
        <v>45418</v>
      </c>
      <c r="C49" s="1" t="n">
        <v>46204</v>
      </c>
      <c r="D49" t="inlineStr">
        <is>
          <t>GOTLANDS LÄN</t>
        </is>
      </c>
      <c r="E49" t="inlineStr">
        <is>
          <t>GOTLAND</t>
        </is>
      </c>
      <c r="G49" t="n">
        <v>1.3</v>
      </c>
      <c r="H49" t="n">
        <v>2</v>
      </c>
      <c r="I49" t="n">
        <v>3</v>
      </c>
      <c r="J49" t="n">
        <v>3</v>
      </c>
      <c r="K49" t="n">
        <v>5</v>
      </c>
      <c r="L49" t="n">
        <v>1</v>
      </c>
      <c r="M49" t="n">
        <v>0</v>
      </c>
      <c r="N49" t="n">
        <v>0</v>
      </c>
      <c r="O49" t="n">
        <v>9</v>
      </c>
      <c r="P49" t="n">
        <v>6</v>
      </c>
      <c r="Q49" t="n">
        <v>12</v>
      </c>
      <c r="R49" s="2" t="inlineStr">
        <is>
          <t>Svartnande fingersvamp
Bredbrämad bastardsvärmare
Gråfingerört
Gulsträngad fagerspindling
Naveljordstjärna
Svartfläckig blåvinge
Fyrflikig jordstjärna
Timjansnyltrot
Vippärt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584-2023</t>
        </is>
      </c>
      <c r="B50" s="1" t="n">
        <v>44930</v>
      </c>
      <c r="C50" s="1" t="n">
        <v>46204</v>
      </c>
      <c r="D50" t="inlineStr">
        <is>
          <t>GOTLANDS LÄN</t>
        </is>
      </c>
      <c r="E50" t="inlineStr">
        <is>
          <t>GOTLAND</t>
        </is>
      </c>
      <c r="G50" t="n">
        <v>27.2</v>
      </c>
      <c r="H50" t="n">
        <v>3</v>
      </c>
      <c r="I50" t="n">
        <v>2</v>
      </c>
      <c r="J50" t="n">
        <v>6</v>
      </c>
      <c r="K50" t="n">
        <v>2</v>
      </c>
      <c r="L50" t="n">
        <v>0</v>
      </c>
      <c r="M50" t="n">
        <v>0</v>
      </c>
      <c r="N50" t="n">
        <v>0</v>
      </c>
      <c r="O50" t="n">
        <v>8</v>
      </c>
      <c r="P50" t="n">
        <v>2</v>
      </c>
      <c r="Q50" t="n">
        <v>11</v>
      </c>
      <c r="R50" s="2" t="inlineStr">
        <is>
          <t>Garderönn
Granrotspindling
Backtimjan
Denisespindling
Dårgräsfjäril
Jungfrulin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27280-2023</t>
        </is>
      </c>
      <c r="B51" s="1" t="n">
        <v>45096</v>
      </c>
      <c r="C51" s="1" t="n">
        <v>46204</v>
      </c>
      <c r="D51" t="inlineStr">
        <is>
          <t>GOTLANDS LÄN</t>
        </is>
      </c>
      <c r="E51" t="inlineStr">
        <is>
          <t>GOTLAND</t>
        </is>
      </c>
      <c r="G51" t="n">
        <v>2.7</v>
      </c>
      <c r="H51" t="n">
        <v>11</v>
      </c>
      <c r="I51" t="n">
        <v>2</v>
      </c>
      <c r="J51" t="n">
        <v>2</v>
      </c>
      <c r="K51" t="n">
        <v>1</v>
      </c>
      <c r="L51" t="n">
        <v>1</v>
      </c>
      <c r="M51" t="n">
        <v>0</v>
      </c>
      <c r="N51" t="n">
        <v>0</v>
      </c>
      <c r="O51" t="n">
        <v>4</v>
      </c>
      <c r="P51" t="n">
        <v>2</v>
      </c>
      <c r="Q51" t="n">
        <v>11</v>
      </c>
      <c r="R51" s="2" t="inlineStr">
        <is>
          <t>Sommargylling
Stare
Björktrast
Mindre hackspett
Skogsknipprot
Tvåblad
Spillkråka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2649-2023</t>
        </is>
      </c>
      <c r="B52" s="1" t="n">
        <v>44943</v>
      </c>
      <c r="C52" s="1" t="n">
        <v>46204</v>
      </c>
      <c r="D52" t="inlineStr">
        <is>
          <t>GOTLANDS LÄN</t>
        </is>
      </c>
      <c r="E52" t="inlineStr">
        <is>
          <t>GOTLAND</t>
        </is>
      </c>
      <c r="G52" t="n">
        <v>2.6</v>
      </c>
      <c r="H52" t="n">
        <v>1</v>
      </c>
      <c r="I52" t="n">
        <v>2</v>
      </c>
      <c r="J52" t="n">
        <v>2</v>
      </c>
      <c r="K52" t="n">
        <v>7</v>
      </c>
      <c r="L52" t="n">
        <v>0</v>
      </c>
      <c r="M52" t="n">
        <v>0</v>
      </c>
      <c r="N52" t="n">
        <v>0</v>
      </c>
      <c r="O52" t="n">
        <v>9</v>
      </c>
      <c r="P52" t="n">
        <v>7</v>
      </c>
      <c r="Q52" t="n">
        <v>11</v>
      </c>
      <c r="R52" s="2" t="inlineStr">
        <is>
          <t>Duvspindling
Garderönn
Granrotspindling
Gul lammticka
Gulsträngad fagerspindling
Svartgrön spindling
Violettfläckig spindling
Blå slemspindling
Svinrot
Anisspindling
Olivspindling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66091-2021</t>
        </is>
      </c>
      <c r="B53" s="1" t="n">
        <v>44517</v>
      </c>
      <c r="C53" s="1" t="n">
        <v>46204</v>
      </c>
      <c r="D53" t="inlineStr">
        <is>
          <t>GOTLANDS LÄN</t>
        </is>
      </c>
      <c r="E53" t="inlineStr">
        <is>
          <t>GOTLAND</t>
        </is>
      </c>
      <c r="G53" t="n">
        <v>11.7</v>
      </c>
      <c r="H53" t="n">
        <v>5</v>
      </c>
      <c r="I53" t="n">
        <v>1</v>
      </c>
      <c r="J53" t="n">
        <v>5</v>
      </c>
      <c r="K53" t="n">
        <v>0</v>
      </c>
      <c r="L53" t="n">
        <v>1</v>
      </c>
      <c r="M53" t="n">
        <v>0</v>
      </c>
      <c r="N53" t="n">
        <v>0</v>
      </c>
      <c r="O53" t="n">
        <v>6</v>
      </c>
      <c r="P53" t="n">
        <v>1</v>
      </c>
      <c r="Q53" t="n">
        <v>10</v>
      </c>
      <c r="R53" s="2" t="inlineStr">
        <is>
          <t>Pärluggla
Axveronika
Göktyta
Kattfotslav
Solvända
Säfferot
Havstulpanlav
Nattskärra
Trädlärka
Salepsrot</t>
        </is>
      </c>
      <c r="S53">
        <f>HYPERLINK("https://klasma.github.io/Logging_0980/artfynd/A 66091-2021 artfynd.xlsx", "A 66091-2021")</f>
        <v/>
      </c>
      <c r="T53">
        <f>HYPERLINK("https://klasma.github.io/Logging_0980/kartor/A 66091-2021 karta.png", "A 66091-2021")</f>
        <v/>
      </c>
      <c r="V53">
        <f>HYPERLINK("https://klasma.github.io/Logging_0980/klagomål/A 66091-2021 FSC-klagomål.docx", "A 66091-2021")</f>
        <v/>
      </c>
      <c r="W53">
        <f>HYPERLINK("https://klasma.github.io/Logging_0980/klagomålsmail/A 66091-2021 FSC-klagomål mail.docx", "A 66091-2021")</f>
        <v/>
      </c>
      <c r="X53">
        <f>HYPERLINK("https://klasma.github.io/Logging_0980/tillsyn/A 66091-2021 tillsynsbegäran.docx", "A 66091-2021")</f>
        <v/>
      </c>
      <c r="Y53">
        <f>HYPERLINK("https://klasma.github.io/Logging_0980/tillsynsmail/A 66091-2021 tillsynsbegäran mail.docx", "A 66091-2021")</f>
        <v/>
      </c>
      <c r="Z53">
        <f>HYPERLINK("https://klasma.github.io/Logging_0980/fåglar/A 66091-2021 prioriterade fågelarter.docx", "A 66091-2021")</f>
        <v/>
      </c>
    </row>
    <row r="54" ht="15" customHeight="1">
      <c r="A54" t="inlineStr">
        <is>
          <t>A 55649-2024</t>
        </is>
      </c>
      <c r="B54" s="1" t="n">
        <v>45622</v>
      </c>
      <c r="C54" s="1" t="n">
        <v>46204</v>
      </c>
      <c r="D54" t="inlineStr">
        <is>
          <t>GOTLANDS LÄN</t>
        </is>
      </c>
      <c r="E54" t="inlineStr">
        <is>
          <t>GOTLAND</t>
        </is>
      </c>
      <c r="G54" t="n">
        <v>4.6</v>
      </c>
      <c r="H54" t="n">
        <v>3</v>
      </c>
      <c r="I54" t="n">
        <v>1</v>
      </c>
      <c r="J54" t="n">
        <v>6</v>
      </c>
      <c r="K54" t="n">
        <v>0</v>
      </c>
      <c r="L54" t="n">
        <v>0</v>
      </c>
      <c r="M54" t="n">
        <v>0</v>
      </c>
      <c r="N54" t="n">
        <v>0</v>
      </c>
      <c r="O54" t="n">
        <v>6</v>
      </c>
      <c r="P54" t="n">
        <v>0</v>
      </c>
      <c r="Q54" t="n">
        <v>10</v>
      </c>
      <c r="R54" s="2" t="inlineStr">
        <is>
          <t>Backtimjan
Jordtistel
Jungfrulin
Solvända
Svinrot
Ängsnätfjäril
Guldlockmossa
Blåsippa
Sankt pers nycklar
Gullviva</t>
        </is>
      </c>
      <c r="S54">
        <f>HYPERLINK("https://klasma.github.io/Logging_0980/artfynd/A 55649-2024 artfynd.xlsx", "A 55649-2024")</f>
        <v/>
      </c>
      <c r="T54">
        <f>HYPERLINK("https://klasma.github.io/Logging_0980/kartor/A 55649-2024 karta.png", "A 55649-2024")</f>
        <v/>
      </c>
      <c r="V54">
        <f>HYPERLINK("https://klasma.github.io/Logging_0980/klagomål/A 55649-2024 FSC-klagomål.docx", "A 55649-2024")</f>
        <v/>
      </c>
      <c r="W54">
        <f>HYPERLINK("https://klasma.github.io/Logging_0980/klagomålsmail/A 55649-2024 FSC-klagomål mail.docx", "A 55649-2024")</f>
        <v/>
      </c>
      <c r="X54">
        <f>HYPERLINK("https://klasma.github.io/Logging_0980/tillsyn/A 55649-2024 tillsynsbegäran.docx", "A 55649-2024")</f>
        <v/>
      </c>
      <c r="Y54">
        <f>HYPERLINK("https://klasma.github.io/Logging_0980/tillsynsmail/A 55649-2024 tillsynsbegäran mail.docx", "A 55649-2024")</f>
        <v/>
      </c>
    </row>
    <row r="55" ht="15" customHeight="1">
      <c r="A55" t="inlineStr">
        <is>
          <t>A 32326-2024</t>
        </is>
      </c>
      <c r="B55" s="1" t="n">
        <v>45512</v>
      </c>
      <c r="C55" s="1" t="n">
        <v>46204</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45248-2024</t>
        </is>
      </c>
      <c r="B56" s="1" t="n">
        <v>45576</v>
      </c>
      <c r="C56" s="1" t="n">
        <v>46204</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44944-2022</t>
        </is>
      </c>
      <c r="B57" s="1" t="n">
        <v>44841</v>
      </c>
      <c r="C57" s="1" t="n">
        <v>46204</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186-2023</t>
        </is>
      </c>
      <c r="B58" s="1" t="n">
        <v>44928</v>
      </c>
      <c r="C58" s="1" t="n">
        <v>46204</v>
      </c>
      <c r="D58" t="inlineStr">
        <is>
          <t>GOTLANDS LÄN</t>
        </is>
      </c>
      <c r="E58" t="inlineStr">
        <is>
          <t>GOTLAND</t>
        </is>
      </c>
      <c r="G58" t="n">
        <v>2.2</v>
      </c>
      <c r="H58" t="n">
        <v>2</v>
      </c>
      <c r="I58" t="n">
        <v>4</v>
      </c>
      <c r="J58" t="n">
        <v>4</v>
      </c>
      <c r="K58" t="n">
        <v>2</v>
      </c>
      <c r="L58" t="n">
        <v>0</v>
      </c>
      <c r="M58" t="n">
        <v>0</v>
      </c>
      <c r="N58" t="n">
        <v>0</v>
      </c>
      <c r="O58" t="n">
        <v>6</v>
      </c>
      <c r="P58" t="n">
        <v>2</v>
      </c>
      <c r="Q58" t="n">
        <v>10</v>
      </c>
      <c r="R58" s="2" t="inlineStr">
        <is>
          <t>Svartgrön spindling
Vit taggsvamp
Blå slemspindling
Bronspraktbagge
Odörspindling
Smedbock
Anisspindling
Mindre märgborre
Nästrot
Skogsknipprot</t>
        </is>
      </c>
      <c r="S58">
        <f>HYPERLINK("https://klasma.github.io/Logging_0980/artfynd/A 186-2023 artfynd.xlsx", "A 186-2023")</f>
        <v/>
      </c>
      <c r="T58">
        <f>HYPERLINK("https://klasma.github.io/Logging_0980/kartor/A 186-2023 karta.png", "A 186-2023")</f>
        <v/>
      </c>
      <c r="V58">
        <f>HYPERLINK("https://klasma.github.io/Logging_0980/klagomål/A 186-2023 FSC-klagomål.docx", "A 186-2023")</f>
        <v/>
      </c>
      <c r="W58">
        <f>HYPERLINK("https://klasma.github.io/Logging_0980/klagomålsmail/A 186-2023 FSC-klagomål mail.docx", "A 186-2023")</f>
        <v/>
      </c>
      <c r="X58">
        <f>HYPERLINK("https://klasma.github.io/Logging_0980/tillsyn/A 186-2023 tillsynsbegäran.docx", "A 186-2023")</f>
        <v/>
      </c>
      <c r="Y58">
        <f>HYPERLINK("https://klasma.github.io/Logging_0980/tillsynsmail/A 186-2023 tillsynsbegäran mail.docx", "A 186-2023")</f>
        <v/>
      </c>
    </row>
    <row r="59" ht="15" customHeight="1">
      <c r="A59" t="inlineStr">
        <is>
          <t>A 18541-2024</t>
        </is>
      </c>
      <c r="B59" s="1" t="n">
        <v>45425</v>
      </c>
      <c r="C59" s="1" t="n">
        <v>46204</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4984-2025</t>
        </is>
      </c>
      <c r="B60" s="1" t="n">
        <v>45691</v>
      </c>
      <c r="C60" s="1" t="n">
        <v>46204</v>
      </c>
      <c r="D60" t="inlineStr">
        <is>
          <t>GOTLANDS LÄN</t>
        </is>
      </c>
      <c r="E60" t="inlineStr">
        <is>
          <t>GOTLAND</t>
        </is>
      </c>
      <c r="G60" t="n">
        <v>1.3</v>
      </c>
      <c r="H60" t="n">
        <v>6</v>
      </c>
      <c r="I60" t="n">
        <v>2</v>
      </c>
      <c r="J60" t="n">
        <v>4</v>
      </c>
      <c r="K60" t="n">
        <v>0</v>
      </c>
      <c r="L60" t="n">
        <v>0</v>
      </c>
      <c r="M60" t="n">
        <v>0</v>
      </c>
      <c r="N60" t="n">
        <v>0</v>
      </c>
      <c r="O60" t="n">
        <v>4</v>
      </c>
      <c r="P60" t="n">
        <v>0</v>
      </c>
      <c r="Q60" t="n">
        <v>10</v>
      </c>
      <c r="R60" s="2" t="inlineStr">
        <is>
          <t>Gulsparv
Jordtistel
Sminkrot
Svinrot
Grönpyrola
Tvåblad
Ärtsångare
Brudsporre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22404-2024</t>
        </is>
      </c>
      <c r="B61" s="1" t="n">
        <v>45446</v>
      </c>
      <c r="C61" s="1" t="n">
        <v>46204</v>
      </c>
      <c r="D61" t="inlineStr">
        <is>
          <t>GOTLANDS LÄN</t>
        </is>
      </c>
      <c r="E61" t="inlineStr">
        <is>
          <t>GOTLAND</t>
        </is>
      </c>
      <c r="G61" t="n">
        <v>11.4</v>
      </c>
      <c r="H61" t="n">
        <v>3</v>
      </c>
      <c r="I61" t="n">
        <v>5</v>
      </c>
      <c r="J61" t="n">
        <v>2</v>
      </c>
      <c r="K61" t="n">
        <v>3</v>
      </c>
      <c r="L61" t="n">
        <v>0</v>
      </c>
      <c r="M61" t="n">
        <v>0</v>
      </c>
      <c r="N61" t="n">
        <v>0</v>
      </c>
      <c r="O61" t="n">
        <v>5</v>
      </c>
      <c r="P61" t="n">
        <v>3</v>
      </c>
      <c r="Q61" t="n">
        <v>10</v>
      </c>
      <c r="R61" s="2" t="inlineStr">
        <is>
          <t>Blåfotad fagerspindling
Bullspindling
Vit taggsvamp
Barrfagerspindling
Blå slemspindling
Flugblomster
Purpurknipprot
Rödgul trumpetsvamp
Svavelriska
Tvåblad</t>
        </is>
      </c>
      <c r="S61">
        <f>HYPERLINK("https://klasma.github.io/Logging_0980/artfynd/A 22404-2024 artfynd.xlsx", "A 22404-2024")</f>
        <v/>
      </c>
      <c r="T61">
        <f>HYPERLINK("https://klasma.github.io/Logging_0980/kartor/A 22404-2024 karta.png", "A 22404-2024")</f>
        <v/>
      </c>
      <c r="V61">
        <f>HYPERLINK("https://klasma.github.io/Logging_0980/klagomål/A 22404-2024 FSC-klagomål.docx", "A 22404-2024")</f>
        <v/>
      </c>
      <c r="W61">
        <f>HYPERLINK("https://klasma.github.io/Logging_0980/klagomålsmail/A 22404-2024 FSC-klagomål mail.docx", "A 22404-2024")</f>
        <v/>
      </c>
      <c r="X61">
        <f>HYPERLINK("https://klasma.github.io/Logging_0980/tillsyn/A 22404-2024 tillsynsbegäran.docx", "A 22404-2024")</f>
        <v/>
      </c>
      <c r="Y61">
        <f>HYPERLINK("https://klasma.github.io/Logging_0980/tillsynsmail/A 22404-2024 tillsynsbegäran mail.docx", "A 22404-2024")</f>
        <v/>
      </c>
    </row>
    <row r="62" ht="15" customHeight="1">
      <c r="A62" t="inlineStr">
        <is>
          <t>A 39376-2023</t>
        </is>
      </c>
      <c r="B62" s="1" t="n">
        <v>45166</v>
      </c>
      <c r="C62" s="1" t="n">
        <v>46204</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46204</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1769-2022</t>
        </is>
      </c>
      <c r="B64" s="1" t="n">
        <v>44574</v>
      </c>
      <c r="C64" s="1" t="n">
        <v>46204</v>
      </c>
      <c r="D64" t="inlineStr">
        <is>
          <t>GOTLANDS LÄN</t>
        </is>
      </c>
      <c r="E64" t="inlineStr">
        <is>
          <t>GOTLAND</t>
        </is>
      </c>
      <c r="G64" t="n">
        <v>31.3</v>
      </c>
      <c r="H64" t="n">
        <v>5</v>
      </c>
      <c r="I64" t="n">
        <v>1</v>
      </c>
      <c r="J64" t="n">
        <v>4</v>
      </c>
      <c r="K64" t="n">
        <v>0</v>
      </c>
      <c r="L64" t="n">
        <v>0</v>
      </c>
      <c r="M64" t="n">
        <v>0</v>
      </c>
      <c r="N64" t="n">
        <v>0</v>
      </c>
      <c r="O64" t="n">
        <v>4</v>
      </c>
      <c r="P64" t="n">
        <v>0</v>
      </c>
      <c r="Q64" t="n">
        <v>9</v>
      </c>
      <c r="R64" s="2" t="inlineStr">
        <is>
          <t>Axveronika
Loppstarr
Majviva
Ängsstarr
Flugblomster
Brudsporre
Grönvit nattviol
Kärrknipprot
Vanliga ängsnycklar</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20833-2024</t>
        </is>
      </c>
      <c r="B65" s="1" t="n">
        <v>45439</v>
      </c>
      <c r="C65" s="1" t="n">
        <v>46204</v>
      </c>
      <c r="D65" t="inlineStr">
        <is>
          <t>GOTLANDS LÄN</t>
        </is>
      </c>
      <c r="E65" t="inlineStr">
        <is>
          <t>GOTLAND</t>
        </is>
      </c>
      <c r="G65" t="n">
        <v>0.9</v>
      </c>
      <c r="H65" t="n">
        <v>5</v>
      </c>
      <c r="I65" t="n">
        <v>2</v>
      </c>
      <c r="J65" t="n">
        <v>5</v>
      </c>
      <c r="K65" t="n">
        <v>1</v>
      </c>
      <c r="L65" t="n">
        <v>0</v>
      </c>
      <c r="M65" t="n">
        <v>0</v>
      </c>
      <c r="N65" t="n">
        <v>0</v>
      </c>
      <c r="O65" t="n">
        <v>6</v>
      </c>
      <c r="P65" t="n">
        <v>1</v>
      </c>
      <c r="Q65" t="n">
        <v>9</v>
      </c>
      <c r="R65" s="2" t="inlineStr">
        <is>
          <t>Svartfläckig blåvinge
Backtimjan
Dårgräsfjäril
Jordtistel
Solvända
Svinrot
Skogsknipprot
Tvåblad
Spillkråka</t>
        </is>
      </c>
      <c r="S65">
        <f>HYPERLINK("https://klasma.github.io/Logging_0980/artfynd/A 20833-2024 artfynd.xlsx", "A 20833-2024")</f>
        <v/>
      </c>
      <c r="T65">
        <f>HYPERLINK("https://klasma.github.io/Logging_0980/kartor/A 20833-2024 karta.png", "A 20833-2024")</f>
        <v/>
      </c>
      <c r="V65">
        <f>HYPERLINK("https://klasma.github.io/Logging_0980/klagomål/A 20833-2024 FSC-klagomål.docx", "A 20833-2024")</f>
        <v/>
      </c>
      <c r="W65">
        <f>HYPERLINK("https://klasma.github.io/Logging_0980/klagomålsmail/A 20833-2024 FSC-klagomål mail.docx", "A 20833-2024")</f>
        <v/>
      </c>
      <c r="X65">
        <f>HYPERLINK("https://klasma.github.io/Logging_0980/tillsyn/A 20833-2024 tillsynsbegäran.docx", "A 20833-2024")</f>
        <v/>
      </c>
      <c r="Y65">
        <f>HYPERLINK("https://klasma.github.io/Logging_0980/tillsynsmail/A 20833-2024 tillsynsbegäran mail.docx", "A 20833-2024")</f>
        <v/>
      </c>
      <c r="Z65">
        <f>HYPERLINK("https://klasma.github.io/Logging_0980/fåglar/A 20833-2024 prioriterade fågelarter.docx", "A 20833-2024")</f>
        <v/>
      </c>
    </row>
    <row r="66" ht="15" customHeight="1">
      <c r="A66" t="inlineStr">
        <is>
          <t>A 17328-2026</t>
        </is>
      </c>
      <c r="B66" s="1" t="n">
        <v>46119</v>
      </c>
      <c r="C66" s="1" t="n">
        <v>46204</v>
      </c>
      <c r="D66" t="inlineStr">
        <is>
          <t>GOTLANDS LÄN</t>
        </is>
      </c>
      <c r="E66" t="inlineStr">
        <is>
          <t>GOTLAND</t>
        </is>
      </c>
      <c r="F66" t="inlineStr">
        <is>
          <t>Kyrkan</t>
        </is>
      </c>
      <c r="G66" t="n">
        <v>4</v>
      </c>
      <c r="H66" t="n">
        <v>3</v>
      </c>
      <c r="I66" t="n">
        <v>0</v>
      </c>
      <c r="J66" t="n">
        <v>6</v>
      </c>
      <c r="K66" t="n">
        <v>1</v>
      </c>
      <c r="L66" t="n">
        <v>1</v>
      </c>
      <c r="M66" t="n">
        <v>0</v>
      </c>
      <c r="N66" t="n">
        <v>0</v>
      </c>
      <c r="O66" t="n">
        <v>8</v>
      </c>
      <c r="P66" t="n">
        <v>2</v>
      </c>
      <c r="Q66" t="n">
        <v>9</v>
      </c>
      <c r="R66" s="2" t="inlineStr">
        <is>
          <t>Ask
Garderönn
Backtimjan
Bergjohannesört
Dårgräsfjäril
Jordtistel
Solvända
Svinrot
Spillkråka</t>
        </is>
      </c>
      <c r="S66">
        <f>HYPERLINK("https://klasma.github.io/Logging_0980/artfynd/A 17328-2026 artfynd.xlsx", "A 17328-2026")</f>
        <v/>
      </c>
      <c r="T66">
        <f>HYPERLINK("https://klasma.github.io/Logging_0980/kartor/A 17328-2026 karta.png", "A 17328-2026")</f>
        <v/>
      </c>
      <c r="V66">
        <f>HYPERLINK("https://klasma.github.io/Logging_0980/klagomål/A 17328-2026 FSC-klagomål.docx", "A 17328-2026")</f>
        <v/>
      </c>
      <c r="W66">
        <f>HYPERLINK("https://klasma.github.io/Logging_0980/klagomålsmail/A 17328-2026 FSC-klagomål mail.docx", "A 17328-2026")</f>
        <v/>
      </c>
      <c r="X66">
        <f>HYPERLINK("https://klasma.github.io/Logging_0980/tillsyn/A 17328-2026 tillsynsbegäran.docx", "A 17328-2026")</f>
        <v/>
      </c>
      <c r="Y66">
        <f>HYPERLINK("https://klasma.github.io/Logging_0980/tillsynsmail/A 17328-2026 tillsynsbegäran mail.docx", "A 17328-2026")</f>
        <v/>
      </c>
      <c r="Z66">
        <f>HYPERLINK("https://klasma.github.io/Logging_0980/fåglar/A 17328-2026 prioriterade fågelarter.docx", "A 17328-2026")</f>
        <v/>
      </c>
    </row>
    <row r="67" ht="15" customHeight="1">
      <c r="A67" t="inlineStr">
        <is>
          <t>A 44308-2021</t>
        </is>
      </c>
      <c r="B67" s="1" t="n">
        <v>44434</v>
      </c>
      <c r="C67" s="1" t="n">
        <v>46204</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7038-2023</t>
        </is>
      </c>
      <c r="B68" s="1" t="n">
        <v>44968</v>
      </c>
      <c r="C68" s="1" t="n">
        <v>46204</v>
      </c>
      <c r="D68" t="inlineStr">
        <is>
          <t>GOTLANDS LÄN</t>
        </is>
      </c>
      <c r="E68" t="inlineStr">
        <is>
          <t>GOTLAND</t>
        </is>
      </c>
      <c r="G68" t="n">
        <v>5.2</v>
      </c>
      <c r="H68" t="n">
        <v>1</v>
      </c>
      <c r="I68" t="n">
        <v>2</v>
      </c>
      <c r="J68" t="n">
        <v>1</v>
      </c>
      <c r="K68" t="n">
        <v>2</v>
      </c>
      <c r="L68" t="n">
        <v>1</v>
      </c>
      <c r="M68" t="n">
        <v>0</v>
      </c>
      <c r="N68" t="n">
        <v>0</v>
      </c>
      <c r="O68" t="n">
        <v>6</v>
      </c>
      <c r="P68" t="n">
        <v>3</v>
      </c>
      <c r="Q68" t="n">
        <v>8</v>
      </c>
      <c r="R68" s="2" t="inlineStr">
        <is>
          <t>Liten ädellav
Tät korallorangelav
Ädellav
Dårgräsfjäril
Blemlavsklotter
Frostig asplav
Guldlockmossa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46204</v>
      </c>
      <c r="D69" t="inlineStr">
        <is>
          <t>GOTLANDS LÄN</t>
        </is>
      </c>
      <c r="E69" t="inlineStr">
        <is>
          <t>GOTLAND</t>
        </is>
      </c>
      <c r="G69" t="n">
        <v>28.5</v>
      </c>
      <c r="H69" t="n">
        <v>2</v>
      </c>
      <c r="I69" t="n">
        <v>0</v>
      </c>
      <c r="J69" t="n">
        <v>4</v>
      </c>
      <c r="K69" t="n">
        <v>1</v>
      </c>
      <c r="L69" t="n">
        <v>1</v>
      </c>
      <c r="M69" t="n">
        <v>0</v>
      </c>
      <c r="N69" t="n">
        <v>0</v>
      </c>
      <c r="O69" t="n">
        <v>6</v>
      </c>
      <c r="P69" t="n">
        <v>2</v>
      </c>
      <c r="Q69" t="n">
        <v>8</v>
      </c>
      <c r="R69" s="2" t="inlineStr">
        <is>
          <t>Ask
Sexfläckig bastardsvärmare
Backstarr
Backtimjan
Jordtistel
Solvända
Nattskärra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c r="Z69">
        <f>HYPERLINK("https://klasma.github.io/Logging_0980/fåglar/A 54527-2023 prioriterade fågelarter.docx", "A 54527-2023")</f>
        <v/>
      </c>
    </row>
    <row r="70" ht="15" customHeight="1">
      <c r="A70" t="inlineStr">
        <is>
          <t>A 57773-2025</t>
        </is>
      </c>
      <c r="B70" s="1" t="n">
        <v>45981</v>
      </c>
      <c r="C70" s="1" t="n">
        <v>46204</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1971-2023</t>
        </is>
      </c>
      <c r="B71" s="1" t="n">
        <v>44939</v>
      </c>
      <c r="C71" s="1" t="n">
        <v>46204</v>
      </c>
      <c r="D71" t="inlineStr">
        <is>
          <t>GOTLANDS LÄN</t>
        </is>
      </c>
      <c r="E71" t="inlineStr">
        <is>
          <t>GOTLAND</t>
        </is>
      </c>
      <c r="G71" t="n">
        <v>5.5</v>
      </c>
      <c r="H71" t="n">
        <v>0</v>
      </c>
      <c r="I71" t="n">
        <v>3</v>
      </c>
      <c r="J71" t="n">
        <v>3</v>
      </c>
      <c r="K71" t="n">
        <v>2</v>
      </c>
      <c r="L71" t="n">
        <v>0</v>
      </c>
      <c r="M71" t="n">
        <v>0</v>
      </c>
      <c r="N71" t="n">
        <v>0</v>
      </c>
      <c r="O71" t="n">
        <v>5</v>
      </c>
      <c r="P71" t="n">
        <v>2</v>
      </c>
      <c r="Q71" t="n">
        <v>8</v>
      </c>
      <c r="R71" s="2" t="inlineStr">
        <is>
          <t>Granrotspindling
Gulsträngad fagerspindling
Fjällig taggsvamp s.str.
Sandviol
Svinrot
Blomkålssvamp
Olivspindling
Rödbrun jordstjärna</t>
        </is>
      </c>
      <c r="S71">
        <f>HYPERLINK("https://klasma.github.io/Logging_0980/artfynd/A 1971-2023 artfynd.xlsx", "A 1971-2023")</f>
        <v/>
      </c>
      <c r="T71">
        <f>HYPERLINK("https://klasma.github.io/Logging_0980/kartor/A 1971-2023 karta.png", "A 1971-2023")</f>
        <v/>
      </c>
      <c r="V71">
        <f>HYPERLINK("https://klasma.github.io/Logging_0980/klagomål/A 1971-2023 FSC-klagomål.docx", "A 1971-2023")</f>
        <v/>
      </c>
      <c r="W71">
        <f>HYPERLINK("https://klasma.github.io/Logging_0980/klagomålsmail/A 1971-2023 FSC-klagomål mail.docx", "A 1971-2023")</f>
        <v/>
      </c>
      <c r="X71">
        <f>HYPERLINK("https://klasma.github.io/Logging_0980/tillsyn/A 1971-2023 tillsynsbegäran.docx", "A 1971-2023")</f>
        <v/>
      </c>
      <c r="Y71">
        <f>HYPERLINK("https://klasma.github.io/Logging_0980/tillsynsmail/A 1971-2023 tillsynsbegäran mail.docx", "A 1971-2023")</f>
        <v/>
      </c>
    </row>
    <row r="72" ht="15" customHeight="1">
      <c r="A72" t="inlineStr">
        <is>
          <t>A 6836-2026</t>
        </is>
      </c>
      <c r="B72" s="1" t="n">
        <v>46057</v>
      </c>
      <c r="C72" s="1" t="n">
        <v>46204</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54527-2023</t>
        </is>
      </c>
      <c r="B73" s="1" t="n">
        <v>45233</v>
      </c>
      <c r="C73" s="1" t="n">
        <v>46204</v>
      </c>
      <c r="D73" t="inlineStr">
        <is>
          <t>GOTLANDS LÄN</t>
        </is>
      </c>
      <c r="E73" t="inlineStr">
        <is>
          <t>GOTLAND</t>
        </is>
      </c>
      <c r="G73" t="n">
        <v>28.5</v>
      </c>
      <c r="H73" t="n">
        <v>2</v>
      </c>
      <c r="I73" t="n">
        <v>0</v>
      </c>
      <c r="J73" t="n">
        <v>4</v>
      </c>
      <c r="K73" t="n">
        <v>1</v>
      </c>
      <c r="L73" t="n">
        <v>1</v>
      </c>
      <c r="M73" t="n">
        <v>0</v>
      </c>
      <c r="N73" t="n">
        <v>0</v>
      </c>
      <c r="O73" t="n">
        <v>6</v>
      </c>
      <c r="P73" t="n">
        <v>2</v>
      </c>
      <c r="Q73" t="n">
        <v>8</v>
      </c>
      <c r="R73" s="2" t="inlineStr">
        <is>
          <t>Ask
Sexfläckig bastardsvärmare
Backstarr
Backtimjan
Jordtistel
Solvända
Nattskärra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c r="Z73">
        <f>HYPERLINK("https://klasma.github.io/Logging_0980/fåglar/A 54527-2023 prioriterade fågelarter.docx", "A 54527-2023")</f>
        <v/>
      </c>
    </row>
    <row r="74" ht="15" customHeight="1">
      <c r="A74" t="inlineStr">
        <is>
          <t>A 27170-2026</t>
        </is>
      </c>
      <c r="B74" s="1" t="n">
        <v>46188</v>
      </c>
      <c r="C74" s="1" t="n">
        <v>46204</v>
      </c>
      <c r="D74" t="inlineStr">
        <is>
          <t>GOTLANDS LÄN</t>
        </is>
      </c>
      <c r="E74" t="inlineStr">
        <is>
          <t>GOTLAND</t>
        </is>
      </c>
      <c r="G74" t="n">
        <v>1.8</v>
      </c>
      <c r="H74" t="n">
        <v>3</v>
      </c>
      <c r="I74" t="n">
        <v>2</v>
      </c>
      <c r="J74" t="n">
        <v>2</v>
      </c>
      <c r="K74" t="n">
        <v>0</v>
      </c>
      <c r="L74" t="n">
        <v>0</v>
      </c>
      <c r="M74" t="n">
        <v>0</v>
      </c>
      <c r="N74" t="n">
        <v>0</v>
      </c>
      <c r="O74" t="n">
        <v>2</v>
      </c>
      <c r="P74" t="n">
        <v>0</v>
      </c>
      <c r="Q74" t="n">
        <v>8</v>
      </c>
      <c r="R74" s="2" t="inlineStr">
        <is>
          <t>Dårgräsfjäril
Svinrot
Blåmossa
Skogsknipprot
Liljekonvalj
Majbräken
Ormbär
Fläcknycklar</t>
        </is>
      </c>
      <c r="S74">
        <f>HYPERLINK("https://klasma.github.io/Logging_0980/artfynd/A 27170-2026 artfynd.xlsx", "A 27170-2026")</f>
        <v/>
      </c>
      <c r="T74">
        <f>HYPERLINK("https://klasma.github.io/Logging_0980/kartor/A 27170-2026 karta.png", "A 27170-2026")</f>
        <v/>
      </c>
      <c r="V74">
        <f>HYPERLINK("https://klasma.github.io/Logging_0980/klagomål/A 27170-2026 FSC-klagomål.docx", "A 27170-2026")</f>
        <v/>
      </c>
      <c r="W74">
        <f>HYPERLINK("https://klasma.github.io/Logging_0980/klagomålsmail/A 27170-2026 FSC-klagomål mail.docx", "A 27170-2026")</f>
        <v/>
      </c>
      <c r="X74">
        <f>HYPERLINK("https://klasma.github.io/Logging_0980/tillsyn/A 27170-2026 tillsynsbegäran.docx", "A 27170-2026")</f>
        <v/>
      </c>
      <c r="Y74">
        <f>HYPERLINK("https://klasma.github.io/Logging_0980/tillsynsmail/A 27170-2026 tillsynsbegäran mail.docx", "A 27170-2026")</f>
        <v/>
      </c>
    </row>
    <row r="75" ht="15" customHeight="1">
      <c r="A75" t="inlineStr">
        <is>
          <t>A 20831-2024</t>
        </is>
      </c>
      <c r="B75" s="1" t="n">
        <v>45439</v>
      </c>
      <c r="C75" s="1" t="n">
        <v>46204</v>
      </c>
      <c r="D75" t="inlineStr">
        <is>
          <t>GOTLANDS LÄN</t>
        </is>
      </c>
      <c r="E75" t="inlineStr">
        <is>
          <t>GOTLAND</t>
        </is>
      </c>
      <c r="G75" t="n">
        <v>2.9</v>
      </c>
      <c r="H75" t="n">
        <v>2</v>
      </c>
      <c r="I75" t="n">
        <v>1</v>
      </c>
      <c r="J75" t="n">
        <v>6</v>
      </c>
      <c r="K75" t="n">
        <v>1</v>
      </c>
      <c r="L75" t="n">
        <v>0</v>
      </c>
      <c r="M75" t="n">
        <v>0</v>
      </c>
      <c r="N75" t="n">
        <v>0</v>
      </c>
      <c r="O75" t="n">
        <v>7</v>
      </c>
      <c r="P75" t="n">
        <v>1</v>
      </c>
      <c r="Q75" t="n">
        <v>8</v>
      </c>
      <c r="R75" s="2" t="inlineStr">
        <is>
          <t>Vit taggsvamp
Axveronika
Backtimjan
Dårgräsfjäril
Jordtistel
Solvända
Svinrot
Skogsknipprot</t>
        </is>
      </c>
      <c r="S75">
        <f>HYPERLINK("https://klasma.github.io/Logging_0980/artfynd/A 20831-2024 artfynd.xlsx", "A 20831-2024")</f>
        <v/>
      </c>
      <c r="T75">
        <f>HYPERLINK("https://klasma.github.io/Logging_0980/kartor/A 20831-2024 karta.png", "A 20831-2024")</f>
        <v/>
      </c>
      <c r="V75">
        <f>HYPERLINK("https://klasma.github.io/Logging_0980/klagomål/A 20831-2024 FSC-klagomål.docx", "A 20831-2024")</f>
        <v/>
      </c>
      <c r="W75">
        <f>HYPERLINK("https://klasma.github.io/Logging_0980/klagomålsmail/A 20831-2024 FSC-klagomål mail.docx", "A 20831-2024")</f>
        <v/>
      </c>
      <c r="X75">
        <f>HYPERLINK("https://klasma.github.io/Logging_0980/tillsyn/A 20831-2024 tillsynsbegäran.docx", "A 20831-2024")</f>
        <v/>
      </c>
      <c r="Y75">
        <f>HYPERLINK("https://klasma.github.io/Logging_0980/tillsynsmail/A 20831-2024 tillsynsbegäran mail.docx", "A 20831-2024")</f>
        <v/>
      </c>
    </row>
    <row r="76" ht="15" customHeight="1">
      <c r="A76" t="inlineStr">
        <is>
          <t>A 446-2023</t>
        </is>
      </c>
      <c r="B76" s="1" t="n">
        <v>44929</v>
      </c>
      <c r="C76" s="1" t="n">
        <v>46204</v>
      </c>
      <c r="D76" t="inlineStr">
        <is>
          <t>GOTLANDS LÄN</t>
        </is>
      </c>
      <c r="E76" t="inlineStr">
        <is>
          <t>GOTLAND</t>
        </is>
      </c>
      <c r="G76" t="n">
        <v>7.1</v>
      </c>
      <c r="H76" t="n">
        <v>4</v>
      </c>
      <c r="I76" t="n">
        <v>3</v>
      </c>
      <c r="J76" t="n">
        <v>3</v>
      </c>
      <c r="K76" t="n">
        <v>1</v>
      </c>
      <c r="L76" t="n">
        <v>0</v>
      </c>
      <c r="M76" t="n">
        <v>0</v>
      </c>
      <c r="N76" t="n">
        <v>0</v>
      </c>
      <c r="O76" t="n">
        <v>4</v>
      </c>
      <c r="P76" t="n">
        <v>1</v>
      </c>
      <c r="Q76" t="n">
        <v>8</v>
      </c>
      <c r="R76" s="2" t="inlineStr">
        <is>
          <t>Svartgrön spindling
Backtimjan
Dårgräsfjäril
Äggspindling
Nästrot
Skogsknipprot
Svavelriska
Spillkråka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51737-2021</t>
        </is>
      </c>
      <c r="B77" s="1" t="n">
        <v>44462</v>
      </c>
      <c r="C77" s="1" t="n">
        <v>46204</v>
      </c>
      <c r="D77" t="inlineStr">
        <is>
          <t>GOTLANDS LÄN</t>
        </is>
      </c>
      <c r="E77" t="inlineStr">
        <is>
          <t>GOTLAND</t>
        </is>
      </c>
      <c r="G77" t="n">
        <v>8.6</v>
      </c>
      <c r="H77" t="n">
        <v>1</v>
      </c>
      <c r="I77" t="n">
        <v>4</v>
      </c>
      <c r="J77" t="n">
        <v>2</v>
      </c>
      <c r="K77" t="n">
        <v>1</v>
      </c>
      <c r="L77" t="n">
        <v>0</v>
      </c>
      <c r="M77" t="n">
        <v>0</v>
      </c>
      <c r="N77" t="n">
        <v>0</v>
      </c>
      <c r="O77" t="n">
        <v>3</v>
      </c>
      <c r="P77" t="n">
        <v>1</v>
      </c>
      <c r="Q77" t="n">
        <v>7</v>
      </c>
      <c r="R77" s="2" t="inlineStr">
        <is>
          <t>Igelkott
Blå slemspindling
Vårärt
Blåmossa
Kambräken
Skogsknipprot
Västlig hakmossa</t>
        </is>
      </c>
      <c r="S77">
        <f>HYPERLINK("https://klasma.github.io/Logging_0980/artfynd/A 51737-2021 artfynd.xlsx", "A 51737-2021")</f>
        <v/>
      </c>
      <c r="T77">
        <f>HYPERLINK("https://klasma.github.io/Logging_0980/kartor/A 51737-2021 karta.png", "A 51737-2021")</f>
        <v/>
      </c>
      <c r="V77">
        <f>HYPERLINK("https://klasma.github.io/Logging_0980/klagomål/A 51737-2021 FSC-klagomål.docx", "A 51737-2021")</f>
        <v/>
      </c>
      <c r="W77">
        <f>HYPERLINK("https://klasma.github.io/Logging_0980/klagomålsmail/A 51737-2021 FSC-klagomål mail.docx", "A 51737-2021")</f>
        <v/>
      </c>
      <c r="X77">
        <f>HYPERLINK("https://klasma.github.io/Logging_0980/tillsyn/A 51737-2021 tillsynsbegäran.docx", "A 51737-2021")</f>
        <v/>
      </c>
      <c r="Y77">
        <f>HYPERLINK("https://klasma.github.io/Logging_0980/tillsynsmail/A 51737-2021 tillsynsbegäran mail.docx", "A 51737-2021")</f>
        <v/>
      </c>
    </row>
    <row r="78" ht="15" customHeight="1">
      <c r="A78" t="inlineStr">
        <is>
          <t>A 2085-2023</t>
        </is>
      </c>
      <c r="B78" s="1" t="n">
        <v>44939</v>
      </c>
      <c r="C78" s="1" t="n">
        <v>46204</v>
      </c>
      <c r="D78" t="inlineStr">
        <is>
          <t>GOTLANDS LÄN</t>
        </is>
      </c>
      <c r="E78" t="inlineStr">
        <is>
          <t>GOTLAND</t>
        </is>
      </c>
      <c r="G78" t="n">
        <v>0.9</v>
      </c>
      <c r="H78" t="n">
        <v>2</v>
      </c>
      <c r="I78" t="n">
        <v>4</v>
      </c>
      <c r="J78" t="n">
        <v>2</v>
      </c>
      <c r="K78" t="n">
        <v>0</v>
      </c>
      <c r="L78" t="n">
        <v>0</v>
      </c>
      <c r="M78" t="n">
        <v>0</v>
      </c>
      <c r="N78" t="n">
        <v>0</v>
      </c>
      <c r="O78" t="n">
        <v>2</v>
      </c>
      <c r="P78" t="n">
        <v>0</v>
      </c>
      <c r="Q78" t="n">
        <v>7</v>
      </c>
      <c r="R78" s="2" t="inlineStr">
        <is>
          <t>Blå slemspindling
Kattfotslav
Blåmossa
Mindre märgborre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row>
    <row r="79" ht="15" customHeight="1">
      <c r="A79" t="inlineStr">
        <is>
          <t>A 35293-2025</t>
        </is>
      </c>
      <c r="B79" s="1" t="n">
        <v>45854</v>
      </c>
      <c r="C79" s="1" t="n">
        <v>46204</v>
      </c>
      <c r="D79" t="inlineStr">
        <is>
          <t>GOTLANDS LÄN</t>
        </is>
      </c>
      <c r="E79" t="inlineStr">
        <is>
          <t>GOTLAND</t>
        </is>
      </c>
      <c r="G79" t="n">
        <v>9.199999999999999</v>
      </c>
      <c r="H79" t="n">
        <v>1</v>
      </c>
      <c r="I79" t="n">
        <v>1</v>
      </c>
      <c r="J79" t="n">
        <v>5</v>
      </c>
      <c r="K79" t="n">
        <v>1</v>
      </c>
      <c r="L79" t="n">
        <v>0</v>
      </c>
      <c r="M79" t="n">
        <v>0</v>
      </c>
      <c r="N79" t="n">
        <v>0</v>
      </c>
      <c r="O79" t="n">
        <v>6</v>
      </c>
      <c r="P79" t="n">
        <v>1</v>
      </c>
      <c r="Q79" t="n">
        <v>7</v>
      </c>
      <c r="R79" s="2" t="inlineStr">
        <is>
          <t>Knutört
Axveronika
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6159-2023</t>
        </is>
      </c>
      <c r="B80" s="1" t="n">
        <v>44964</v>
      </c>
      <c r="C80" s="1" t="n">
        <v>46204</v>
      </c>
      <c r="D80" t="inlineStr">
        <is>
          <t>GOTLANDS LÄN</t>
        </is>
      </c>
      <c r="E80" t="inlineStr">
        <is>
          <t>GOTLAND</t>
        </is>
      </c>
      <c r="G80" t="n">
        <v>2</v>
      </c>
      <c r="H80" t="n">
        <v>0</v>
      </c>
      <c r="I80" t="n">
        <v>2</v>
      </c>
      <c r="J80" t="n">
        <v>2</v>
      </c>
      <c r="K80" t="n">
        <v>1</v>
      </c>
      <c r="L80" t="n">
        <v>1</v>
      </c>
      <c r="M80" t="n">
        <v>1</v>
      </c>
      <c r="N80" t="n">
        <v>0</v>
      </c>
      <c r="O80" t="n">
        <v>5</v>
      </c>
      <c r="P80" t="n">
        <v>3</v>
      </c>
      <c r="Q80" t="n">
        <v>7</v>
      </c>
      <c r="R80" s="2" t="inlineStr">
        <is>
          <t>Coniocarpon fallax
Knölig taggsvamp
Gyllenspindling
Dofttaggsvamp
Odörspindling
Anisspindling
Olivspindling</t>
        </is>
      </c>
      <c r="S80">
        <f>HYPERLINK("https://klasma.github.io/Logging_0980/artfynd/A 6159-2023 artfynd.xlsx", "A 6159-2023")</f>
        <v/>
      </c>
      <c r="T80">
        <f>HYPERLINK("https://klasma.github.io/Logging_0980/kartor/A 6159-2023 karta.png", "A 6159-2023")</f>
        <v/>
      </c>
      <c r="V80">
        <f>HYPERLINK("https://klasma.github.io/Logging_0980/klagomål/A 6159-2023 FSC-klagomål.docx", "A 6159-2023")</f>
        <v/>
      </c>
      <c r="W80">
        <f>HYPERLINK("https://klasma.github.io/Logging_0980/klagomålsmail/A 6159-2023 FSC-klagomål mail.docx", "A 6159-2023")</f>
        <v/>
      </c>
      <c r="X80">
        <f>HYPERLINK("https://klasma.github.io/Logging_0980/tillsyn/A 6159-2023 tillsynsbegäran.docx", "A 6159-2023")</f>
        <v/>
      </c>
      <c r="Y80">
        <f>HYPERLINK("https://klasma.github.io/Logging_0980/tillsynsmail/A 6159-2023 tillsynsbegäran mail.docx", "A 6159-2023")</f>
        <v/>
      </c>
    </row>
    <row r="81" ht="15" customHeight="1">
      <c r="A81" t="inlineStr">
        <is>
          <t>A 63152-2025</t>
        </is>
      </c>
      <c r="B81" s="1" t="n">
        <v>46010</v>
      </c>
      <c r="C81" s="1" t="n">
        <v>46204</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34142-2024</t>
        </is>
      </c>
      <c r="B82" s="1" t="n">
        <v>45524</v>
      </c>
      <c r="C82" s="1" t="n">
        <v>46204</v>
      </c>
      <c r="D82" t="inlineStr">
        <is>
          <t>GOTLANDS LÄN</t>
        </is>
      </c>
      <c r="E82" t="inlineStr">
        <is>
          <t>GOTLAND</t>
        </is>
      </c>
      <c r="G82" t="n">
        <v>6</v>
      </c>
      <c r="H82" t="n">
        <v>1</v>
      </c>
      <c r="I82" t="n">
        <v>2</v>
      </c>
      <c r="J82" t="n">
        <v>3</v>
      </c>
      <c r="K82" t="n">
        <v>2</v>
      </c>
      <c r="L82" t="n">
        <v>0</v>
      </c>
      <c r="M82" t="n">
        <v>0</v>
      </c>
      <c r="N82" t="n">
        <v>0</v>
      </c>
      <c r="O82" t="n">
        <v>5</v>
      </c>
      <c r="P82" t="n">
        <v>2</v>
      </c>
      <c r="Q82" t="n">
        <v>7</v>
      </c>
      <c r="R82" s="2" t="inlineStr">
        <is>
          <t>Duvspindling
Igelkott
Blå slemspindling
Odörspindling
Rödfläckig zontaggsvamp
Anisspindling
Nästrot</t>
        </is>
      </c>
      <c r="S82">
        <f>HYPERLINK("https://klasma.github.io/Logging_0980/artfynd/A 34142-2024 artfynd.xlsx", "A 34142-2024")</f>
        <v/>
      </c>
      <c r="T82">
        <f>HYPERLINK("https://klasma.github.io/Logging_0980/kartor/A 34142-2024 karta.png", "A 34142-2024")</f>
        <v/>
      </c>
      <c r="V82">
        <f>HYPERLINK("https://klasma.github.io/Logging_0980/klagomål/A 34142-2024 FSC-klagomål.docx", "A 34142-2024")</f>
        <v/>
      </c>
      <c r="W82">
        <f>HYPERLINK("https://klasma.github.io/Logging_0980/klagomålsmail/A 34142-2024 FSC-klagomål mail.docx", "A 34142-2024")</f>
        <v/>
      </c>
      <c r="X82">
        <f>HYPERLINK("https://klasma.github.io/Logging_0980/tillsyn/A 34142-2024 tillsynsbegäran.docx", "A 34142-2024")</f>
        <v/>
      </c>
      <c r="Y82">
        <f>HYPERLINK("https://klasma.github.io/Logging_0980/tillsynsmail/A 34142-2024 tillsynsbegäran mail.docx", "A 34142-2024")</f>
        <v/>
      </c>
    </row>
    <row r="83" ht="15" customHeight="1">
      <c r="A83" t="inlineStr">
        <is>
          <t>A 10419-2025</t>
        </is>
      </c>
      <c r="B83" s="1" t="n">
        <v>45720</v>
      </c>
      <c r="C83" s="1" t="n">
        <v>46204</v>
      </c>
      <c r="D83" t="inlineStr">
        <is>
          <t>GOTLANDS LÄN</t>
        </is>
      </c>
      <c r="E83" t="inlineStr">
        <is>
          <t>GOTLAND</t>
        </is>
      </c>
      <c r="G83" t="n">
        <v>1.2</v>
      </c>
      <c r="H83" t="n">
        <v>0</v>
      </c>
      <c r="I83" t="n">
        <v>2</v>
      </c>
      <c r="J83" t="n">
        <v>3</v>
      </c>
      <c r="K83" t="n">
        <v>2</v>
      </c>
      <c r="L83" t="n">
        <v>0</v>
      </c>
      <c r="M83" t="n">
        <v>0</v>
      </c>
      <c r="N83" t="n">
        <v>0</v>
      </c>
      <c r="O83" t="n">
        <v>5</v>
      </c>
      <c r="P83" t="n">
        <v>2</v>
      </c>
      <c r="Q83" t="n">
        <v>7</v>
      </c>
      <c r="R83" s="2" t="inlineStr">
        <is>
          <t>Mörkfjällig olivspindling
Violettfläckig spindling
Blå slemspindling
Fjällig taggsvamp s.str.
Kryddspindling
Anisspindling
Olivspindling</t>
        </is>
      </c>
      <c r="S83">
        <f>HYPERLINK("https://klasma.github.io/Logging_0980/artfynd/A 10419-2025 artfynd.xlsx", "A 10419-2025")</f>
        <v/>
      </c>
      <c r="T83">
        <f>HYPERLINK("https://klasma.github.io/Logging_0980/kartor/A 10419-2025 karta.png", "A 10419-2025")</f>
        <v/>
      </c>
      <c r="V83">
        <f>HYPERLINK("https://klasma.github.io/Logging_0980/klagomål/A 10419-2025 FSC-klagomål.docx", "A 10419-2025")</f>
        <v/>
      </c>
      <c r="W83">
        <f>HYPERLINK("https://klasma.github.io/Logging_0980/klagomålsmail/A 10419-2025 FSC-klagomål mail.docx", "A 10419-2025")</f>
        <v/>
      </c>
      <c r="X83">
        <f>HYPERLINK("https://klasma.github.io/Logging_0980/tillsyn/A 10419-2025 tillsynsbegäran.docx", "A 10419-2025")</f>
        <v/>
      </c>
      <c r="Y83">
        <f>HYPERLINK("https://klasma.github.io/Logging_0980/tillsynsmail/A 10419-2025 tillsynsbegäran mail.docx", "A 10419-2025")</f>
        <v/>
      </c>
    </row>
    <row r="84" ht="15" customHeight="1">
      <c r="A84" t="inlineStr">
        <is>
          <t>A 48126-2022</t>
        </is>
      </c>
      <c r="B84" s="1" t="n">
        <v>44857</v>
      </c>
      <c r="C84" s="1" t="n">
        <v>46204</v>
      </c>
      <c r="D84" t="inlineStr">
        <is>
          <t>GOTLANDS LÄN</t>
        </is>
      </c>
      <c r="E84" t="inlineStr">
        <is>
          <t>GOTLAND</t>
        </is>
      </c>
      <c r="G84" t="n">
        <v>9.800000000000001</v>
      </c>
      <c r="H84" t="n">
        <v>3</v>
      </c>
      <c r="I84" t="n">
        <v>0</v>
      </c>
      <c r="J84" t="n">
        <v>3</v>
      </c>
      <c r="K84" t="n">
        <v>0</v>
      </c>
      <c r="L84" t="n">
        <v>0</v>
      </c>
      <c r="M84" t="n">
        <v>0</v>
      </c>
      <c r="N84" t="n">
        <v>0</v>
      </c>
      <c r="O84" t="n">
        <v>3</v>
      </c>
      <c r="P84" t="n">
        <v>0</v>
      </c>
      <c r="Q84" t="n">
        <v>6</v>
      </c>
      <c r="R84" s="2" t="inlineStr">
        <is>
          <t>Jordtistel
Jungfrulin
Svinrot
Spillkråka
Näktergal
Skogsduva</t>
        </is>
      </c>
      <c r="S84">
        <f>HYPERLINK("https://klasma.github.io/Logging_0980/artfynd/A 48126-2022 artfynd.xlsx", "A 48126-2022")</f>
        <v/>
      </c>
      <c r="T84">
        <f>HYPERLINK("https://klasma.github.io/Logging_0980/kartor/A 48126-2022 karta.png", "A 48126-2022")</f>
        <v/>
      </c>
      <c r="V84">
        <f>HYPERLINK("https://klasma.github.io/Logging_0980/klagomål/A 48126-2022 FSC-klagomål.docx", "A 48126-2022")</f>
        <v/>
      </c>
      <c r="W84">
        <f>HYPERLINK("https://klasma.github.io/Logging_0980/klagomålsmail/A 48126-2022 FSC-klagomål mail.docx", "A 48126-2022")</f>
        <v/>
      </c>
      <c r="X84">
        <f>HYPERLINK("https://klasma.github.io/Logging_0980/tillsyn/A 48126-2022 tillsynsbegäran.docx", "A 48126-2022")</f>
        <v/>
      </c>
      <c r="Y84">
        <f>HYPERLINK("https://klasma.github.io/Logging_0980/tillsynsmail/A 48126-2022 tillsynsbegäran mail.docx", "A 48126-2022")</f>
        <v/>
      </c>
      <c r="Z84">
        <f>HYPERLINK("https://klasma.github.io/Logging_0980/fåglar/A 48126-2022 prioriterade fågelarter.docx", "A 48126-2022")</f>
        <v/>
      </c>
    </row>
    <row r="85" ht="15" customHeight="1">
      <c r="A85" t="inlineStr">
        <is>
          <t>A 16823-2024</t>
        </is>
      </c>
      <c r="B85" s="1" t="n">
        <v>45411</v>
      </c>
      <c r="C85" s="1" t="n">
        <v>46204</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49709-2025</t>
        </is>
      </c>
      <c r="B86" s="1" t="n">
        <v>45939</v>
      </c>
      <c r="C86" s="1" t="n">
        <v>46204</v>
      </c>
      <c r="D86" t="inlineStr">
        <is>
          <t>GOTLANDS LÄN</t>
        </is>
      </c>
      <c r="E86" t="inlineStr">
        <is>
          <t>GOTLAND</t>
        </is>
      </c>
      <c r="G86" t="n">
        <v>10.2</v>
      </c>
      <c r="H86" t="n">
        <v>1</v>
      </c>
      <c r="I86" t="n">
        <v>3</v>
      </c>
      <c r="J86" t="n">
        <v>3</v>
      </c>
      <c r="K86" t="n">
        <v>0</v>
      </c>
      <c r="L86" t="n">
        <v>0</v>
      </c>
      <c r="M86" t="n">
        <v>0</v>
      </c>
      <c r="N86" t="n">
        <v>0</v>
      </c>
      <c r="O86" t="n">
        <v>3</v>
      </c>
      <c r="P86" t="n">
        <v>0</v>
      </c>
      <c r="Q86" t="n">
        <v>6</v>
      </c>
      <c r="R86" s="2" t="inlineStr">
        <is>
          <t>Mindre hackspett
Mörk dunört
Tallticka
Blåmossa
Grovticka
Kambräken</t>
        </is>
      </c>
      <c r="S86">
        <f>HYPERLINK("https://klasma.github.io/Logging_0980/artfynd/A 49709-2025 artfynd.xlsx", "A 49709-2025")</f>
        <v/>
      </c>
      <c r="T86">
        <f>HYPERLINK("https://klasma.github.io/Logging_0980/kartor/A 49709-2025 karta.png", "A 49709-2025")</f>
        <v/>
      </c>
      <c r="V86">
        <f>HYPERLINK("https://klasma.github.io/Logging_0980/klagomål/A 49709-2025 FSC-klagomål.docx", "A 49709-2025")</f>
        <v/>
      </c>
      <c r="W86">
        <f>HYPERLINK("https://klasma.github.io/Logging_0980/klagomålsmail/A 49709-2025 FSC-klagomål mail.docx", "A 49709-2025")</f>
        <v/>
      </c>
      <c r="X86">
        <f>HYPERLINK("https://klasma.github.io/Logging_0980/tillsyn/A 49709-2025 tillsynsbegäran.docx", "A 49709-2025")</f>
        <v/>
      </c>
      <c r="Y86">
        <f>HYPERLINK("https://klasma.github.io/Logging_0980/tillsynsmail/A 49709-2025 tillsynsbegäran mail.docx", "A 49709-2025")</f>
        <v/>
      </c>
      <c r="Z86">
        <f>HYPERLINK("https://klasma.github.io/Logging_0980/fåglar/A 49709-2025 prioriterade fågelarter.docx", "A 49709-2025")</f>
        <v/>
      </c>
    </row>
    <row r="87" ht="15" customHeight="1">
      <c r="A87" t="inlineStr">
        <is>
          <t>A 64208-2021</t>
        </is>
      </c>
      <c r="B87" s="1" t="n">
        <v>44510</v>
      </c>
      <c r="C87" s="1" t="n">
        <v>46204</v>
      </c>
      <c r="D87" t="inlineStr">
        <is>
          <t>GOTLANDS LÄN</t>
        </is>
      </c>
      <c r="E87" t="inlineStr">
        <is>
          <t>GOTLAND</t>
        </is>
      </c>
      <c r="G87" t="n">
        <v>4.7</v>
      </c>
      <c r="H87" t="n">
        <v>2</v>
      </c>
      <c r="I87" t="n">
        <v>0</v>
      </c>
      <c r="J87" t="n">
        <v>4</v>
      </c>
      <c r="K87" t="n">
        <v>1</v>
      </c>
      <c r="L87" t="n">
        <v>0</v>
      </c>
      <c r="M87" t="n">
        <v>0</v>
      </c>
      <c r="N87" t="n">
        <v>0</v>
      </c>
      <c r="O87" t="n">
        <v>5</v>
      </c>
      <c r="P87" t="n">
        <v>1</v>
      </c>
      <c r="Q87" t="n">
        <v>6</v>
      </c>
      <c r="R87" s="2" t="inlineStr">
        <is>
          <t>Svartfläckig blåvinge
Axveronika
Backtimjan
Jordtistel
Solvända
Alvarstånds</t>
        </is>
      </c>
      <c r="S87">
        <f>HYPERLINK("https://klasma.github.io/Logging_0980/artfynd/A 64208-2021 artfynd.xlsx", "A 64208-2021")</f>
        <v/>
      </c>
      <c r="T87">
        <f>HYPERLINK("https://klasma.github.io/Logging_0980/kartor/A 64208-2021 karta.png", "A 64208-2021")</f>
        <v/>
      </c>
      <c r="V87">
        <f>HYPERLINK("https://klasma.github.io/Logging_0980/klagomål/A 64208-2021 FSC-klagomål.docx", "A 64208-2021")</f>
        <v/>
      </c>
      <c r="W87">
        <f>HYPERLINK("https://klasma.github.io/Logging_0980/klagomålsmail/A 64208-2021 FSC-klagomål mail.docx", "A 64208-2021")</f>
        <v/>
      </c>
      <c r="X87">
        <f>HYPERLINK("https://klasma.github.io/Logging_0980/tillsyn/A 64208-2021 tillsynsbegäran.docx", "A 64208-2021")</f>
        <v/>
      </c>
      <c r="Y87">
        <f>HYPERLINK("https://klasma.github.io/Logging_0980/tillsynsmail/A 64208-2021 tillsynsbegäran mail.docx", "A 64208-2021")</f>
        <v/>
      </c>
    </row>
    <row r="88" ht="15" customHeight="1">
      <c r="A88" t="inlineStr">
        <is>
          <t>A 43200-2023</t>
        </is>
      </c>
      <c r="B88" s="1" t="n">
        <v>45183</v>
      </c>
      <c r="C88" s="1" t="n">
        <v>46204</v>
      </c>
      <c r="D88" t="inlineStr">
        <is>
          <t>GOTLANDS LÄN</t>
        </is>
      </c>
      <c r="E88" t="inlineStr">
        <is>
          <t>GOTLAND</t>
        </is>
      </c>
      <c r="G88" t="n">
        <v>0.5</v>
      </c>
      <c r="H88" t="n">
        <v>2</v>
      </c>
      <c r="I88" t="n">
        <v>3</v>
      </c>
      <c r="J88" t="n">
        <v>3</v>
      </c>
      <c r="K88" t="n">
        <v>0</v>
      </c>
      <c r="L88" t="n">
        <v>0</v>
      </c>
      <c r="M88" t="n">
        <v>0</v>
      </c>
      <c r="N88" t="n">
        <v>0</v>
      </c>
      <c r="O88" t="n">
        <v>3</v>
      </c>
      <c r="P88" t="n">
        <v>0</v>
      </c>
      <c r="Q88" t="n">
        <v>6</v>
      </c>
      <c r="R88" s="2" t="inlineStr">
        <is>
          <t>Kattfotslav
Sårläka
Vårärt
Kalktallört
Nästrot
Skogsknipprot</t>
        </is>
      </c>
      <c r="S88">
        <f>HYPERLINK("https://klasma.github.io/Logging_0980/artfynd/A 43200-2023 artfynd.xlsx", "A 43200-2023")</f>
        <v/>
      </c>
      <c r="T88">
        <f>HYPERLINK("https://klasma.github.io/Logging_0980/kartor/A 43200-2023 karta.png", "A 43200-2023")</f>
        <v/>
      </c>
      <c r="V88">
        <f>HYPERLINK("https://klasma.github.io/Logging_0980/klagomål/A 43200-2023 FSC-klagomål.docx", "A 43200-2023")</f>
        <v/>
      </c>
      <c r="W88">
        <f>HYPERLINK("https://klasma.github.io/Logging_0980/klagomålsmail/A 43200-2023 FSC-klagomål mail.docx", "A 43200-2023")</f>
        <v/>
      </c>
      <c r="X88">
        <f>HYPERLINK("https://klasma.github.io/Logging_0980/tillsyn/A 43200-2023 tillsynsbegäran.docx", "A 43200-2023")</f>
        <v/>
      </c>
      <c r="Y88">
        <f>HYPERLINK("https://klasma.github.io/Logging_0980/tillsynsmail/A 43200-2023 tillsynsbegäran mail.docx", "A 43200-2023")</f>
        <v/>
      </c>
    </row>
    <row r="89" ht="15" customHeight="1">
      <c r="A89" t="inlineStr">
        <is>
          <t>A 20838-2024</t>
        </is>
      </c>
      <c r="B89" s="1" t="n">
        <v>45439</v>
      </c>
      <c r="C89" s="1" t="n">
        <v>46204</v>
      </c>
      <c r="D89" t="inlineStr">
        <is>
          <t>GOTLANDS LÄN</t>
        </is>
      </c>
      <c r="E89" t="inlineStr">
        <is>
          <t>GOTLAND</t>
        </is>
      </c>
      <c r="G89" t="n">
        <v>0.7</v>
      </c>
      <c r="H89" t="n">
        <v>4</v>
      </c>
      <c r="I89" t="n">
        <v>2</v>
      </c>
      <c r="J89" t="n">
        <v>3</v>
      </c>
      <c r="K89" t="n">
        <v>0</v>
      </c>
      <c r="L89" t="n">
        <v>0</v>
      </c>
      <c r="M89" t="n">
        <v>0</v>
      </c>
      <c r="N89" t="n">
        <v>0</v>
      </c>
      <c r="O89" t="n">
        <v>3</v>
      </c>
      <c r="P89" t="n">
        <v>0</v>
      </c>
      <c r="Q89" t="n">
        <v>6</v>
      </c>
      <c r="R89" s="2" t="inlineStr">
        <is>
          <t>Backtimjan
Dårgräsfjäril
Solvända
Skogsknipprot
Tvåblad
Spillkråka</t>
        </is>
      </c>
      <c r="S89">
        <f>HYPERLINK("https://klasma.github.io/Logging_0980/artfynd/A 20838-2024 artfynd.xlsx", "A 20838-2024")</f>
        <v/>
      </c>
      <c r="T89">
        <f>HYPERLINK("https://klasma.github.io/Logging_0980/kartor/A 20838-2024 karta.png", "A 20838-2024")</f>
        <v/>
      </c>
      <c r="V89">
        <f>HYPERLINK("https://klasma.github.io/Logging_0980/klagomål/A 20838-2024 FSC-klagomål.docx", "A 20838-2024")</f>
        <v/>
      </c>
      <c r="W89">
        <f>HYPERLINK("https://klasma.github.io/Logging_0980/klagomålsmail/A 20838-2024 FSC-klagomål mail.docx", "A 20838-2024")</f>
        <v/>
      </c>
      <c r="X89">
        <f>HYPERLINK("https://klasma.github.io/Logging_0980/tillsyn/A 20838-2024 tillsynsbegäran.docx", "A 20838-2024")</f>
        <v/>
      </c>
      <c r="Y89">
        <f>HYPERLINK("https://klasma.github.io/Logging_0980/tillsynsmail/A 20838-2024 tillsynsbegäran mail.docx", "A 20838-2024")</f>
        <v/>
      </c>
      <c r="Z89">
        <f>HYPERLINK("https://klasma.github.io/Logging_0980/fåglar/A 20838-2024 prioriterade fågelarter.docx", "A 20838-2024")</f>
        <v/>
      </c>
    </row>
    <row r="90" ht="15" customHeight="1">
      <c r="A90" t="inlineStr">
        <is>
          <t>A 73144-2021</t>
        </is>
      </c>
      <c r="B90" s="1" t="n">
        <v>44550</v>
      </c>
      <c r="C90" s="1" t="n">
        <v>46204</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5904-2024</t>
        </is>
      </c>
      <c r="B91" s="1" t="n">
        <v>45335</v>
      </c>
      <c r="C91" s="1" t="n">
        <v>46204</v>
      </c>
      <c r="D91" t="inlineStr">
        <is>
          <t>GOTLANDS LÄN</t>
        </is>
      </c>
      <c r="E91" t="inlineStr">
        <is>
          <t>GOTLAND</t>
        </is>
      </c>
      <c r="G91" t="n">
        <v>6.4</v>
      </c>
      <c r="H91" t="n">
        <v>1</v>
      </c>
      <c r="I91" t="n">
        <v>1</v>
      </c>
      <c r="J91" t="n">
        <v>3</v>
      </c>
      <c r="K91" t="n">
        <v>0</v>
      </c>
      <c r="L91" t="n">
        <v>0</v>
      </c>
      <c r="M91" t="n">
        <v>0</v>
      </c>
      <c r="N91" t="n">
        <v>0</v>
      </c>
      <c r="O91" t="n">
        <v>3</v>
      </c>
      <c r="P91" t="n">
        <v>0</v>
      </c>
      <c r="Q91" t="n">
        <v>5</v>
      </c>
      <c r="R91" s="2" t="inlineStr">
        <is>
          <t>Backstarr
Backtimjan
Kattfotslav
Blåmossa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46204</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39425-2023</t>
        </is>
      </c>
      <c r="B93" s="1" t="n">
        <v>45166</v>
      </c>
      <c r="C93" s="1" t="n">
        <v>46204</v>
      </c>
      <c r="D93" t="inlineStr">
        <is>
          <t>GOTLANDS LÄN</t>
        </is>
      </c>
      <c r="E93" t="inlineStr">
        <is>
          <t>GOTLAND</t>
        </is>
      </c>
      <c r="G93" t="n">
        <v>3.9</v>
      </c>
      <c r="H93" t="n">
        <v>1</v>
      </c>
      <c r="I93" t="n">
        <v>3</v>
      </c>
      <c r="J93" t="n">
        <v>0</v>
      </c>
      <c r="K93" t="n">
        <v>1</v>
      </c>
      <c r="L93" t="n">
        <v>1</v>
      </c>
      <c r="M93" t="n">
        <v>0</v>
      </c>
      <c r="N93" t="n">
        <v>0</v>
      </c>
      <c r="O93" t="n">
        <v>2</v>
      </c>
      <c r="P93" t="n">
        <v>2</v>
      </c>
      <c r="Q93" t="n">
        <v>5</v>
      </c>
      <c r="R93" s="2" t="inlineStr">
        <is>
          <t>Violgubbe
Knärot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57463-2025</t>
        </is>
      </c>
      <c r="B94" s="1" t="n">
        <v>45980</v>
      </c>
      <c r="C94" s="1" t="n">
        <v>46204</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42936-2024</t>
        </is>
      </c>
      <c r="B95" s="1" t="n">
        <v>45567</v>
      </c>
      <c r="C95" s="1" t="n">
        <v>46204</v>
      </c>
      <c r="D95" t="inlineStr">
        <is>
          <t>GOTLANDS LÄN</t>
        </is>
      </c>
      <c r="E95" t="inlineStr">
        <is>
          <t>GOTLAND</t>
        </is>
      </c>
      <c r="G95" t="n">
        <v>3.4</v>
      </c>
      <c r="H95" t="n">
        <v>0</v>
      </c>
      <c r="I95" t="n">
        <v>1</v>
      </c>
      <c r="J95" t="n">
        <v>3</v>
      </c>
      <c r="K95" t="n">
        <v>1</v>
      </c>
      <c r="L95" t="n">
        <v>0</v>
      </c>
      <c r="M95" t="n">
        <v>0</v>
      </c>
      <c r="N95" t="n">
        <v>0</v>
      </c>
      <c r="O95" t="n">
        <v>4</v>
      </c>
      <c r="P95" t="n">
        <v>1</v>
      </c>
      <c r="Q95" t="n">
        <v>5</v>
      </c>
      <c r="R95" s="2" t="inlineStr">
        <is>
          <t>Vit taggsvamp
Barrfagerspindling
Blå slemspindling
Äggspindling
Svavelriska</t>
        </is>
      </c>
      <c r="S95">
        <f>HYPERLINK("https://klasma.github.io/Logging_0980/artfynd/A 42936-2024 artfynd.xlsx", "A 42936-2024")</f>
        <v/>
      </c>
      <c r="T95">
        <f>HYPERLINK("https://klasma.github.io/Logging_0980/kartor/A 42936-2024 karta.png", "A 42936-2024")</f>
        <v/>
      </c>
      <c r="V95">
        <f>HYPERLINK("https://klasma.github.io/Logging_0980/klagomål/A 42936-2024 FSC-klagomål.docx", "A 42936-2024")</f>
        <v/>
      </c>
      <c r="W95">
        <f>HYPERLINK("https://klasma.github.io/Logging_0980/klagomålsmail/A 42936-2024 FSC-klagomål mail.docx", "A 42936-2024")</f>
        <v/>
      </c>
      <c r="X95">
        <f>HYPERLINK("https://klasma.github.io/Logging_0980/tillsyn/A 42936-2024 tillsynsbegäran.docx", "A 42936-2024")</f>
        <v/>
      </c>
      <c r="Y95">
        <f>HYPERLINK("https://klasma.github.io/Logging_0980/tillsynsmail/A 42936-2024 tillsynsbegäran mail.docx", "A 42936-2024")</f>
        <v/>
      </c>
    </row>
    <row r="96" ht="15" customHeight="1">
      <c r="A96" t="inlineStr">
        <is>
          <t>A 54055-2022</t>
        </is>
      </c>
      <c r="B96" s="1" t="n">
        <v>44881</v>
      </c>
      <c r="C96" s="1" t="n">
        <v>46204</v>
      </c>
      <c r="D96" t="inlineStr">
        <is>
          <t>GOTLANDS LÄN</t>
        </is>
      </c>
      <c r="E96" t="inlineStr">
        <is>
          <t>GOTLAND</t>
        </is>
      </c>
      <c r="G96" t="n">
        <v>4.6</v>
      </c>
      <c r="H96" t="n">
        <v>0</v>
      </c>
      <c r="I96" t="n">
        <v>2</v>
      </c>
      <c r="J96" t="n">
        <v>2</v>
      </c>
      <c r="K96" t="n">
        <v>1</v>
      </c>
      <c r="L96" t="n">
        <v>0</v>
      </c>
      <c r="M96" t="n">
        <v>0</v>
      </c>
      <c r="N96" t="n">
        <v>0</v>
      </c>
      <c r="O96" t="n">
        <v>3</v>
      </c>
      <c r="P96" t="n">
        <v>1</v>
      </c>
      <c r="Q96" t="n">
        <v>5</v>
      </c>
      <c r="R96" s="2" t="inlineStr">
        <is>
          <t>Duvspindling
Kryddspindling
Odörspindling
Diskvaxskivling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8265-2023</t>
        </is>
      </c>
      <c r="B97" s="1" t="n">
        <v>44974</v>
      </c>
      <c r="C97" s="1" t="n">
        <v>46204</v>
      </c>
      <c r="D97" t="inlineStr">
        <is>
          <t>GOTLANDS LÄN</t>
        </is>
      </c>
      <c r="E97" t="inlineStr">
        <is>
          <t>GOTLAND</t>
        </is>
      </c>
      <c r="G97" t="n">
        <v>3.3</v>
      </c>
      <c r="H97" t="n">
        <v>4</v>
      </c>
      <c r="I97" t="n">
        <v>3</v>
      </c>
      <c r="J97" t="n">
        <v>1</v>
      </c>
      <c r="K97" t="n">
        <v>0</v>
      </c>
      <c r="L97" t="n">
        <v>0</v>
      </c>
      <c r="M97" t="n">
        <v>0</v>
      </c>
      <c r="N97" t="n">
        <v>0</v>
      </c>
      <c r="O97" t="n">
        <v>1</v>
      </c>
      <c r="P97" t="n">
        <v>0</v>
      </c>
      <c r="Q97" t="n">
        <v>5</v>
      </c>
      <c r="R97" s="2" t="inlineStr">
        <is>
          <t>Säfferot
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44323-2021</t>
        </is>
      </c>
      <c r="B98" s="1" t="n">
        <v>44434</v>
      </c>
      <c r="C98" s="1" t="n">
        <v>46204</v>
      </c>
      <c r="D98" t="inlineStr">
        <is>
          <t>GOTLANDS LÄN</t>
        </is>
      </c>
      <c r="E98" t="inlineStr">
        <is>
          <t>GOTLAND</t>
        </is>
      </c>
      <c r="G98" t="n">
        <v>7.5</v>
      </c>
      <c r="H98" t="n">
        <v>2</v>
      </c>
      <c r="I98" t="n">
        <v>2</v>
      </c>
      <c r="J98" t="n">
        <v>1</v>
      </c>
      <c r="K98" t="n">
        <v>0</v>
      </c>
      <c r="L98" t="n">
        <v>0</v>
      </c>
      <c r="M98" t="n">
        <v>0</v>
      </c>
      <c r="N98" t="n">
        <v>0</v>
      </c>
      <c r="O98" t="n">
        <v>1</v>
      </c>
      <c r="P98" t="n">
        <v>0</v>
      </c>
      <c r="Q98" t="n">
        <v>4</v>
      </c>
      <c r="R98" s="2" t="inlineStr">
        <is>
          <t>Barrfagerspindling
Anisspindling
Skogsknipprot
Kråka</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61386-2023</t>
        </is>
      </c>
      <c r="B99" s="1" t="n">
        <v>45264</v>
      </c>
      <c r="C99" s="1" t="n">
        <v>46204</v>
      </c>
      <c r="D99" t="inlineStr">
        <is>
          <t>GOTLANDS LÄN</t>
        </is>
      </c>
      <c r="E99" t="inlineStr">
        <is>
          <t>GOTLAND</t>
        </is>
      </c>
      <c r="G99" t="n">
        <v>0.7</v>
      </c>
      <c r="H99" t="n">
        <v>0</v>
      </c>
      <c r="I99" t="n">
        <v>3</v>
      </c>
      <c r="J99" t="n">
        <v>0</v>
      </c>
      <c r="K99" t="n">
        <v>1</v>
      </c>
      <c r="L99" t="n">
        <v>0</v>
      </c>
      <c r="M99" t="n">
        <v>0</v>
      </c>
      <c r="N99" t="n">
        <v>0</v>
      </c>
      <c r="O99" t="n">
        <v>1</v>
      </c>
      <c r="P99" t="n">
        <v>1</v>
      </c>
      <c r="Q99" t="n">
        <v>4</v>
      </c>
      <c r="R99" s="2" t="inlineStr">
        <is>
          <t>Ädellav
Korallblylav
Lönnlav
Rikfruktig blemlav</t>
        </is>
      </c>
      <c r="S99">
        <f>HYPERLINK("https://klasma.github.io/Logging_0980/artfynd/A 61386-2023 artfynd.xlsx", "A 61386-2023")</f>
        <v/>
      </c>
      <c r="T99">
        <f>HYPERLINK("https://klasma.github.io/Logging_0980/kartor/A 61386-2023 karta.png", "A 61386-2023")</f>
        <v/>
      </c>
      <c r="V99">
        <f>HYPERLINK("https://klasma.github.io/Logging_0980/klagomål/A 61386-2023 FSC-klagomål.docx", "A 61386-2023")</f>
        <v/>
      </c>
      <c r="W99">
        <f>HYPERLINK("https://klasma.github.io/Logging_0980/klagomålsmail/A 61386-2023 FSC-klagomål mail.docx", "A 61386-2023")</f>
        <v/>
      </c>
      <c r="X99">
        <f>HYPERLINK("https://klasma.github.io/Logging_0980/tillsyn/A 61386-2023 tillsynsbegäran.docx", "A 61386-2023")</f>
        <v/>
      </c>
      <c r="Y99">
        <f>HYPERLINK("https://klasma.github.io/Logging_0980/tillsynsmail/A 61386-2023 tillsynsbegäran mail.docx", "A 61386-2023")</f>
        <v/>
      </c>
    </row>
    <row r="100" ht="15" customHeight="1">
      <c r="A100" t="inlineStr">
        <is>
          <t>A 5235-2025</t>
        </is>
      </c>
      <c r="B100" s="1" t="n">
        <v>45692</v>
      </c>
      <c r="C100" s="1" t="n">
        <v>46204</v>
      </c>
      <c r="D100" t="inlineStr">
        <is>
          <t>GOTLANDS LÄN</t>
        </is>
      </c>
      <c r="E100" t="inlineStr">
        <is>
          <t>GOTLAND</t>
        </is>
      </c>
      <c r="G100" t="n">
        <v>7.6</v>
      </c>
      <c r="H100" t="n">
        <v>2</v>
      </c>
      <c r="I100" t="n">
        <v>2</v>
      </c>
      <c r="J100" t="n">
        <v>2</v>
      </c>
      <c r="K100" t="n">
        <v>0</v>
      </c>
      <c r="L100" t="n">
        <v>0</v>
      </c>
      <c r="M100" t="n">
        <v>0</v>
      </c>
      <c r="N100" t="n">
        <v>0</v>
      </c>
      <c r="O100" t="n">
        <v>2</v>
      </c>
      <c r="P100" t="n">
        <v>0</v>
      </c>
      <c r="Q100" t="n">
        <v>4</v>
      </c>
      <c r="R100" s="2" t="inlineStr">
        <is>
          <t>Dårgräsfjäril
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56717-2024</t>
        </is>
      </c>
      <c r="B101" s="1" t="n">
        <v>45628</v>
      </c>
      <c r="C101" s="1" t="n">
        <v>46204</v>
      </c>
      <c r="D101" t="inlineStr">
        <is>
          <t>GOTLANDS LÄN</t>
        </is>
      </c>
      <c r="E101" t="inlineStr">
        <is>
          <t>GOTLAND</t>
        </is>
      </c>
      <c r="G101" t="n">
        <v>9.699999999999999</v>
      </c>
      <c r="H101" t="n">
        <v>0</v>
      </c>
      <c r="I101" t="n">
        <v>1</v>
      </c>
      <c r="J101" t="n">
        <v>3</v>
      </c>
      <c r="K101" t="n">
        <v>0</v>
      </c>
      <c r="L101" t="n">
        <v>0</v>
      </c>
      <c r="M101" t="n">
        <v>0</v>
      </c>
      <c r="N101" t="n">
        <v>0</v>
      </c>
      <c r="O101" t="n">
        <v>3</v>
      </c>
      <c r="P101" t="n">
        <v>0</v>
      </c>
      <c r="Q101" t="n">
        <v>4</v>
      </c>
      <c r="R101" s="2" t="inlineStr">
        <is>
          <t>Fjällig taggsvamp s.str.
Kattfotslav
Odörspindling
Havstulpanlav</t>
        </is>
      </c>
      <c r="S101">
        <f>HYPERLINK("https://klasma.github.io/Logging_0980/artfynd/A 56717-2024 artfynd.xlsx", "A 56717-2024")</f>
        <v/>
      </c>
      <c r="T101">
        <f>HYPERLINK("https://klasma.github.io/Logging_0980/kartor/A 56717-2024 karta.png", "A 56717-2024")</f>
        <v/>
      </c>
      <c r="V101">
        <f>HYPERLINK("https://klasma.github.io/Logging_0980/klagomål/A 56717-2024 FSC-klagomål.docx", "A 56717-2024")</f>
        <v/>
      </c>
      <c r="W101">
        <f>HYPERLINK("https://klasma.github.io/Logging_0980/klagomålsmail/A 56717-2024 FSC-klagomål mail.docx", "A 56717-2024")</f>
        <v/>
      </c>
      <c r="X101">
        <f>HYPERLINK("https://klasma.github.io/Logging_0980/tillsyn/A 56717-2024 tillsynsbegäran.docx", "A 56717-2024")</f>
        <v/>
      </c>
      <c r="Y101">
        <f>HYPERLINK("https://klasma.github.io/Logging_0980/tillsynsmail/A 56717-2024 tillsynsbegäran mail.docx", "A 56717-2024")</f>
        <v/>
      </c>
    </row>
    <row r="102" ht="15" customHeight="1">
      <c r="A102" t="inlineStr">
        <is>
          <t>A 2485-2025</t>
        </is>
      </c>
      <c r="B102" s="1" t="n">
        <v>45673</v>
      </c>
      <c r="C102" s="1" t="n">
        <v>46204</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44304-2021</t>
        </is>
      </c>
      <c r="B103" s="1" t="n">
        <v>44434</v>
      </c>
      <c r="C103" s="1" t="n">
        <v>46204</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16997-2026</t>
        </is>
      </c>
      <c r="B104" s="1" t="n">
        <v>46114</v>
      </c>
      <c r="C104" s="1" t="n">
        <v>46204</v>
      </c>
      <c r="D104" t="inlineStr">
        <is>
          <t>GOTLANDS LÄN</t>
        </is>
      </c>
      <c r="E104" t="inlineStr">
        <is>
          <t>GOTLAND</t>
        </is>
      </c>
      <c r="G104" t="n">
        <v>0.7</v>
      </c>
      <c r="H104" t="n">
        <v>0</v>
      </c>
      <c r="I104" t="n">
        <v>3</v>
      </c>
      <c r="J104" t="n">
        <v>0</v>
      </c>
      <c r="K104" t="n">
        <v>0</v>
      </c>
      <c r="L104" t="n">
        <v>1</v>
      </c>
      <c r="M104" t="n">
        <v>0</v>
      </c>
      <c r="N104" t="n">
        <v>0</v>
      </c>
      <c r="O104" t="n">
        <v>1</v>
      </c>
      <c r="P104" t="n">
        <v>1</v>
      </c>
      <c r="Q104" t="n">
        <v>4</v>
      </c>
      <c r="R104" s="2" t="inlineStr">
        <is>
          <t>Ask
Hasselticka
Läderskål
Stubbspretmossa</t>
        </is>
      </c>
      <c r="S104">
        <f>HYPERLINK("https://klasma.github.io/Logging_0980/artfynd/A 16997-2026 artfynd.xlsx", "A 16997-2026")</f>
        <v/>
      </c>
      <c r="T104">
        <f>HYPERLINK("https://klasma.github.io/Logging_0980/kartor/A 16997-2026 karta.png", "A 16997-2026")</f>
        <v/>
      </c>
      <c r="V104">
        <f>HYPERLINK("https://klasma.github.io/Logging_0980/klagomål/A 16997-2026 FSC-klagomål.docx", "A 16997-2026")</f>
        <v/>
      </c>
      <c r="W104">
        <f>HYPERLINK("https://klasma.github.io/Logging_0980/klagomålsmail/A 16997-2026 FSC-klagomål mail.docx", "A 16997-2026")</f>
        <v/>
      </c>
      <c r="X104">
        <f>HYPERLINK("https://klasma.github.io/Logging_0980/tillsyn/A 16997-2026 tillsynsbegäran.docx", "A 16997-2026")</f>
        <v/>
      </c>
      <c r="Y104">
        <f>HYPERLINK("https://klasma.github.io/Logging_0980/tillsynsmail/A 16997-2026 tillsynsbegäran mail.docx", "A 16997-2026")</f>
        <v/>
      </c>
    </row>
    <row r="105" ht="15" customHeight="1">
      <c r="A105" t="inlineStr">
        <is>
          <t>A 54523-2023</t>
        </is>
      </c>
      <c r="B105" s="1" t="n">
        <v>45233</v>
      </c>
      <c r="C105" s="1" t="n">
        <v>46204</v>
      </c>
      <c r="D105" t="inlineStr">
        <is>
          <t>GOTLANDS LÄN</t>
        </is>
      </c>
      <c r="E105" t="inlineStr">
        <is>
          <t>GOTLAND</t>
        </is>
      </c>
      <c r="G105" t="n">
        <v>3.7</v>
      </c>
      <c r="H105" t="n">
        <v>2</v>
      </c>
      <c r="I105" t="n">
        <v>0</v>
      </c>
      <c r="J105" t="n">
        <v>1</v>
      </c>
      <c r="K105" t="n">
        <v>1</v>
      </c>
      <c r="L105" t="n">
        <v>0</v>
      </c>
      <c r="M105" t="n">
        <v>0</v>
      </c>
      <c r="N105" t="n">
        <v>0</v>
      </c>
      <c r="O105" t="n">
        <v>2</v>
      </c>
      <c r="P105" t="n">
        <v>1</v>
      </c>
      <c r="Q105" t="n">
        <v>4</v>
      </c>
      <c r="R105" s="2" t="inlineStr">
        <is>
          <t>Sommarklynne
Åkerkulla
Brudsporre
Kärrknipprot</t>
        </is>
      </c>
      <c r="S105">
        <f>HYPERLINK("https://klasma.github.io/Logging_0980/artfynd/A 54523-2023 artfynd.xlsx", "A 54523-2023")</f>
        <v/>
      </c>
      <c r="T105">
        <f>HYPERLINK("https://klasma.github.io/Logging_0980/kartor/A 54523-2023 karta.png", "A 54523-2023")</f>
        <v/>
      </c>
      <c r="V105">
        <f>HYPERLINK("https://klasma.github.io/Logging_0980/klagomål/A 54523-2023 FSC-klagomål.docx", "A 54523-2023")</f>
        <v/>
      </c>
      <c r="W105">
        <f>HYPERLINK("https://klasma.github.io/Logging_0980/klagomålsmail/A 54523-2023 FSC-klagomål mail.docx", "A 54523-2023")</f>
        <v/>
      </c>
      <c r="X105">
        <f>HYPERLINK("https://klasma.github.io/Logging_0980/tillsyn/A 54523-2023 tillsynsbegäran.docx", "A 54523-2023")</f>
        <v/>
      </c>
      <c r="Y105">
        <f>HYPERLINK("https://klasma.github.io/Logging_0980/tillsynsmail/A 54523-2023 tillsynsbegäran mail.docx", "A 54523-2023")</f>
        <v/>
      </c>
    </row>
    <row r="106" ht="15" customHeight="1">
      <c r="A106" t="inlineStr">
        <is>
          <t>A 6839-2026</t>
        </is>
      </c>
      <c r="B106" s="1" t="n">
        <v>46057</v>
      </c>
      <c r="C106" s="1" t="n">
        <v>46204</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6218-2026</t>
        </is>
      </c>
      <c r="B107" s="1" t="n">
        <v>46055</v>
      </c>
      <c r="C107" s="1" t="n">
        <v>46204</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7625-2026</t>
        </is>
      </c>
      <c r="B108" s="1" t="n">
        <v>46062</v>
      </c>
      <c r="C108" s="1" t="n">
        <v>46204</v>
      </c>
      <c r="D108" t="inlineStr">
        <is>
          <t>GOTLANDS LÄN</t>
        </is>
      </c>
      <c r="E108" t="inlineStr">
        <is>
          <t>GOTLAND</t>
        </is>
      </c>
      <c r="G108" t="n">
        <v>2.1</v>
      </c>
      <c r="H108" t="n">
        <v>1</v>
      </c>
      <c r="I108" t="n">
        <v>0</v>
      </c>
      <c r="J108" t="n">
        <v>4</v>
      </c>
      <c r="K108" t="n">
        <v>0</v>
      </c>
      <c r="L108" t="n">
        <v>0</v>
      </c>
      <c r="M108" t="n">
        <v>0</v>
      </c>
      <c r="N108" t="n">
        <v>0</v>
      </c>
      <c r="O108" t="n">
        <v>4</v>
      </c>
      <c r="P108" t="n">
        <v>0</v>
      </c>
      <c r="Q108" t="n">
        <v>4</v>
      </c>
      <c r="R108" s="2" t="inlineStr">
        <is>
          <t>Backstarr
Backtimjan
Dårgräsfjäril
Solvända</t>
        </is>
      </c>
      <c r="S108">
        <f>HYPERLINK("https://klasma.github.io/Logging_0980/artfynd/A 7625-2026 artfynd.xlsx", "A 7625-2026")</f>
        <v/>
      </c>
      <c r="T108">
        <f>HYPERLINK("https://klasma.github.io/Logging_0980/kartor/A 7625-2026 karta.png", "A 7625-2026")</f>
        <v/>
      </c>
      <c r="V108">
        <f>HYPERLINK("https://klasma.github.io/Logging_0980/klagomål/A 7625-2026 FSC-klagomål.docx", "A 7625-2026")</f>
        <v/>
      </c>
      <c r="W108">
        <f>HYPERLINK("https://klasma.github.io/Logging_0980/klagomålsmail/A 7625-2026 FSC-klagomål mail.docx", "A 7625-2026")</f>
        <v/>
      </c>
      <c r="X108">
        <f>HYPERLINK("https://klasma.github.io/Logging_0980/tillsyn/A 7625-2026 tillsynsbegäran.docx", "A 7625-2026")</f>
        <v/>
      </c>
      <c r="Y108">
        <f>HYPERLINK("https://klasma.github.io/Logging_0980/tillsynsmail/A 7625-2026 tillsynsbegäran mail.docx", "A 7625-2026")</f>
        <v/>
      </c>
    </row>
    <row r="109" ht="15" customHeight="1">
      <c r="A109" t="inlineStr">
        <is>
          <t>A 1273-2023</t>
        </is>
      </c>
      <c r="B109" s="1" t="n">
        <v>44936</v>
      </c>
      <c r="C109" s="1" t="n">
        <v>46204</v>
      </c>
      <c r="D109" t="inlineStr">
        <is>
          <t>GOTLANDS LÄN</t>
        </is>
      </c>
      <c r="E109" t="inlineStr">
        <is>
          <t>GOTLAND</t>
        </is>
      </c>
      <c r="G109" t="n">
        <v>4.5</v>
      </c>
      <c r="H109" t="n">
        <v>2</v>
      </c>
      <c r="I109" t="n">
        <v>1</v>
      </c>
      <c r="J109" t="n">
        <v>2</v>
      </c>
      <c r="K109" t="n">
        <v>1</v>
      </c>
      <c r="L109" t="n">
        <v>0</v>
      </c>
      <c r="M109" t="n">
        <v>0</v>
      </c>
      <c r="N109" t="n">
        <v>0</v>
      </c>
      <c r="O109" t="n">
        <v>3</v>
      </c>
      <c r="P109" t="n">
        <v>1</v>
      </c>
      <c r="Q109" t="n">
        <v>4</v>
      </c>
      <c r="R109" s="2" t="inlineStr">
        <is>
          <t>Garderönn
Svinrot
Vårärt
Skogsknipprot</t>
        </is>
      </c>
      <c r="S109">
        <f>HYPERLINK("https://klasma.github.io/Logging_0980/artfynd/A 1273-2023 artfynd.xlsx", "A 1273-2023")</f>
        <v/>
      </c>
      <c r="T109">
        <f>HYPERLINK("https://klasma.github.io/Logging_0980/kartor/A 1273-2023 karta.png", "A 1273-2023")</f>
        <v/>
      </c>
      <c r="V109">
        <f>HYPERLINK("https://klasma.github.io/Logging_0980/klagomål/A 1273-2023 FSC-klagomål.docx", "A 1273-2023")</f>
        <v/>
      </c>
      <c r="W109">
        <f>HYPERLINK("https://klasma.github.io/Logging_0980/klagomålsmail/A 1273-2023 FSC-klagomål mail.docx", "A 1273-2023")</f>
        <v/>
      </c>
      <c r="X109">
        <f>HYPERLINK("https://klasma.github.io/Logging_0980/tillsyn/A 1273-2023 tillsynsbegäran.docx", "A 1273-2023")</f>
        <v/>
      </c>
      <c r="Y109">
        <f>HYPERLINK("https://klasma.github.io/Logging_0980/tillsynsmail/A 1273-2023 tillsynsbegäran mail.docx", "A 1273-2023")</f>
        <v/>
      </c>
    </row>
    <row r="110" ht="15" customHeight="1">
      <c r="A110" t="inlineStr">
        <is>
          <t>A 61100-2022</t>
        </is>
      </c>
      <c r="B110" s="1" t="n">
        <v>44915</v>
      </c>
      <c r="C110" s="1" t="n">
        <v>46204</v>
      </c>
      <c r="D110" t="inlineStr">
        <is>
          <t>GOTLANDS LÄN</t>
        </is>
      </c>
      <c r="E110" t="inlineStr">
        <is>
          <t>GOTLAND</t>
        </is>
      </c>
      <c r="G110" t="n">
        <v>1.4</v>
      </c>
      <c r="H110" t="n">
        <v>3</v>
      </c>
      <c r="I110" t="n">
        <v>0</v>
      </c>
      <c r="J110" t="n">
        <v>2</v>
      </c>
      <c r="K110" t="n">
        <v>1</v>
      </c>
      <c r="L110" t="n">
        <v>0</v>
      </c>
      <c r="M110" t="n">
        <v>0</v>
      </c>
      <c r="N110" t="n">
        <v>0</v>
      </c>
      <c r="O110" t="n">
        <v>3</v>
      </c>
      <c r="P110" t="n">
        <v>1</v>
      </c>
      <c r="Q110" t="n">
        <v>4</v>
      </c>
      <c r="R110" s="2" t="inlineStr">
        <is>
          <t>Garderönn
Dårgräsfjäril
Solvända
Gullviva</t>
        </is>
      </c>
      <c r="S110">
        <f>HYPERLINK("https://klasma.github.io/Logging_0980/artfynd/A 61100-2022 artfynd.xlsx", "A 61100-2022")</f>
        <v/>
      </c>
      <c r="T110">
        <f>HYPERLINK("https://klasma.github.io/Logging_0980/kartor/A 61100-2022 karta.png", "A 61100-2022")</f>
        <v/>
      </c>
      <c r="V110">
        <f>HYPERLINK("https://klasma.github.io/Logging_0980/klagomål/A 61100-2022 FSC-klagomål.docx", "A 61100-2022")</f>
        <v/>
      </c>
      <c r="W110">
        <f>HYPERLINK("https://klasma.github.io/Logging_0980/klagomålsmail/A 61100-2022 FSC-klagomål mail.docx", "A 61100-2022")</f>
        <v/>
      </c>
      <c r="X110">
        <f>HYPERLINK("https://klasma.github.io/Logging_0980/tillsyn/A 61100-2022 tillsynsbegäran.docx", "A 61100-2022")</f>
        <v/>
      </c>
      <c r="Y110">
        <f>HYPERLINK("https://klasma.github.io/Logging_0980/tillsynsmail/A 61100-2022 tillsynsbegäran mail.docx", "A 61100-2022")</f>
        <v/>
      </c>
    </row>
    <row r="111" ht="15" customHeight="1">
      <c r="A111" t="inlineStr">
        <is>
          <t>A 37591-2023</t>
        </is>
      </c>
      <c r="B111" s="1" t="n">
        <v>45159</v>
      </c>
      <c r="C111" s="1" t="n">
        <v>46204</v>
      </c>
      <c r="D111" t="inlineStr">
        <is>
          <t>GOTLANDS LÄN</t>
        </is>
      </c>
      <c r="E111" t="inlineStr">
        <is>
          <t>GOTLAND</t>
        </is>
      </c>
      <c r="G111" t="n">
        <v>8.300000000000001</v>
      </c>
      <c r="H111" t="n">
        <v>1</v>
      </c>
      <c r="I111" t="n">
        <v>0</v>
      </c>
      <c r="J111" t="n">
        <v>3</v>
      </c>
      <c r="K111" t="n">
        <v>0</v>
      </c>
      <c r="L111" t="n">
        <v>0</v>
      </c>
      <c r="M111" t="n">
        <v>0</v>
      </c>
      <c r="N111" t="n">
        <v>0</v>
      </c>
      <c r="O111" t="n">
        <v>3</v>
      </c>
      <c r="P111" t="n">
        <v>0</v>
      </c>
      <c r="Q111" t="n">
        <v>4</v>
      </c>
      <c r="R111" s="2" t="inlineStr">
        <is>
          <t>Bergjohannesört
Solvända
Ängsstarr
Vanlig snok</t>
        </is>
      </c>
      <c r="S111">
        <f>HYPERLINK("https://klasma.github.io/Logging_0980/artfynd/A 37591-2023 artfynd.xlsx", "A 37591-2023")</f>
        <v/>
      </c>
      <c r="T111">
        <f>HYPERLINK("https://klasma.github.io/Logging_0980/kartor/A 37591-2023 karta.png", "A 37591-2023")</f>
        <v/>
      </c>
      <c r="V111">
        <f>HYPERLINK("https://klasma.github.io/Logging_0980/klagomål/A 37591-2023 FSC-klagomål.docx", "A 37591-2023")</f>
        <v/>
      </c>
      <c r="W111">
        <f>HYPERLINK("https://klasma.github.io/Logging_0980/klagomålsmail/A 37591-2023 FSC-klagomål mail.docx", "A 37591-2023")</f>
        <v/>
      </c>
      <c r="X111">
        <f>HYPERLINK("https://klasma.github.io/Logging_0980/tillsyn/A 37591-2023 tillsynsbegäran.docx", "A 37591-2023")</f>
        <v/>
      </c>
      <c r="Y111">
        <f>HYPERLINK("https://klasma.github.io/Logging_0980/tillsynsmail/A 37591-2023 tillsynsbegäran mail.docx", "A 37591-2023")</f>
        <v/>
      </c>
    </row>
    <row r="112" ht="15" customHeight="1">
      <c r="A112" t="inlineStr">
        <is>
          <t>A 43013-2022</t>
        </is>
      </c>
      <c r="B112" s="1" t="n">
        <v>44833</v>
      </c>
      <c r="C112" s="1" t="n">
        <v>46204</v>
      </c>
      <c r="D112" t="inlineStr">
        <is>
          <t>GOTLANDS LÄN</t>
        </is>
      </c>
      <c r="E112" t="inlineStr">
        <is>
          <t>GOTLAND</t>
        </is>
      </c>
      <c r="G112" t="n">
        <v>9.300000000000001</v>
      </c>
      <c r="H112" t="n">
        <v>0</v>
      </c>
      <c r="I112" t="n">
        <v>1</v>
      </c>
      <c r="J112" t="n">
        <v>1</v>
      </c>
      <c r="K112" t="n">
        <v>1</v>
      </c>
      <c r="L112" t="n">
        <v>0</v>
      </c>
      <c r="M112" t="n">
        <v>0</v>
      </c>
      <c r="N112" t="n">
        <v>0</v>
      </c>
      <c r="O112" t="n">
        <v>2</v>
      </c>
      <c r="P112" t="n">
        <v>1</v>
      </c>
      <c r="Q112" t="n">
        <v>3</v>
      </c>
      <c r="R112" s="2" t="inlineStr">
        <is>
          <t>Violettfläckig spindling
Blå slemspindling
Anisspindling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13499-2022</t>
        </is>
      </c>
      <c r="B113" s="1" t="n">
        <v>44647</v>
      </c>
      <c r="C113" s="1" t="n">
        <v>46204</v>
      </c>
      <c r="D113" t="inlineStr">
        <is>
          <t>GOTLANDS LÄN</t>
        </is>
      </c>
      <c r="E113" t="inlineStr">
        <is>
          <t>GOTLAND</t>
        </is>
      </c>
      <c r="G113" t="n">
        <v>6.8</v>
      </c>
      <c r="H113" t="n">
        <v>3</v>
      </c>
      <c r="I113" t="n">
        <v>0</v>
      </c>
      <c r="J113" t="n">
        <v>0</v>
      </c>
      <c r="K113" t="n">
        <v>0</v>
      </c>
      <c r="L113" t="n">
        <v>0</v>
      </c>
      <c r="M113" t="n">
        <v>0</v>
      </c>
      <c r="N113" t="n">
        <v>0</v>
      </c>
      <c r="O113" t="n">
        <v>0</v>
      </c>
      <c r="P113" t="n">
        <v>0</v>
      </c>
      <c r="Q113" t="n">
        <v>3</v>
      </c>
      <c r="R113" s="2" t="inlineStr">
        <is>
          <t>Blåsippa
Spillkråka
Sankt pers nycklar</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34312-2024</t>
        </is>
      </c>
      <c r="B114" s="1" t="n">
        <v>45524</v>
      </c>
      <c r="C114" s="1" t="n">
        <v>46204</v>
      </c>
      <c r="D114" t="inlineStr">
        <is>
          <t>GOTLANDS LÄN</t>
        </is>
      </c>
      <c r="E114" t="inlineStr">
        <is>
          <t>GOTLAND</t>
        </is>
      </c>
      <c r="G114" t="n">
        <v>2</v>
      </c>
      <c r="H114" t="n">
        <v>1</v>
      </c>
      <c r="I114" t="n">
        <v>0</v>
      </c>
      <c r="J114" t="n">
        <v>2</v>
      </c>
      <c r="K114" t="n">
        <v>0</v>
      </c>
      <c r="L114" t="n">
        <v>0</v>
      </c>
      <c r="M114" t="n">
        <v>0</v>
      </c>
      <c r="N114" t="n">
        <v>0</v>
      </c>
      <c r="O114" t="n">
        <v>2</v>
      </c>
      <c r="P114" t="n">
        <v>0</v>
      </c>
      <c r="Q114" t="n">
        <v>3</v>
      </c>
      <c r="R114" s="2" t="inlineStr">
        <is>
          <t>Svinrot
Ängsstarr
Sankt pers nycklar</t>
        </is>
      </c>
      <c r="S114">
        <f>HYPERLINK("https://klasma.github.io/Logging_0980/artfynd/A 34312-2024 artfynd.xlsx", "A 34312-2024")</f>
        <v/>
      </c>
      <c r="T114">
        <f>HYPERLINK("https://klasma.github.io/Logging_0980/kartor/A 34312-2024 karta.png", "A 34312-2024")</f>
        <v/>
      </c>
      <c r="V114">
        <f>HYPERLINK("https://klasma.github.io/Logging_0980/klagomål/A 34312-2024 FSC-klagomål.docx", "A 34312-2024")</f>
        <v/>
      </c>
      <c r="W114">
        <f>HYPERLINK("https://klasma.github.io/Logging_0980/klagomålsmail/A 34312-2024 FSC-klagomål mail.docx", "A 34312-2024")</f>
        <v/>
      </c>
      <c r="X114">
        <f>HYPERLINK("https://klasma.github.io/Logging_0980/tillsyn/A 34312-2024 tillsynsbegäran.docx", "A 34312-2024")</f>
        <v/>
      </c>
      <c r="Y114">
        <f>HYPERLINK("https://klasma.github.io/Logging_0980/tillsynsmail/A 34312-2024 tillsynsbegäran mail.docx", "A 34312-2024")</f>
        <v/>
      </c>
    </row>
    <row r="115" ht="15" customHeight="1">
      <c r="A115" t="inlineStr">
        <is>
          <t>A 65927-2021</t>
        </is>
      </c>
      <c r="B115" s="1" t="n">
        <v>44516</v>
      </c>
      <c r="C115" s="1" t="n">
        <v>46204</v>
      </c>
      <c r="D115" t="inlineStr">
        <is>
          <t>GOTLANDS LÄN</t>
        </is>
      </c>
      <c r="E115" t="inlineStr">
        <is>
          <t>GOTLAND</t>
        </is>
      </c>
      <c r="G115" t="n">
        <v>3.1</v>
      </c>
      <c r="H115" t="n">
        <v>2</v>
      </c>
      <c r="I115" t="n">
        <v>0</v>
      </c>
      <c r="J115" t="n">
        <v>2</v>
      </c>
      <c r="K115" t="n">
        <v>0</v>
      </c>
      <c r="L115" t="n">
        <v>0</v>
      </c>
      <c r="M115" t="n">
        <v>0</v>
      </c>
      <c r="N115" t="n">
        <v>0</v>
      </c>
      <c r="O115" t="n">
        <v>2</v>
      </c>
      <c r="P115" t="n">
        <v>0</v>
      </c>
      <c r="Q115" t="n">
        <v>3</v>
      </c>
      <c r="R115" s="2" t="inlineStr">
        <is>
          <t>Grenigt kungsljus
Åkerkulla
Gullviva</t>
        </is>
      </c>
      <c r="S115">
        <f>HYPERLINK("https://klasma.github.io/Logging_0980/artfynd/A 65927-2021 artfynd.xlsx", "A 65927-2021")</f>
        <v/>
      </c>
      <c r="T115">
        <f>HYPERLINK("https://klasma.github.io/Logging_0980/kartor/A 65927-2021 karta.png", "A 65927-2021")</f>
        <v/>
      </c>
      <c r="V115">
        <f>HYPERLINK("https://klasma.github.io/Logging_0980/klagomål/A 65927-2021 FSC-klagomål.docx", "A 65927-2021")</f>
        <v/>
      </c>
      <c r="W115">
        <f>HYPERLINK("https://klasma.github.io/Logging_0980/klagomålsmail/A 65927-2021 FSC-klagomål mail.docx", "A 65927-2021")</f>
        <v/>
      </c>
      <c r="X115">
        <f>HYPERLINK("https://klasma.github.io/Logging_0980/tillsyn/A 65927-2021 tillsynsbegäran.docx", "A 65927-2021")</f>
        <v/>
      </c>
      <c r="Y115">
        <f>HYPERLINK("https://klasma.github.io/Logging_0980/tillsynsmail/A 65927-2021 tillsynsbegäran mail.docx", "A 65927-2021")</f>
        <v/>
      </c>
    </row>
    <row r="116" ht="15" customHeight="1">
      <c r="A116" t="inlineStr">
        <is>
          <t>A 61561-2023</t>
        </is>
      </c>
      <c r="B116" s="1" t="n">
        <v>45265</v>
      </c>
      <c r="C116" s="1" t="n">
        <v>46204</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46204</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17975-2024</t>
        </is>
      </c>
      <c r="B118" s="1" t="n">
        <v>45419</v>
      </c>
      <c r="C118" s="1" t="n">
        <v>46204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2476-2025</t>
        </is>
      </c>
      <c r="B119" s="1" t="n">
        <v>45673</v>
      </c>
      <c r="C119" s="1" t="n">
        <v>46204</v>
      </c>
      <c r="D119" t="inlineStr">
        <is>
          <t>GOTLANDS LÄN</t>
        </is>
      </c>
      <c r="E119" t="inlineStr">
        <is>
          <t>GOTLAND</t>
        </is>
      </c>
      <c r="G119" t="n">
        <v>3.1</v>
      </c>
      <c r="H119" t="n">
        <v>0</v>
      </c>
      <c r="I119" t="n">
        <v>1</v>
      </c>
      <c r="J119" t="n">
        <v>2</v>
      </c>
      <c r="K119" t="n">
        <v>0</v>
      </c>
      <c r="L119" t="n">
        <v>0</v>
      </c>
      <c r="M119" t="n">
        <v>0</v>
      </c>
      <c r="N119" t="n">
        <v>0</v>
      </c>
      <c r="O119" t="n">
        <v>2</v>
      </c>
      <c r="P119" t="n">
        <v>0</v>
      </c>
      <c r="Q119" t="n">
        <v>3</v>
      </c>
      <c r="R119" s="2" t="inlineStr">
        <is>
          <t>Barrviolspindling
Kryddspindling
Strimspindling</t>
        </is>
      </c>
      <c r="S119">
        <f>HYPERLINK("https://klasma.github.io/Logging_0980/artfynd/A 2476-2025 artfynd.xlsx", "A 2476-2025")</f>
        <v/>
      </c>
      <c r="T119">
        <f>HYPERLINK("https://klasma.github.io/Logging_0980/kartor/A 2476-2025 karta.png", "A 2476-2025")</f>
        <v/>
      </c>
      <c r="V119">
        <f>HYPERLINK("https://klasma.github.io/Logging_0980/klagomål/A 2476-2025 FSC-klagomål.docx", "A 2476-2025")</f>
        <v/>
      </c>
      <c r="W119">
        <f>HYPERLINK("https://klasma.github.io/Logging_0980/klagomålsmail/A 2476-2025 FSC-klagomål mail.docx", "A 2476-2025")</f>
        <v/>
      </c>
      <c r="X119">
        <f>HYPERLINK("https://klasma.github.io/Logging_0980/tillsyn/A 2476-2025 tillsynsbegäran.docx", "A 2476-2025")</f>
        <v/>
      </c>
      <c r="Y119">
        <f>HYPERLINK("https://klasma.github.io/Logging_0980/tillsynsmail/A 2476-2025 tillsynsbegäran mail.docx", "A 2476-2025")</f>
        <v/>
      </c>
    </row>
    <row r="120" ht="15" customHeight="1">
      <c r="A120" t="inlineStr">
        <is>
          <t>A 17982-2023</t>
        </is>
      </c>
      <c r="B120" s="1" t="n">
        <v>45040</v>
      </c>
      <c r="C120" s="1" t="n">
        <v>46204</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19322-2026</t>
        </is>
      </c>
      <c r="B121" s="1" t="n">
        <v>46129</v>
      </c>
      <c r="C121" s="1" t="n">
        <v>46204</v>
      </c>
      <c r="D121" t="inlineStr">
        <is>
          <t>GOTLANDS LÄN</t>
        </is>
      </c>
      <c r="E121" t="inlineStr">
        <is>
          <t>GOTLAND</t>
        </is>
      </c>
      <c r="G121" t="n">
        <v>1</v>
      </c>
      <c r="H121" t="n">
        <v>2</v>
      </c>
      <c r="I121" t="n">
        <v>1</v>
      </c>
      <c r="J121" t="n">
        <v>2</v>
      </c>
      <c r="K121" t="n">
        <v>0</v>
      </c>
      <c r="L121" t="n">
        <v>0</v>
      </c>
      <c r="M121" t="n">
        <v>0</v>
      </c>
      <c r="N121" t="n">
        <v>0</v>
      </c>
      <c r="O121" t="n">
        <v>2</v>
      </c>
      <c r="P121" t="n">
        <v>0</v>
      </c>
      <c r="Q121" t="n">
        <v>3</v>
      </c>
      <c r="R121" s="2" t="inlineStr">
        <is>
          <t>Gulsparv
Svinrot
Tvåblad</t>
        </is>
      </c>
      <c r="S121">
        <f>HYPERLINK("https://klasma.github.io/Logging_0980/artfynd/A 19322-2026 artfynd.xlsx", "A 19322-2026")</f>
        <v/>
      </c>
      <c r="T121">
        <f>HYPERLINK("https://klasma.github.io/Logging_0980/kartor/A 19322-2026 karta.png", "A 19322-2026")</f>
        <v/>
      </c>
      <c r="V121">
        <f>HYPERLINK("https://klasma.github.io/Logging_0980/klagomål/A 19322-2026 FSC-klagomål.docx", "A 19322-2026")</f>
        <v/>
      </c>
      <c r="W121">
        <f>HYPERLINK("https://klasma.github.io/Logging_0980/klagomålsmail/A 19322-2026 FSC-klagomål mail.docx", "A 19322-2026")</f>
        <v/>
      </c>
      <c r="X121">
        <f>HYPERLINK("https://klasma.github.io/Logging_0980/tillsyn/A 19322-2026 tillsynsbegäran.docx", "A 19322-2026")</f>
        <v/>
      </c>
      <c r="Y121">
        <f>HYPERLINK("https://klasma.github.io/Logging_0980/tillsynsmail/A 19322-2026 tillsynsbegäran mail.docx", "A 19322-2026")</f>
        <v/>
      </c>
      <c r="Z121">
        <f>HYPERLINK("https://klasma.github.io/Logging_0980/fåglar/A 19322-2026 prioriterade fågelarter.docx", "A 19322-2026")</f>
        <v/>
      </c>
    </row>
    <row r="122" ht="15" customHeight="1">
      <c r="A122" t="inlineStr">
        <is>
          <t>A 53552-2021</t>
        </is>
      </c>
      <c r="B122" s="1" t="n">
        <v>44468</v>
      </c>
      <c r="C122" s="1" t="n">
        <v>46204</v>
      </c>
      <c r="D122" t="inlineStr">
        <is>
          <t>GOTLANDS LÄN</t>
        </is>
      </c>
      <c r="E122" t="inlineStr">
        <is>
          <t>GOTLAND</t>
        </is>
      </c>
      <c r="G122" t="n">
        <v>6.2</v>
      </c>
      <c r="H122" t="n">
        <v>2</v>
      </c>
      <c r="I122" t="n">
        <v>0</v>
      </c>
      <c r="J122" t="n">
        <v>0</v>
      </c>
      <c r="K122" t="n">
        <v>1</v>
      </c>
      <c r="L122" t="n">
        <v>0</v>
      </c>
      <c r="M122" t="n">
        <v>0</v>
      </c>
      <c r="N122" t="n">
        <v>0</v>
      </c>
      <c r="O122" t="n">
        <v>1</v>
      </c>
      <c r="P122" t="n">
        <v>1</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12315-2024</t>
        </is>
      </c>
      <c r="B123" s="1" t="n">
        <v>45378</v>
      </c>
      <c r="C123" s="1" t="n">
        <v>46204</v>
      </c>
      <c r="D123" t="inlineStr">
        <is>
          <t>GOTLANDS LÄN</t>
        </is>
      </c>
      <c r="E123" t="inlineStr">
        <is>
          <t>GOTLAND</t>
        </is>
      </c>
      <c r="G123" t="n">
        <v>6</v>
      </c>
      <c r="H123" t="n">
        <v>3</v>
      </c>
      <c r="I123" t="n">
        <v>1</v>
      </c>
      <c r="J123" t="n">
        <v>0</v>
      </c>
      <c r="K123" t="n">
        <v>0</v>
      </c>
      <c r="L123" t="n">
        <v>0</v>
      </c>
      <c r="M123" t="n">
        <v>0</v>
      </c>
      <c r="N123" t="n">
        <v>0</v>
      </c>
      <c r="O123" t="n">
        <v>0</v>
      </c>
      <c r="P123" t="n">
        <v>0</v>
      </c>
      <c r="Q123" t="n">
        <v>3</v>
      </c>
      <c r="R123" s="2" t="inlineStr">
        <is>
          <t>Tvåblad
Buskskvätta
Fläcknycklar</t>
        </is>
      </c>
      <c r="S123">
        <f>HYPERLINK("https://klasma.github.io/Logging_0980/artfynd/A 12315-2024 artfynd.xlsx", "A 12315-2024")</f>
        <v/>
      </c>
      <c r="T123">
        <f>HYPERLINK("https://klasma.github.io/Logging_0980/kartor/A 12315-2024 karta.png", "A 12315-2024")</f>
        <v/>
      </c>
      <c r="V123">
        <f>HYPERLINK("https://klasma.github.io/Logging_0980/klagomål/A 12315-2024 FSC-klagomål.docx", "A 12315-2024")</f>
        <v/>
      </c>
      <c r="W123">
        <f>HYPERLINK("https://klasma.github.io/Logging_0980/klagomålsmail/A 12315-2024 FSC-klagomål mail.docx", "A 12315-2024")</f>
        <v/>
      </c>
      <c r="X123">
        <f>HYPERLINK("https://klasma.github.io/Logging_0980/tillsyn/A 12315-2024 tillsynsbegäran.docx", "A 12315-2024")</f>
        <v/>
      </c>
      <c r="Y123">
        <f>HYPERLINK("https://klasma.github.io/Logging_0980/tillsynsmail/A 12315-2024 tillsynsbegäran mail.docx", "A 12315-2024")</f>
        <v/>
      </c>
    </row>
    <row r="124" ht="15" customHeight="1">
      <c r="A124" t="inlineStr">
        <is>
          <t>A 37222-2021</t>
        </is>
      </c>
      <c r="B124" s="1" t="n">
        <v>44396</v>
      </c>
      <c r="C124" s="1" t="n">
        <v>46204</v>
      </c>
      <c r="D124" t="inlineStr">
        <is>
          <t>GOTLANDS LÄN</t>
        </is>
      </c>
      <c r="E124" t="inlineStr">
        <is>
          <t>GOTLAND</t>
        </is>
      </c>
      <c r="G124" t="n">
        <v>3</v>
      </c>
      <c r="H124" t="n">
        <v>3</v>
      </c>
      <c r="I124" t="n">
        <v>1</v>
      </c>
      <c r="J124" t="n">
        <v>1</v>
      </c>
      <c r="K124" t="n">
        <v>0</v>
      </c>
      <c r="L124" t="n">
        <v>0</v>
      </c>
      <c r="M124" t="n">
        <v>0</v>
      </c>
      <c r="N124" t="n">
        <v>0</v>
      </c>
      <c r="O124" t="n">
        <v>1</v>
      </c>
      <c r="P124" t="n">
        <v>0</v>
      </c>
      <c r="Q124" t="n">
        <v>3</v>
      </c>
      <c r="R124" s="2" t="inlineStr">
        <is>
          <t>Mindre hackspett
Skogsknipprot
Bergfink</t>
        </is>
      </c>
      <c r="S124">
        <f>HYPERLINK("https://klasma.github.io/Logging_0980/artfynd/A 37222-2021 artfynd.xlsx", "A 37222-2021")</f>
        <v/>
      </c>
      <c r="T124">
        <f>HYPERLINK("https://klasma.github.io/Logging_0980/kartor/A 37222-2021 karta.png", "A 37222-2021")</f>
        <v/>
      </c>
      <c r="V124">
        <f>HYPERLINK("https://klasma.github.io/Logging_0980/klagomål/A 37222-2021 FSC-klagomål.docx", "A 37222-2021")</f>
        <v/>
      </c>
      <c r="W124">
        <f>HYPERLINK("https://klasma.github.io/Logging_0980/klagomålsmail/A 37222-2021 FSC-klagomål mail.docx", "A 37222-2021")</f>
        <v/>
      </c>
      <c r="X124">
        <f>HYPERLINK("https://klasma.github.io/Logging_0980/tillsyn/A 37222-2021 tillsynsbegäran.docx", "A 37222-2021")</f>
        <v/>
      </c>
      <c r="Y124">
        <f>HYPERLINK("https://klasma.github.io/Logging_0980/tillsynsmail/A 37222-2021 tillsynsbegäran mail.docx", "A 37222-2021")</f>
        <v/>
      </c>
      <c r="Z124">
        <f>HYPERLINK("https://klasma.github.io/Logging_0980/fåglar/A 37222-2021 prioriterade fågelarter.docx", "A 37222-2021")</f>
        <v/>
      </c>
    </row>
    <row r="125" ht="15" customHeight="1">
      <c r="A125" t="inlineStr">
        <is>
          <t>A 26992-2026</t>
        </is>
      </c>
      <c r="B125" s="1" t="n">
        <v>46185</v>
      </c>
      <c r="C125" s="1" t="n">
        <v>46204</v>
      </c>
      <c r="D125" t="inlineStr">
        <is>
          <t>GOTLANDS LÄN</t>
        </is>
      </c>
      <c r="E125" t="inlineStr">
        <is>
          <t>GOTLAND</t>
        </is>
      </c>
      <c r="G125" t="n">
        <v>0.8</v>
      </c>
      <c r="H125" t="n">
        <v>2</v>
      </c>
      <c r="I125" t="n">
        <v>1</v>
      </c>
      <c r="J125" t="n">
        <v>1</v>
      </c>
      <c r="K125" t="n">
        <v>0</v>
      </c>
      <c r="L125" t="n">
        <v>0</v>
      </c>
      <c r="M125" t="n">
        <v>0</v>
      </c>
      <c r="N125" t="n">
        <v>0</v>
      </c>
      <c r="O125" t="n">
        <v>1</v>
      </c>
      <c r="P125" t="n">
        <v>0</v>
      </c>
      <c r="Q125" t="n">
        <v>3</v>
      </c>
      <c r="R125" s="2" t="inlineStr">
        <is>
          <t>Svinrot
Nästrot
Blåsippa</t>
        </is>
      </c>
      <c r="S125">
        <f>HYPERLINK("https://klasma.github.io/Logging_0980/artfynd/A 26992-2026 artfynd.xlsx", "A 26992-2026")</f>
        <v/>
      </c>
      <c r="T125">
        <f>HYPERLINK("https://klasma.github.io/Logging_0980/kartor/A 26992-2026 karta.png", "A 26992-2026")</f>
        <v/>
      </c>
      <c r="V125">
        <f>HYPERLINK("https://klasma.github.io/Logging_0980/klagomål/A 26992-2026 FSC-klagomål.docx", "A 26992-2026")</f>
        <v/>
      </c>
      <c r="W125">
        <f>HYPERLINK("https://klasma.github.io/Logging_0980/klagomålsmail/A 26992-2026 FSC-klagomål mail.docx", "A 26992-2026")</f>
        <v/>
      </c>
      <c r="X125">
        <f>HYPERLINK("https://klasma.github.io/Logging_0980/tillsyn/A 26992-2026 tillsynsbegäran.docx", "A 26992-2026")</f>
        <v/>
      </c>
      <c r="Y125">
        <f>HYPERLINK("https://klasma.github.io/Logging_0980/tillsynsmail/A 26992-2026 tillsynsbegäran mail.docx", "A 26992-2026")</f>
        <v/>
      </c>
    </row>
    <row r="126" ht="15" customHeight="1">
      <c r="A126" t="inlineStr">
        <is>
          <t>A 35574-2024</t>
        </is>
      </c>
      <c r="B126" s="1" t="n">
        <v>45531</v>
      </c>
      <c r="C126" s="1" t="n">
        <v>46204</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43219-2023</t>
        </is>
      </c>
      <c r="B127" s="1" t="n">
        <v>45183</v>
      </c>
      <c r="C127" s="1" t="n">
        <v>46204</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63576-2021</t>
        </is>
      </c>
      <c r="B128" s="1" t="n">
        <v>44508</v>
      </c>
      <c r="C128" s="1" t="n">
        <v>46204</v>
      </c>
      <c r="D128" t="inlineStr">
        <is>
          <t>GOTLANDS LÄN</t>
        </is>
      </c>
      <c r="E128" t="inlineStr">
        <is>
          <t>GOTLAND</t>
        </is>
      </c>
      <c r="F128" t="inlineStr">
        <is>
          <t>Kyrkan</t>
        </is>
      </c>
      <c r="G128" t="n">
        <v>4.1</v>
      </c>
      <c r="H128" t="n">
        <v>1</v>
      </c>
      <c r="I128" t="n">
        <v>1</v>
      </c>
      <c r="J128" t="n">
        <v>2</v>
      </c>
      <c r="K128" t="n">
        <v>0</v>
      </c>
      <c r="L128" t="n">
        <v>0</v>
      </c>
      <c r="M128" t="n">
        <v>0</v>
      </c>
      <c r="N128" t="n">
        <v>0</v>
      </c>
      <c r="O128" t="n">
        <v>2</v>
      </c>
      <c r="P128" t="n">
        <v>0</v>
      </c>
      <c r="Q128" t="n">
        <v>3</v>
      </c>
      <c r="R128" s="2" t="inlineStr">
        <is>
          <t>Dårgräsfjäril
Loppstarr
Stubbspretmossa</t>
        </is>
      </c>
      <c r="S128">
        <f>HYPERLINK("https://klasma.github.io/Logging_0980/artfynd/A 63576-2021 artfynd.xlsx", "A 63576-2021")</f>
        <v/>
      </c>
      <c r="T128">
        <f>HYPERLINK("https://klasma.github.io/Logging_0980/kartor/A 63576-2021 karta.png", "A 63576-2021")</f>
        <v/>
      </c>
      <c r="V128">
        <f>HYPERLINK("https://klasma.github.io/Logging_0980/klagomål/A 63576-2021 FSC-klagomål.docx", "A 63576-2021")</f>
        <v/>
      </c>
      <c r="W128">
        <f>HYPERLINK("https://klasma.github.io/Logging_0980/klagomålsmail/A 63576-2021 FSC-klagomål mail.docx", "A 63576-2021")</f>
        <v/>
      </c>
      <c r="X128">
        <f>HYPERLINK("https://klasma.github.io/Logging_0980/tillsyn/A 63576-2021 tillsynsbegäran.docx", "A 63576-2021")</f>
        <v/>
      </c>
      <c r="Y128">
        <f>HYPERLINK("https://klasma.github.io/Logging_0980/tillsynsmail/A 63576-2021 tillsynsbegäran mail.docx", "A 63576-2021")</f>
        <v/>
      </c>
    </row>
    <row r="129" ht="15" customHeight="1">
      <c r="A129" t="inlineStr">
        <is>
          <t>A 10440-2024</t>
        </is>
      </c>
      <c r="B129" s="1" t="n">
        <v>45366</v>
      </c>
      <c r="C129" s="1" t="n">
        <v>46204</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46204</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46204</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46204</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28261-2024</t>
        </is>
      </c>
      <c r="B133" s="1" t="n">
        <v>45477</v>
      </c>
      <c r="C133" s="1" t="n">
        <v>46204</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7070-2022</t>
        </is>
      </c>
      <c r="B134" s="1" t="n">
        <v>44603</v>
      </c>
      <c r="C134" s="1" t="n">
        <v>46204</v>
      </c>
      <c r="D134" t="inlineStr">
        <is>
          <t>GOTLANDS LÄN</t>
        </is>
      </c>
      <c r="E134" t="inlineStr">
        <is>
          <t>GOTLAND</t>
        </is>
      </c>
      <c r="G134" t="n">
        <v>2.6</v>
      </c>
      <c r="H134" t="n">
        <v>0</v>
      </c>
      <c r="I134" t="n">
        <v>1</v>
      </c>
      <c r="J134" t="n">
        <v>1</v>
      </c>
      <c r="K134" t="n">
        <v>0</v>
      </c>
      <c r="L134" t="n">
        <v>0</v>
      </c>
      <c r="M134" t="n">
        <v>0</v>
      </c>
      <c r="N134" t="n">
        <v>0</v>
      </c>
      <c r="O134" t="n">
        <v>1</v>
      </c>
      <c r="P134" t="n">
        <v>0</v>
      </c>
      <c r="Q134" t="n">
        <v>2</v>
      </c>
      <c r="R134" s="2" t="inlineStr">
        <is>
          <t>Kattfotslav
Blåmossa</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27589-2023</t>
        </is>
      </c>
      <c r="B135" s="1" t="n">
        <v>45097</v>
      </c>
      <c r="C135" s="1" t="n">
        <v>46204</v>
      </c>
      <c r="D135" t="inlineStr">
        <is>
          <t>GOTLANDS LÄN</t>
        </is>
      </c>
      <c r="E135" t="inlineStr">
        <is>
          <t>GOTLAND</t>
        </is>
      </c>
      <c r="G135" t="n">
        <v>5.4</v>
      </c>
      <c r="H135" t="n">
        <v>0</v>
      </c>
      <c r="I135" t="n">
        <v>1</v>
      </c>
      <c r="J135" t="n">
        <v>0</v>
      </c>
      <c r="K135" t="n">
        <v>0</v>
      </c>
      <c r="L135" t="n">
        <v>1</v>
      </c>
      <c r="M135" t="n">
        <v>0</v>
      </c>
      <c r="N135" t="n">
        <v>0</v>
      </c>
      <c r="O135" t="n">
        <v>1</v>
      </c>
      <c r="P135" t="n">
        <v>1</v>
      </c>
      <c r="Q135" t="n">
        <v>2</v>
      </c>
      <c r="R135" s="2" t="inlineStr">
        <is>
          <t>Skogsalm
Underviol</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1010-2024</t>
        </is>
      </c>
      <c r="B136" s="1" t="n">
        <v>45301</v>
      </c>
      <c r="C136" s="1" t="n">
        <v>46204</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62760-2025</t>
        </is>
      </c>
      <c r="B137" s="1" t="n">
        <v>46008</v>
      </c>
      <c r="C137" s="1" t="n">
        <v>46204</v>
      </c>
      <c r="D137" t="inlineStr">
        <is>
          <t>GOTLANDS LÄN</t>
        </is>
      </c>
      <c r="E137" t="inlineStr">
        <is>
          <t>GOTLAND</t>
        </is>
      </c>
      <c r="F137" t="inlineStr">
        <is>
          <t>Övriga Aktiebolag</t>
        </is>
      </c>
      <c r="G137" t="n">
        <v>4.6</v>
      </c>
      <c r="H137" t="n">
        <v>1</v>
      </c>
      <c r="I137" t="n">
        <v>1</v>
      </c>
      <c r="J137" t="n">
        <v>1</v>
      </c>
      <c r="K137" t="n">
        <v>0</v>
      </c>
      <c r="L137" t="n">
        <v>0</v>
      </c>
      <c r="M137" t="n">
        <v>0</v>
      </c>
      <c r="N137" t="n">
        <v>0</v>
      </c>
      <c r="O137" t="n">
        <v>1</v>
      </c>
      <c r="P137" t="n">
        <v>0</v>
      </c>
      <c r="Q137" t="n">
        <v>2</v>
      </c>
      <c r="R137" s="2" t="inlineStr">
        <is>
          <t>Vårärt
Nästrot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11708-2026</t>
        </is>
      </c>
      <c r="B138" s="1" t="n">
        <v>46084</v>
      </c>
      <c r="C138" s="1" t="n">
        <v>46204</v>
      </c>
      <c r="D138" t="inlineStr">
        <is>
          <t>GOTLANDS LÄN</t>
        </is>
      </c>
      <c r="E138" t="inlineStr">
        <is>
          <t>GOTLAND</t>
        </is>
      </c>
      <c r="G138" t="n">
        <v>8.4</v>
      </c>
      <c r="H138" t="n">
        <v>1</v>
      </c>
      <c r="I138" t="n">
        <v>0</v>
      </c>
      <c r="J138" t="n">
        <v>0</v>
      </c>
      <c r="K138" t="n">
        <v>1</v>
      </c>
      <c r="L138" t="n">
        <v>0</v>
      </c>
      <c r="M138" t="n">
        <v>0</v>
      </c>
      <c r="N138" t="n">
        <v>0</v>
      </c>
      <c r="O138" t="n">
        <v>1</v>
      </c>
      <c r="P138" t="n">
        <v>1</v>
      </c>
      <c r="Q138" t="n">
        <v>2</v>
      </c>
      <c r="R138" s="2" t="inlineStr">
        <is>
          <t>Toppjungfrulin
Bredarun</t>
        </is>
      </c>
      <c r="S138">
        <f>HYPERLINK("https://klasma.github.io/Logging_0980/artfynd/A 11708-2026 artfynd.xlsx", "A 11708-2026")</f>
        <v/>
      </c>
      <c r="T138">
        <f>HYPERLINK("https://klasma.github.io/Logging_0980/kartor/A 11708-2026 karta.png", "A 11708-2026")</f>
        <v/>
      </c>
      <c r="V138">
        <f>HYPERLINK("https://klasma.github.io/Logging_0980/klagomål/A 11708-2026 FSC-klagomål.docx", "A 11708-2026")</f>
        <v/>
      </c>
      <c r="W138">
        <f>HYPERLINK("https://klasma.github.io/Logging_0980/klagomålsmail/A 11708-2026 FSC-klagomål mail.docx", "A 11708-2026")</f>
        <v/>
      </c>
      <c r="X138">
        <f>HYPERLINK("https://klasma.github.io/Logging_0980/tillsyn/A 11708-2026 tillsynsbegäran.docx", "A 11708-2026")</f>
        <v/>
      </c>
      <c r="Y138">
        <f>HYPERLINK("https://klasma.github.io/Logging_0980/tillsynsmail/A 11708-2026 tillsynsbegäran mail.docx", "A 11708-2026")</f>
        <v/>
      </c>
    </row>
    <row r="139" ht="15" customHeight="1">
      <c r="A139" t="inlineStr">
        <is>
          <t>A 33011-2025</t>
        </is>
      </c>
      <c r="B139" s="1" t="n">
        <v>45840</v>
      </c>
      <c r="C139" s="1" t="n">
        <v>46204</v>
      </c>
      <c r="D139" t="inlineStr">
        <is>
          <t>GOTLANDS LÄN</t>
        </is>
      </c>
      <c r="E139" t="inlineStr">
        <is>
          <t>GOTLAND</t>
        </is>
      </c>
      <c r="G139" t="n">
        <v>1.7</v>
      </c>
      <c r="H139" t="n">
        <v>2</v>
      </c>
      <c r="I139" t="n">
        <v>0</v>
      </c>
      <c r="J139" t="n">
        <v>1</v>
      </c>
      <c r="K139" t="n">
        <v>1</v>
      </c>
      <c r="L139" t="n">
        <v>0</v>
      </c>
      <c r="M139" t="n">
        <v>0</v>
      </c>
      <c r="N139" t="n">
        <v>0</v>
      </c>
      <c r="O139" t="n">
        <v>2</v>
      </c>
      <c r="P139" t="n">
        <v>1</v>
      </c>
      <c r="Q139" t="n">
        <v>2</v>
      </c>
      <c r="R139" s="2" t="inlineStr">
        <is>
          <t>Hasselsnok
Mindre hackspett</t>
        </is>
      </c>
      <c r="S139">
        <f>HYPERLINK("https://klasma.github.io/Logging_0980/artfynd/A 33011-2025 artfynd.xlsx", "A 33011-2025")</f>
        <v/>
      </c>
      <c r="T139">
        <f>HYPERLINK("https://klasma.github.io/Logging_0980/kartor/A 33011-2025 karta.png", "A 33011-2025")</f>
        <v/>
      </c>
      <c r="V139">
        <f>HYPERLINK("https://klasma.github.io/Logging_0980/klagomål/A 33011-2025 FSC-klagomål.docx", "A 33011-2025")</f>
        <v/>
      </c>
      <c r="W139">
        <f>HYPERLINK("https://klasma.github.io/Logging_0980/klagomålsmail/A 33011-2025 FSC-klagomål mail.docx", "A 33011-2025")</f>
        <v/>
      </c>
      <c r="X139">
        <f>HYPERLINK("https://klasma.github.io/Logging_0980/tillsyn/A 33011-2025 tillsynsbegäran.docx", "A 33011-2025")</f>
        <v/>
      </c>
      <c r="Y139">
        <f>HYPERLINK("https://klasma.github.io/Logging_0980/tillsynsmail/A 33011-2025 tillsynsbegäran mail.docx", "A 33011-2025")</f>
        <v/>
      </c>
      <c r="Z139">
        <f>HYPERLINK("https://klasma.github.io/Logging_0980/fåglar/A 33011-2025 prioriterade fågelarter.docx", "A 33011-2025")</f>
        <v/>
      </c>
    </row>
    <row r="140" ht="15" customHeight="1">
      <c r="A140" t="inlineStr">
        <is>
          <t>A 49411-2023</t>
        </is>
      </c>
      <c r="B140" s="1" t="n">
        <v>45205</v>
      </c>
      <c r="C140" s="1" t="n">
        <v>46204</v>
      </c>
      <c r="D140" t="inlineStr">
        <is>
          <t>GOTLANDS LÄN</t>
        </is>
      </c>
      <c r="E140" t="inlineStr">
        <is>
          <t>GOTLAND</t>
        </is>
      </c>
      <c r="G140" t="n">
        <v>2</v>
      </c>
      <c r="H140" t="n">
        <v>1</v>
      </c>
      <c r="I140" t="n">
        <v>1</v>
      </c>
      <c r="J140" t="n">
        <v>1</v>
      </c>
      <c r="K140" t="n">
        <v>0</v>
      </c>
      <c r="L140" t="n">
        <v>0</v>
      </c>
      <c r="M140" t="n">
        <v>0</v>
      </c>
      <c r="N140" t="n">
        <v>0</v>
      </c>
      <c r="O140" t="n">
        <v>1</v>
      </c>
      <c r="P140" t="n">
        <v>0</v>
      </c>
      <c r="Q140" t="n">
        <v>2</v>
      </c>
      <c r="R140" s="2" t="inlineStr">
        <is>
          <t>Svinrot
Tvåblad</t>
        </is>
      </c>
      <c r="S140">
        <f>HYPERLINK("https://klasma.github.io/Logging_0980/artfynd/A 49411-2023 artfynd.xlsx", "A 49411-2023")</f>
        <v/>
      </c>
      <c r="T140">
        <f>HYPERLINK("https://klasma.github.io/Logging_0980/kartor/A 49411-2023 karta.png", "A 49411-2023")</f>
        <v/>
      </c>
      <c r="V140">
        <f>HYPERLINK("https://klasma.github.io/Logging_0980/klagomål/A 49411-2023 FSC-klagomål.docx", "A 49411-2023")</f>
        <v/>
      </c>
      <c r="W140">
        <f>HYPERLINK("https://klasma.github.io/Logging_0980/klagomålsmail/A 49411-2023 FSC-klagomål mail.docx", "A 49411-2023")</f>
        <v/>
      </c>
      <c r="X140">
        <f>HYPERLINK("https://klasma.github.io/Logging_0980/tillsyn/A 49411-2023 tillsynsbegäran.docx", "A 49411-2023")</f>
        <v/>
      </c>
      <c r="Y140">
        <f>HYPERLINK("https://klasma.github.io/Logging_0980/tillsynsmail/A 49411-2023 tillsynsbegäran mail.docx", "A 49411-2023")</f>
        <v/>
      </c>
    </row>
    <row r="141" ht="15" customHeight="1">
      <c r="A141" t="inlineStr">
        <is>
          <t>A 49314-2024</t>
        </is>
      </c>
      <c r="B141" s="1" t="n">
        <v>45595</v>
      </c>
      <c r="C141" s="1" t="n">
        <v>46204</v>
      </c>
      <c r="D141" t="inlineStr">
        <is>
          <t>GOTLANDS LÄN</t>
        </is>
      </c>
      <c r="E141" t="inlineStr">
        <is>
          <t>GOTLAND</t>
        </is>
      </c>
      <c r="G141" t="n">
        <v>1.1</v>
      </c>
      <c r="H141" t="n">
        <v>0</v>
      </c>
      <c r="I141" t="n">
        <v>1</v>
      </c>
      <c r="J141" t="n">
        <v>0</v>
      </c>
      <c r="K141" t="n">
        <v>1</v>
      </c>
      <c r="L141" t="n">
        <v>0</v>
      </c>
      <c r="M141" t="n">
        <v>0</v>
      </c>
      <c r="N141" t="n">
        <v>0</v>
      </c>
      <c r="O141" t="n">
        <v>1</v>
      </c>
      <c r="P141" t="n">
        <v>1</v>
      </c>
      <c r="Q141" t="n">
        <v>2</v>
      </c>
      <c r="R141" s="2" t="inlineStr">
        <is>
          <t>Skogskorn
Underviol</t>
        </is>
      </c>
      <c r="S141">
        <f>HYPERLINK("https://klasma.github.io/Logging_0980/artfynd/A 49314-2024 artfynd.xlsx", "A 49314-2024")</f>
        <v/>
      </c>
      <c r="T141">
        <f>HYPERLINK("https://klasma.github.io/Logging_0980/kartor/A 49314-2024 karta.png", "A 49314-2024")</f>
        <v/>
      </c>
      <c r="V141">
        <f>HYPERLINK("https://klasma.github.io/Logging_0980/klagomål/A 49314-2024 FSC-klagomål.docx", "A 49314-2024")</f>
        <v/>
      </c>
      <c r="W141">
        <f>HYPERLINK("https://klasma.github.io/Logging_0980/klagomålsmail/A 49314-2024 FSC-klagomål mail.docx", "A 49314-2024")</f>
        <v/>
      </c>
      <c r="X141">
        <f>HYPERLINK("https://klasma.github.io/Logging_0980/tillsyn/A 49314-2024 tillsynsbegäran.docx", "A 49314-2024")</f>
        <v/>
      </c>
      <c r="Y141">
        <f>HYPERLINK("https://klasma.github.io/Logging_0980/tillsynsmail/A 49314-2024 tillsynsbegäran mail.docx", "A 49314-2024")</f>
        <v/>
      </c>
    </row>
    <row r="142" ht="15" customHeight="1">
      <c r="A142" t="inlineStr">
        <is>
          <t>A 26077-2024</t>
        </is>
      </c>
      <c r="B142" s="1" t="n">
        <v>45467</v>
      </c>
      <c r="C142" s="1" t="n">
        <v>46204</v>
      </c>
      <c r="D142" t="inlineStr">
        <is>
          <t>GOTLANDS LÄN</t>
        </is>
      </c>
      <c r="E142" t="inlineStr">
        <is>
          <t>GOTLAND</t>
        </is>
      </c>
      <c r="G142" t="n">
        <v>4.6</v>
      </c>
      <c r="H142" t="n">
        <v>0</v>
      </c>
      <c r="I142" t="n">
        <v>0</v>
      </c>
      <c r="J142" t="n">
        <v>1</v>
      </c>
      <c r="K142" t="n">
        <v>0</v>
      </c>
      <c r="L142" t="n">
        <v>1</v>
      </c>
      <c r="M142" t="n">
        <v>0</v>
      </c>
      <c r="N142" t="n">
        <v>0</v>
      </c>
      <c r="O142" t="n">
        <v>2</v>
      </c>
      <c r="P142" t="n">
        <v>1</v>
      </c>
      <c r="Q142" t="n">
        <v>2</v>
      </c>
      <c r="R142" s="2" t="inlineStr">
        <is>
          <t>Ask
Tallticka</t>
        </is>
      </c>
      <c r="S142">
        <f>HYPERLINK("https://klasma.github.io/Logging_0980/artfynd/A 26077-2024 artfynd.xlsx", "A 26077-2024")</f>
        <v/>
      </c>
      <c r="T142">
        <f>HYPERLINK("https://klasma.github.io/Logging_0980/kartor/A 26077-2024 karta.png", "A 26077-2024")</f>
        <v/>
      </c>
      <c r="V142">
        <f>HYPERLINK("https://klasma.github.io/Logging_0980/klagomål/A 26077-2024 FSC-klagomål.docx", "A 26077-2024")</f>
        <v/>
      </c>
      <c r="W142">
        <f>HYPERLINK("https://klasma.github.io/Logging_0980/klagomålsmail/A 26077-2024 FSC-klagomål mail.docx", "A 26077-2024")</f>
        <v/>
      </c>
      <c r="X142">
        <f>HYPERLINK("https://klasma.github.io/Logging_0980/tillsyn/A 26077-2024 tillsynsbegäran.docx", "A 26077-2024")</f>
        <v/>
      </c>
      <c r="Y142">
        <f>HYPERLINK("https://klasma.github.io/Logging_0980/tillsynsmail/A 26077-2024 tillsynsbegäran mail.docx", "A 26077-2024")</f>
        <v/>
      </c>
    </row>
    <row r="143" ht="15" customHeight="1">
      <c r="A143" t="inlineStr">
        <is>
          <t>A 883-2025</t>
        </is>
      </c>
      <c r="B143" s="1" t="n">
        <v>45665</v>
      </c>
      <c r="C143" s="1" t="n">
        <v>46204</v>
      </c>
      <c r="D143" t="inlineStr">
        <is>
          <t>GOTLANDS LÄN</t>
        </is>
      </c>
      <c r="E143" t="inlineStr">
        <is>
          <t>GOTLAND</t>
        </is>
      </c>
      <c r="G143" t="n">
        <v>1.3</v>
      </c>
      <c r="H143" t="n">
        <v>0</v>
      </c>
      <c r="I143" t="n">
        <v>2</v>
      </c>
      <c r="J143" t="n">
        <v>0</v>
      </c>
      <c r="K143" t="n">
        <v>0</v>
      </c>
      <c r="L143" t="n">
        <v>0</v>
      </c>
      <c r="M143" t="n">
        <v>0</v>
      </c>
      <c r="N143" t="n">
        <v>0</v>
      </c>
      <c r="O143" t="n">
        <v>0</v>
      </c>
      <c r="P143" t="n">
        <v>0</v>
      </c>
      <c r="Q143" t="n">
        <v>2</v>
      </c>
      <c r="R143" s="2" t="inlineStr">
        <is>
          <t>Axag
Kärrlilja</t>
        </is>
      </c>
      <c r="S143">
        <f>HYPERLINK("https://klasma.github.io/Logging_0980/artfynd/A 883-2025 artfynd.xlsx", "A 883-2025")</f>
        <v/>
      </c>
      <c r="T143">
        <f>HYPERLINK("https://klasma.github.io/Logging_0980/kartor/A 883-2025 karta.png", "A 883-2025")</f>
        <v/>
      </c>
      <c r="V143">
        <f>HYPERLINK("https://klasma.github.io/Logging_0980/klagomål/A 883-2025 FSC-klagomål.docx", "A 883-2025")</f>
        <v/>
      </c>
      <c r="W143">
        <f>HYPERLINK("https://klasma.github.io/Logging_0980/klagomålsmail/A 883-2025 FSC-klagomål mail.docx", "A 883-2025")</f>
        <v/>
      </c>
      <c r="X143">
        <f>HYPERLINK("https://klasma.github.io/Logging_0980/tillsyn/A 883-2025 tillsynsbegäran.docx", "A 883-2025")</f>
        <v/>
      </c>
      <c r="Y143">
        <f>HYPERLINK("https://klasma.github.io/Logging_0980/tillsynsmail/A 883-2025 tillsynsbegäran mail.docx", "A 883-2025")</f>
        <v/>
      </c>
    </row>
    <row r="144" ht="15" customHeight="1">
      <c r="A144" t="inlineStr">
        <is>
          <t>A 8036-2022</t>
        </is>
      </c>
      <c r="B144" s="1" t="n">
        <v>44609</v>
      </c>
      <c r="C144" s="1" t="n">
        <v>46204</v>
      </c>
      <c r="D144" t="inlineStr">
        <is>
          <t>GOTLANDS LÄN</t>
        </is>
      </c>
      <c r="E144" t="inlineStr">
        <is>
          <t>GOTLAND</t>
        </is>
      </c>
      <c r="G144" t="n">
        <v>6.1</v>
      </c>
      <c r="H144" t="n">
        <v>2</v>
      </c>
      <c r="I144" t="n">
        <v>0</v>
      </c>
      <c r="J144" t="n">
        <v>1</v>
      </c>
      <c r="K144" t="n">
        <v>1</v>
      </c>
      <c r="L144" t="n">
        <v>0</v>
      </c>
      <c r="M144" t="n">
        <v>0</v>
      </c>
      <c r="N144" t="n">
        <v>0</v>
      </c>
      <c r="O144" t="n">
        <v>2</v>
      </c>
      <c r="P144" t="n">
        <v>1</v>
      </c>
      <c r="Q144" t="n">
        <v>2</v>
      </c>
      <c r="R144" s="2" t="inlineStr">
        <is>
          <t>Grönfink
Grönsångare</t>
        </is>
      </c>
      <c r="S144">
        <f>HYPERLINK("https://klasma.github.io/Logging_0980/artfynd/A 8036-2022 artfynd.xlsx", "A 8036-2022")</f>
        <v/>
      </c>
      <c r="T144">
        <f>HYPERLINK("https://klasma.github.io/Logging_0980/kartor/A 8036-2022 karta.png", "A 8036-2022")</f>
        <v/>
      </c>
      <c r="V144">
        <f>HYPERLINK("https://klasma.github.io/Logging_0980/klagomål/A 8036-2022 FSC-klagomål.docx", "A 8036-2022")</f>
        <v/>
      </c>
      <c r="W144">
        <f>HYPERLINK("https://klasma.github.io/Logging_0980/klagomålsmail/A 8036-2022 FSC-klagomål mail.docx", "A 8036-2022")</f>
        <v/>
      </c>
      <c r="X144">
        <f>HYPERLINK("https://klasma.github.io/Logging_0980/tillsyn/A 8036-2022 tillsynsbegäran.docx", "A 8036-2022")</f>
        <v/>
      </c>
      <c r="Y144">
        <f>HYPERLINK("https://klasma.github.io/Logging_0980/tillsynsmail/A 8036-2022 tillsynsbegäran mail.docx", "A 8036-2022")</f>
        <v/>
      </c>
      <c r="Z144">
        <f>HYPERLINK("https://klasma.github.io/Logging_0980/fåglar/A 8036-2022 prioriterade fågelarter.docx", "A 8036-2022")</f>
        <v/>
      </c>
    </row>
    <row r="145" ht="15" customHeight="1">
      <c r="A145" t="inlineStr">
        <is>
          <t>A 27621-2026</t>
        </is>
      </c>
      <c r="B145" s="1" t="n">
        <v>46190</v>
      </c>
      <c r="C145" s="1" t="n">
        <v>46204</v>
      </c>
      <c r="D145" t="inlineStr">
        <is>
          <t>GOTLANDS LÄN</t>
        </is>
      </c>
      <c r="E145" t="inlineStr">
        <is>
          <t>GOTLAND</t>
        </is>
      </c>
      <c r="G145" t="n">
        <v>6</v>
      </c>
      <c r="H145" t="n">
        <v>2</v>
      </c>
      <c r="I145" t="n">
        <v>0</v>
      </c>
      <c r="J145" t="n">
        <v>1</v>
      </c>
      <c r="K145" t="n">
        <v>0</v>
      </c>
      <c r="L145" t="n">
        <v>0</v>
      </c>
      <c r="M145" t="n">
        <v>0</v>
      </c>
      <c r="N145" t="n">
        <v>0</v>
      </c>
      <c r="O145" t="n">
        <v>1</v>
      </c>
      <c r="P145" t="n">
        <v>0</v>
      </c>
      <c r="Q145" t="n">
        <v>2</v>
      </c>
      <c r="R145" s="2" t="inlineStr">
        <is>
          <t>Adam och eva
Spillkråka</t>
        </is>
      </c>
      <c r="S145">
        <f>HYPERLINK("https://klasma.github.io/Logging_0980/artfynd/A 27621-2026 artfynd.xlsx", "A 27621-2026")</f>
        <v/>
      </c>
      <c r="T145">
        <f>HYPERLINK("https://klasma.github.io/Logging_0980/kartor/A 27621-2026 karta.png", "A 27621-2026")</f>
        <v/>
      </c>
      <c r="V145">
        <f>HYPERLINK("https://klasma.github.io/Logging_0980/klagomål/A 27621-2026 FSC-klagomål.docx", "A 27621-2026")</f>
        <v/>
      </c>
      <c r="W145">
        <f>HYPERLINK("https://klasma.github.io/Logging_0980/klagomålsmail/A 27621-2026 FSC-klagomål mail.docx", "A 27621-2026")</f>
        <v/>
      </c>
      <c r="X145">
        <f>HYPERLINK("https://klasma.github.io/Logging_0980/tillsyn/A 27621-2026 tillsynsbegäran.docx", "A 27621-2026")</f>
        <v/>
      </c>
      <c r="Y145">
        <f>HYPERLINK("https://klasma.github.io/Logging_0980/tillsynsmail/A 27621-2026 tillsynsbegäran mail.docx", "A 27621-2026")</f>
        <v/>
      </c>
      <c r="Z145">
        <f>HYPERLINK("https://klasma.github.io/Logging_0980/fåglar/A 27621-2026 prioriterade fågelarter.docx", "A 27621-2026")</f>
        <v/>
      </c>
    </row>
    <row r="146" ht="15" customHeight="1">
      <c r="A146" t="inlineStr">
        <is>
          <t>A 12209-2024</t>
        </is>
      </c>
      <c r="B146" s="1" t="n">
        <v>45378</v>
      </c>
      <c r="C146" s="1" t="n">
        <v>46204</v>
      </c>
      <c r="D146" t="inlineStr">
        <is>
          <t>GOTLANDS LÄN</t>
        </is>
      </c>
      <c r="E146" t="inlineStr">
        <is>
          <t>GOTLAND</t>
        </is>
      </c>
      <c r="G146" t="n">
        <v>5.3</v>
      </c>
      <c r="H146" t="n">
        <v>0</v>
      </c>
      <c r="I146" t="n">
        <v>0</v>
      </c>
      <c r="J146" t="n">
        <v>1</v>
      </c>
      <c r="K146" t="n">
        <v>1</v>
      </c>
      <c r="L146" t="n">
        <v>0</v>
      </c>
      <c r="M146" t="n">
        <v>0</v>
      </c>
      <c r="N146" t="n">
        <v>0</v>
      </c>
      <c r="O146" t="n">
        <v>2</v>
      </c>
      <c r="P146" t="n">
        <v>1</v>
      </c>
      <c r="Q146" t="n">
        <v>2</v>
      </c>
      <c r="R146" s="2" t="inlineStr">
        <is>
          <t>Oxhorndyvel
Krokhorndyvel</t>
        </is>
      </c>
      <c r="S146">
        <f>HYPERLINK("https://klasma.github.io/Logging_0980/artfynd/A 12209-2024 artfynd.xlsx", "A 12209-2024")</f>
        <v/>
      </c>
      <c r="T146">
        <f>HYPERLINK("https://klasma.github.io/Logging_0980/kartor/A 12209-2024 karta.png", "A 12209-2024")</f>
        <v/>
      </c>
      <c r="V146">
        <f>HYPERLINK("https://klasma.github.io/Logging_0980/klagomål/A 12209-2024 FSC-klagomål.docx", "A 12209-2024")</f>
        <v/>
      </c>
      <c r="W146">
        <f>HYPERLINK("https://klasma.github.io/Logging_0980/klagomålsmail/A 12209-2024 FSC-klagomål mail.docx", "A 12209-2024")</f>
        <v/>
      </c>
      <c r="X146">
        <f>HYPERLINK("https://klasma.github.io/Logging_0980/tillsyn/A 12209-2024 tillsynsbegäran.docx", "A 12209-2024")</f>
        <v/>
      </c>
      <c r="Y146">
        <f>HYPERLINK("https://klasma.github.io/Logging_0980/tillsynsmail/A 12209-2024 tillsynsbegäran mail.docx", "A 12209-2024")</f>
        <v/>
      </c>
    </row>
    <row r="147" ht="15" customHeight="1">
      <c r="A147" t="inlineStr">
        <is>
          <t>A 28276-2024</t>
        </is>
      </c>
      <c r="B147" s="1" t="n">
        <v>45477</v>
      </c>
      <c r="C147" s="1" t="n">
        <v>46204</v>
      </c>
      <c r="D147" t="inlineStr">
        <is>
          <t>GOTLANDS LÄN</t>
        </is>
      </c>
      <c r="E147" t="inlineStr">
        <is>
          <t>GOTLAND</t>
        </is>
      </c>
      <c r="G147" t="n">
        <v>22.8</v>
      </c>
      <c r="H147" t="n">
        <v>0</v>
      </c>
      <c r="I147" t="n">
        <v>0</v>
      </c>
      <c r="J147" t="n">
        <v>2</v>
      </c>
      <c r="K147" t="n">
        <v>0</v>
      </c>
      <c r="L147" t="n">
        <v>0</v>
      </c>
      <c r="M147" t="n">
        <v>0</v>
      </c>
      <c r="N147" t="n">
        <v>0</v>
      </c>
      <c r="O147" t="n">
        <v>2</v>
      </c>
      <c r="P147" t="n">
        <v>0</v>
      </c>
      <c r="Q147" t="n">
        <v>2</v>
      </c>
      <c r="R147" s="2" t="inlineStr">
        <is>
          <t>Grådådra
Åkerkulla</t>
        </is>
      </c>
      <c r="S147">
        <f>HYPERLINK("https://klasma.github.io/Logging_0980/artfynd/A 28276-2024 artfynd.xlsx", "A 28276-2024")</f>
        <v/>
      </c>
      <c r="T147">
        <f>HYPERLINK("https://klasma.github.io/Logging_0980/kartor/A 28276-2024 karta.png", "A 28276-2024")</f>
        <v/>
      </c>
      <c r="V147">
        <f>HYPERLINK("https://klasma.github.io/Logging_0980/klagomål/A 28276-2024 FSC-klagomål.docx", "A 28276-2024")</f>
        <v/>
      </c>
      <c r="W147">
        <f>HYPERLINK("https://klasma.github.io/Logging_0980/klagomålsmail/A 28276-2024 FSC-klagomål mail.docx", "A 28276-2024")</f>
        <v/>
      </c>
      <c r="X147">
        <f>HYPERLINK("https://klasma.github.io/Logging_0980/tillsyn/A 28276-2024 tillsynsbegäran.docx", "A 28276-2024")</f>
        <v/>
      </c>
      <c r="Y147">
        <f>HYPERLINK("https://klasma.github.io/Logging_0980/tillsynsmail/A 28276-2024 tillsynsbegäran mail.docx", "A 28276-2024")</f>
        <v/>
      </c>
    </row>
    <row r="148" ht="15" customHeight="1">
      <c r="A148" t="inlineStr">
        <is>
          <t>A 46362-2021</t>
        </is>
      </c>
      <c r="B148" s="1" t="n">
        <v>44442</v>
      </c>
      <c r="C148" s="1" t="n">
        <v>46204</v>
      </c>
      <c r="D148" t="inlineStr">
        <is>
          <t>GOTLANDS LÄN</t>
        </is>
      </c>
      <c r="E148" t="inlineStr">
        <is>
          <t>GOTLAND</t>
        </is>
      </c>
      <c r="G148" t="n">
        <v>2.1</v>
      </c>
      <c r="H148" t="n">
        <v>0</v>
      </c>
      <c r="I148" t="n">
        <v>0</v>
      </c>
      <c r="J148" t="n">
        <v>0</v>
      </c>
      <c r="K148" t="n">
        <v>1</v>
      </c>
      <c r="L148" t="n">
        <v>0</v>
      </c>
      <c r="M148" t="n">
        <v>0</v>
      </c>
      <c r="N148" t="n">
        <v>0</v>
      </c>
      <c r="O148" t="n">
        <v>1</v>
      </c>
      <c r="P148" t="n">
        <v>1</v>
      </c>
      <c r="Q148" t="n">
        <v>1</v>
      </c>
      <c r="R148" s="2" t="inlineStr">
        <is>
          <t>Igelkott</t>
        </is>
      </c>
      <c r="S148">
        <f>HYPERLINK("https://klasma.github.io/Logging_0980/artfynd/A 46362-2021 artfynd.xlsx", "A 46362-2021")</f>
        <v/>
      </c>
      <c r="T148">
        <f>HYPERLINK("https://klasma.github.io/Logging_0980/kartor/A 46362-2021 karta.png", "A 46362-2021")</f>
        <v/>
      </c>
      <c r="V148">
        <f>HYPERLINK("https://klasma.github.io/Logging_0980/klagomål/A 46362-2021 FSC-klagomål.docx", "A 46362-2021")</f>
        <v/>
      </c>
      <c r="W148">
        <f>HYPERLINK("https://klasma.github.io/Logging_0980/klagomålsmail/A 46362-2021 FSC-klagomål mail.docx", "A 46362-2021")</f>
        <v/>
      </c>
      <c r="X148">
        <f>HYPERLINK("https://klasma.github.io/Logging_0980/tillsyn/A 46362-2021 tillsynsbegäran.docx", "A 46362-2021")</f>
        <v/>
      </c>
      <c r="Y148">
        <f>HYPERLINK("https://klasma.github.io/Logging_0980/tillsynsmail/A 46362-2021 tillsynsbegäran mail.docx", "A 46362-2021")</f>
        <v/>
      </c>
    </row>
    <row r="149" ht="15" customHeight="1">
      <c r="A149" t="inlineStr">
        <is>
          <t>A 11029-2022</t>
        </is>
      </c>
      <c r="B149" s="1" t="n">
        <v>44628</v>
      </c>
      <c r="C149" s="1" t="n">
        <v>46204</v>
      </c>
      <c r="D149" t="inlineStr">
        <is>
          <t>GOTLANDS LÄN</t>
        </is>
      </c>
      <c r="E149" t="inlineStr">
        <is>
          <t>GOTLAND</t>
        </is>
      </c>
      <c r="G149" t="n">
        <v>1.8</v>
      </c>
      <c r="H149" t="n">
        <v>0</v>
      </c>
      <c r="I149" t="n">
        <v>1</v>
      </c>
      <c r="J149" t="n">
        <v>0</v>
      </c>
      <c r="K149" t="n">
        <v>0</v>
      </c>
      <c r="L149" t="n">
        <v>0</v>
      </c>
      <c r="M149" t="n">
        <v>0</v>
      </c>
      <c r="N149" t="n">
        <v>0</v>
      </c>
      <c r="O149" t="n">
        <v>0</v>
      </c>
      <c r="P149" t="n">
        <v>0</v>
      </c>
      <c r="Q149" t="n">
        <v>1</v>
      </c>
      <c r="R149" s="2" t="inlineStr">
        <is>
          <t>Olivspindling</t>
        </is>
      </c>
      <c r="S149">
        <f>HYPERLINK("https://klasma.github.io/Logging_0980/artfynd/A 11029-2022 artfynd.xlsx", "A 11029-2022")</f>
        <v/>
      </c>
      <c r="T149">
        <f>HYPERLINK("https://klasma.github.io/Logging_0980/kartor/A 11029-2022 karta.png", "A 11029-2022")</f>
        <v/>
      </c>
      <c r="V149">
        <f>HYPERLINK("https://klasma.github.io/Logging_0980/klagomål/A 11029-2022 FSC-klagomål.docx", "A 11029-2022")</f>
        <v/>
      </c>
      <c r="W149">
        <f>HYPERLINK("https://klasma.github.io/Logging_0980/klagomålsmail/A 11029-2022 FSC-klagomål mail.docx", "A 11029-2022")</f>
        <v/>
      </c>
      <c r="X149">
        <f>HYPERLINK("https://klasma.github.io/Logging_0980/tillsyn/A 11029-2022 tillsynsbegäran.docx", "A 11029-2022")</f>
        <v/>
      </c>
      <c r="Y149">
        <f>HYPERLINK("https://klasma.github.io/Logging_0980/tillsynsmail/A 11029-2022 tillsynsbegäran mail.docx", "A 11029-2022")</f>
        <v/>
      </c>
    </row>
    <row r="150" ht="15" customHeight="1">
      <c r="A150" t="inlineStr">
        <is>
          <t>A 31239-2022</t>
        </is>
      </c>
      <c r="B150" s="1" t="n">
        <v>44771</v>
      </c>
      <c r="C150" s="1" t="n">
        <v>46204</v>
      </c>
      <c r="D150" t="inlineStr">
        <is>
          <t>GOTLANDS LÄN</t>
        </is>
      </c>
      <c r="E150" t="inlineStr">
        <is>
          <t>GOTLAND</t>
        </is>
      </c>
      <c r="G150" t="n">
        <v>1.9</v>
      </c>
      <c r="H150" t="n">
        <v>0</v>
      </c>
      <c r="I150" t="n">
        <v>0</v>
      </c>
      <c r="J150" t="n">
        <v>1</v>
      </c>
      <c r="K150" t="n">
        <v>0</v>
      </c>
      <c r="L150" t="n">
        <v>0</v>
      </c>
      <c r="M150" t="n">
        <v>0</v>
      </c>
      <c r="N150" t="n">
        <v>0</v>
      </c>
      <c r="O150" t="n">
        <v>1</v>
      </c>
      <c r="P150" t="n">
        <v>0</v>
      </c>
      <c r="Q150" t="n">
        <v>1</v>
      </c>
      <c r="R150" s="2" t="inlineStr">
        <is>
          <t>Barrviolspindling</t>
        </is>
      </c>
      <c r="S150">
        <f>HYPERLINK("https://klasma.github.io/Logging_0980/artfynd/A 31239-2022 artfynd.xlsx", "A 31239-2022")</f>
        <v/>
      </c>
      <c r="T150">
        <f>HYPERLINK("https://klasma.github.io/Logging_0980/kartor/A 31239-2022 karta.png", "A 31239-2022")</f>
        <v/>
      </c>
      <c r="V150">
        <f>HYPERLINK("https://klasma.github.io/Logging_0980/klagomål/A 31239-2022 FSC-klagomål.docx", "A 31239-2022")</f>
        <v/>
      </c>
      <c r="W150">
        <f>HYPERLINK("https://klasma.github.io/Logging_0980/klagomålsmail/A 31239-2022 FSC-klagomål mail.docx", "A 31239-2022")</f>
        <v/>
      </c>
      <c r="X150">
        <f>HYPERLINK("https://klasma.github.io/Logging_0980/tillsyn/A 31239-2022 tillsynsbegäran.docx", "A 31239-2022")</f>
        <v/>
      </c>
      <c r="Y150">
        <f>HYPERLINK("https://klasma.github.io/Logging_0980/tillsynsmail/A 31239-2022 tillsynsbegäran mail.docx", "A 31239-2022")</f>
        <v/>
      </c>
    </row>
    <row r="151" ht="15" customHeight="1">
      <c r="A151" t="inlineStr">
        <is>
          <t>A 17354-2022</t>
        </is>
      </c>
      <c r="B151" s="1" t="n">
        <v>44678</v>
      </c>
      <c r="C151" s="1" t="n">
        <v>46204</v>
      </c>
      <c r="D151" t="inlineStr">
        <is>
          <t>GOTLANDS LÄN</t>
        </is>
      </c>
      <c r="E151" t="inlineStr">
        <is>
          <t>GOTLAND</t>
        </is>
      </c>
      <c r="G151" t="n">
        <v>7.1</v>
      </c>
      <c r="H151" t="n">
        <v>0</v>
      </c>
      <c r="I151" t="n">
        <v>0</v>
      </c>
      <c r="J151" t="n">
        <v>1</v>
      </c>
      <c r="K151" t="n">
        <v>0</v>
      </c>
      <c r="L151" t="n">
        <v>0</v>
      </c>
      <c r="M151" t="n">
        <v>0</v>
      </c>
      <c r="N151" t="n">
        <v>0</v>
      </c>
      <c r="O151" t="n">
        <v>1</v>
      </c>
      <c r="P151" t="n">
        <v>0</v>
      </c>
      <c r="Q151" t="n">
        <v>1</v>
      </c>
      <c r="R151" s="2" t="inlineStr">
        <is>
          <t>Grådådra</t>
        </is>
      </c>
      <c r="S151">
        <f>HYPERLINK("https://klasma.github.io/Logging_0980/artfynd/A 17354-2022 artfynd.xlsx", "A 17354-2022")</f>
        <v/>
      </c>
      <c r="T151">
        <f>HYPERLINK("https://klasma.github.io/Logging_0980/kartor/A 17354-2022 karta.png", "A 17354-2022")</f>
        <v/>
      </c>
      <c r="V151">
        <f>HYPERLINK("https://klasma.github.io/Logging_0980/klagomål/A 17354-2022 FSC-klagomål.docx", "A 17354-2022")</f>
        <v/>
      </c>
      <c r="W151">
        <f>HYPERLINK("https://klasma.github.io/Logging_0980/klagomålsmail/A 17354-2022 FSC-klagomål mail.docx", "A 17354-2022")</f>
        <v/>
      </c>
      <c r="X151">
        <f>HYPERLINK("https://klasma.github.io/Logging_0980/tillsyn/A 17354-2022 tillsynsbegäran.docx", "A 17354-2022")</f>
        <v/>
      </c>
      <c r="Y151">
        <f>HYPERLINK("https://klasma.github.io/Logging_0980/tillsynsmail/A 17354-2022 tillsynsbegäran mail.docx", "A 17354-2022")</f>
        <v/>
      </c>
    </row>
    <row r="152" ht="15" customHeight="1">
      <c r="A152" t="inlineStr">
        <is>
          <t>A 22883-2024</t>
        </is>
      </c>
      <c r="B152" s="1" t="n">
        <v>45448</v>
      </c>
      <c r="C152" s="1" t="n">
        <v>46204</v>
      </c>
      <c r="D152" t="inlineStr">
        <is>
          <t>GOTLANDS LÄN</t>
        </is>
      </c>
      <c r="E152" t="inlineStr">
        <is>
          <t>GOTLAND</t>
        </is>
      </c>
      <c r="G152" t="n">
        <v>0.5</v>
      </c>
      <c r="H152" t="n">
        <v>0</v>
      </c>
      <c r="I152" t="n">
        <v>0</v>
      </c>
      <c r="J152" t="n">
        <v>0</v>
      </c>
      <c r="K152" t="n">
        <v>1</v>
      </c>
      <c r="L152" t="n">
        <v>0</v>
      </c>
      <c r="M152" t="n">
        <v>0</v>
      </c>
      <c r="N152" t="n">
        <v>0</v>
      </c>
      <c r="O152" t="n">
        <v>1</v>
      </c>
      <c r="P152" t="n">
        <v>1</v>
      </c>
      <c r="Q152" t="n">
        <v>1</v>
      </c>
      <c r="R152" s="2" t="inlineStr">
        <is>
          <t>Gotlandsmåra</t>
        </is>
      </c>
      <c r="S152">
        <f>HYPERLINK("https://klasma.github.io/Logging_0980/artfynd/A 22883-2024 artfynd.xlsx", "A 22883-2024")</f>
        <v/>
      </c>
      <c r="T152">
        <f>HYPERLINK("https://klasma.github.io/Logging_0980/kartor/A 22883-2024 karta.png", "A 22883-2024")</f>
        <v/>
      </c>
      <c r="V152">
        <f>HYPERLINK("https://klasma.github.io/Logging_0980/klagomål/A 22883-2024 FSC-klagomål.docx", "A 22883-2024")</f>
        <v/>
      </c>
      <c r="W152">
        <f>HYPERLINK("https://klasma.github.io/Logging_0980/klagomålsmail/A 22883-2024 FSC-klagomål mail.docx", "A 22883-2024")</f>
        <v/>
      </c>
      <c r="X152">
        <f>HYPERLINK("https://klasma.github.io/Logging_0980/tillsyn/A 22883-2024 tillsynsbegäran.docx", "A 22883-2024")</f>
        <v/>
      </c>
      <c r="Y152">
        <f>HYPERLINK("https://klasma.github.io/Logging_0980/tillsynsmail/A 22883-2024 tillsynsbegäran mail.docx", "A 22883-2024")</f>
        <v/>
      </c>
    </row>
    <row r="153" ht="15" customHeight="1">
      <c r="A153" t="inlineStr">
        <is>
          <t>A 63229-2021</t>
        </is>
      </c>
      <c r="B153" s="1" t="n">
        <v>44508</v>
      </c>
      <c r="C153" s="1" t="n">
        <v>46204</v>
      </c>
      <c r="D153" t="inlineStr">
        <is>
          <t>GOTLANDS LÄN</t>
        </is>
      </c>
      <c r="E153" t="inlineStr">
        <is>
          <t>GOTLAND</t>
        </is>
      </c>
      <c r="F153" t="inlineStr">
        <is>
          <t>Kyrkan</t>
        </is>
      </c>
      <c r="G153" t="n">
        <v>3.8</v>
      </c>
      <c r="H153" t="n">
        <v>0</v>
      </c>
      <c r="I153" t="n">
        <v>0</v>
      </c>
      <c r="J153" t="n">
        <v>1</v>
      </c>
      <c r="K153" t="n">
        <v>0</v>
      </c>
      <c r="L153" t="n">
        <v>0</v>
      </c>
      <c r="M153" t="n">
        <v>0</v>
      </c>
      <c r="N153" t="n">
        <v>0</v>
      </c>
      <c r="O153" t="n">
        <v>1</v>
      </c>
      <c r="P153" t="n">
        <v>0</v>
      </c>
      <c r="Q153" t="n">
        <v>1</v>
      </c>
      <c r="R153" s="2" t="inlineStr">
        <is>
          <t>Backtimjan</t>
        </is>
      </c>
      <c r="S153">
        <f>HYPERLINK("https://klasma.github.io/Logging_0980/artfynd/A 63229-2021 artfynd.xlsx", "A 63229-2021")</f>
        <v/>
      </c>
      <c r="T153">
        <f>HYPERLINK("https://klasma.github.io/Logging_0980/kartor/A 63229-2021 karta.png", "A 63229-2021")</f>
        <v/>
      </c>
      <c r="V153">
        <f>HYPERLINK("https://klasma.github.io/Logging_0980/klagomål/A 63229-2021 FSC-klagomål.docx", "A 63229-2021")</f>
        <v/>
      </c>
      <c r="W153">
        <f>HYPERLINK("https://klasma.github.io/Logging_0980/klagomålsmail/A 63229-2021 FSC-klagomål mail.docx", "A 63229-2021")</f>
        <v/>
      </c>
      <c r="X153">
        <f>HYPERLINK("https://klasma.github.io/Logging_0980/tillsyn/A 63229-2021 tillsynsbegäran.docx", "A 63229-2021")</f>
        <v/>
      </c>
      <c r="Y153">
        <f>HYPERLINK("https://klasma.github.io/Logging_0980/tillsynsmail/A 63229-2021 tillsynsbegäran mail.docx", "A 63229-2021")</f>
        <v/>
      </c>
    </row>
    <row r="154" ht="15" customHeight="1">
      <c r="A154" t="inlineStr">
        <is>
          <t>A 24245-2022</t>
        </is>
      </c>
      <c r="B154" s="1" t="n">
        <v>44725</v>
      </c>
      <c r="C154" s="1" t="n">
        <v>46204</v>
      </c>
      <c r="D154" t="inlineStr">
        <is>
          <t>GOTLANDS LÄN</t>
        </is>
      </c>
      <c r="E154" t="inlineStr">
        <is>
          <t>GOTLAND</t>
        </is>
      </c>
      <c r="G154" t="n">
        <v>4.9</v>
      </c>
      <c r="H154" t="n">
        <v>0</v>
      </c>
      <c r="I154" t="n">
        <v>0</v>
      </c>
      <c r="J154" t="n">
        <v>0</v>
      </c>
      <c r="K154" t="n">
        <v>0</v>
      </c>
      <c r="L154" t="n">
        <v>1</v>
      </c>
      <c r="M154" t="n">
        <v>0</v>
      </c>
      <c r="N154" t="n">
        <v>0</v>
      </c>
      <c r="O154" t="n">
        <v>1</v>
      </c>
      <c r="P154" t="n">
        <v>1</v>
      </c>
      <c r="Q154" t="n">
        <v>1</v>
      </c>
      <c r="R154" s="2" t="inlineStr">
        <is>
          <t>Slät taggsvamp</t>
        </is>
      </c>
      <c r="S154">
        <f>HYPERLINK("https://klasma.github.io/Logging_0980/artfynd/A 24245-2022 artfynd.xlsx", "A 24245-2022")</f>
        <v/>
      </c>
      <c r="T154">
        <f>HYPERLINK("https://klasma.github.io/Logging_0980/kartor/A 24245-2022 karta.png", "A 24245-2022")</f>
        <v/>
      </c>
      <c r="V154">
        <f>HYPERLINK("https://klasma.github.io/Logging_0980/klagomål/A 24245-2022 FSC-klagomål.docx", "A 24245-2022")</f>
        <v/>
      </c>
      <c r="W154">
        <f>HYPERLINK("https://klasma.github.io/Logging_0980/klagomålsmail/A 24245-2022 FSC-klagomål mail.docx", "A 24245-2022")</f>
        <v/>
      </c>
      <c r="X154">
        <f>HYPERLINK("https://klasma.github.io/Logging_0980/tillsyn/A 24245-2022 tillsynsbegäran.docx", "A 24245-2022")</f>
        <v/>
      </c>
      <c r="Y154">
        <f>HYPERLINK("https://klasma.github.io/Logging_0980/tillsynsmail/A 24245-2022 tillsynsbegäran mail.docx", "A 24245-2022")</f>
        <v/>
      </c>
    </row>
    <row r="155" ht="15" customHeight="1">
      <c r="A155" t="inlineStr">
        <is>
          <t>A 27593-2023</t>
        </is>
      </c>
      <c r="B155" s="1" t="n">
        <v>45097</v>
      </c>
      <c r="C155" s="1" t="n">
        <v>46204</v>
      </c>
      <c r="D155" t="inlineStr">
        <is>
          <t>GOTLANDS LÄN</t>
        </is>
      </c>
      <c r="E155" t="inlineStr">
        <is>
          <t>GOTLAND</t>
        </is>
      </c>
      <c r="G155" t="n">
        <v>3.1</v>
      </c>
      <c r="H155" t="n">
        <v>1</v>
      </c>
      <c r="I155" t="n">
        <v>0</v>
      </c>
      <c r="J155" t="n">
        <v>0</v>
      </c>
      <c r="K155" t="n">
        <v>0</v>
      </c>
      <c r="L155" t="n">
        <v>1</v>
      </c>
      <c r="M155" t="n">
        <v>0</v>
      </c>
      <c r="N155" t="n">
        <v>0</v>
      </c>
      <c r="O155" t="n">
        <v>1</v>
      </c>
      <c r="P155" t="n">
        <v>1</v>
      </c>
      <c r="Q155" t="n">
        <v>1</v>
      </c>
      <c r="R155" s="2" t="inlineStr">
        <is>
          <t>Spjutsporre</t>
        </is>
      </c>
      <c r="S155">
        <f>HYPERLINK("https://klasma.github.io/Logging_0980/artfynd/A 27593-2023 artfynd.xlsx", "A 27593-2023")</f>
        <v/>
      </c>
      <c r="T155">
        <f>HYPERLINK("https://klasma.github.io/Logging_0980/kartor/A 27593-2023 karta.png", "A 27593-2023")</f>
        <v/>
      </c>
      <c r="V155">
        <f>HYPERLINK("https://klasma.github.io/Logging_0980/klagomål/A 27593-2023 FSC-klagomål.docx", "A 27593-2023")</f>
        <v/>
      </c>
      <c r="W155">
        <f>HYPERLINK("https://klasma.github.io/Logging_0980/klagomålsmail/A 27593-2023 FSC-klagomål mail.docx", "A 27593-2023")</f>
        <v/>
      </c>
      <c r="X155">
        <f>HYPERLINK("https://klasma.github.io/Logging_0980/tillsyn/A 27593-2023 tillsynsbegäran.docx", "A 27593-2023")</f>
        <v/>
      </c>
      <c r="Y155">
        <f>HYPERLINK("https://klasma.github.io/Logging_0980/tillsynsmail/A 27593-2023 tillsynsbegäran mail.docx", "A 27593-2023")</f>
        <v/>
      </c>
    </row>
    <row r="156" ht="15" customHeight="1">
      <c r="A156" t="inlineStr">
        <is>
          <t>A 5751-2024</t>
        </is>
      </c>
      <c r="B156" s="1" t="n">
        <v>45335</v>
      </c>
      <c r="C156" s="1" t="n">
        <v>46204</v>
      </c>
      <c r="D156" t="inlineStr">
        <is>
          <t>GOTLANDS LÄN</t>
        </is>
      </c>
      <c r="E156" t="inlineStr">
        <is>
          <t>GOTLAND</t>
        </is>
      </c>
      <c r="G156" t="n">
        <v>4.2</v>
      </c>
      <c r="H156" t="n">
        <v>0</v>
      </c>
      <c r="I156" t="n">
        <v>0</v>
      </c>
      <c r="J156" t="n">
        <v>1</v>
      </c>
      <c r="K156" t="n">
        <v>0</v>
      </c>
      <c r="L156" t="n">
        <v>0</v>
      </c>
      <c r="M156" t="n">
        <v>0</v>
      </c>
      <c r="N156" t="n">
        <v>0</v>
      </c>
      <c r="O156" t="n">
        <v>1</v>
      </c>
      <c r="P156" t="n">
        <v>0</v>
      </c>
      <c r="Q156" t="n">
        <v>1</v>
      </c>
      <c r="R156" s="2" t="inlineStr">
        <is>
          <t>Svinrot</t>
        </is>
      </c>
      <c r="S156">
        <f>HYPERLINK("https://klasma.github.io/Logging_0980/artfynd/A 5751-2024 artfynd.xlsx", "A 5751-2024")</f>
        <v/>
      </c>
      <c r="T156">
        <f>HYPERLINK("https://klasma.github.io/Logging_0980/kartor/A 5751-2024 karta.png", "A 5751-2024")</f>
        <v/>
      </c>
      <c r="V156">
        <f>HYPERLINK("https://klasma.github.io/Logging_0980/klagomål/A 5751-2024 FSC-klagomål.docx", "A 5751-2024")</f>
        <v/>
      </c>
      <c r="W156">
        <f>HYPERLINK("https://klasma.github.io/Logging_0980/klagomålsmail/A 5751-2024 FSC-klagomål mail.docx", "A 5751-2024")</f>
        <v/>
      </c>
      <c r="X156">
        <f>HYPERLINK("https://klasma.github.io/Logging_0980/tillsyn/A 5751-2024 tillsynsbegäran.docx", "A 5751-2024")</f>
        <v/>
      </c>
      <c r="Y156">
        <f>HYPERLINK("https://klasma.github.io/Logging_0980/tillsynsmail/A 5751-2024 tillsynsbegäran mail.docx", "A 5751-2024")</f>
        <v/>
      </c>
    </row>
    <row r="157" ht="15" customHeight="1">
      <c r="A157" t="inlineStr">
        <is>
          <t>A 49693-2023</t>
        </is>
      </c>
      <c r="B157" s="1" t="n">
        <v>45212</v>
      </c>
      <c r="C157" s="1" t="n">
        <v>46204</v>
      </c>
      <c r="D157" t="inlineStr">
        <is>
          <t>GOTLANDS LÄN</t>
        </is>
      </c>
      <c r="E157" t="inlineStr">
        <is>
          <t>GOTLAND</t>
        </is>
      </c>
      <c r="G157" t="n">
        <v>2.4</v>
      </c>
      <c r="H157" t="n">
        <v>0</v>
      </c>
      <c r="I157" t="n">
        <v>0</v>
      </c>
      <c r="J157" t="n">
        <v>0</v>
      </c>
      <c r="K157" t="n">
        <v>1</v>
      </c>
      <c r="L157" t="n">
        <v>0</v>
      </c>
      <c r="M157" t="n">
        <v>0</v>
      </c>
      <c r="N157" t="n">
        <v>0</v>
      </c>
      <c r="O157" t="n">
        <v>1</v>
      </c>
      <c r="P157" t="n">
        <v>1</v>
      </c>
      <c r="Q157" t="n">
        <v>1</v>
      </c>
      <c r="R157" s="2" t="inlineStr">
        <is>
          <t>Vit taggsvamp</t>
        </is>
      </c>
      <c r="S157">
        <f>HYPERLINK("https://klasma.github.io/Logging_0980/artfynd/A 49693-2023 artfynd.xlsx", "A 49693-2023")</f>
        <v/>
      </c>
      <c r="T157">
        <f>HYPERLINK("https://klasma.github.io/Logging_0980/kartor/A 49693-2023 karta.png", "A 49693-2023")</f>
        <v/>
      </c>
      <c r="V157">
        <f>HYPERLINK("https://klasma.github.io/Logging_0980/klagomål/A 49693-2023 FSC-klagomål.docx", "A 49693-2023")</f>
        <v/>
      </c>
      <c r="W157">
        <f>HYPERLINK("https://klasma.github.io/Logging_0980/klagomålsmail/A 49693-2023 FSC-klagomål mail.docx", "A 49693-2023")</f>
        <v/>
      </c>
      <c r="X157">
        <f>HYPERLINK("https://klasma.github.io/Logging_0980/tillsyn/A 49693-2023 tillsynsbegäran.docx", "A 49693-2023")</f>
        <v/>
      </c>
      <c r="Y157">
        <f>HYPERLINK("https://klasma.github.io/Logging_0980/tillsynsmail/A 49693-2023 tillsynsbegäran mail.docx", "A 49693-2023")</f>
        <v/>
      </c>
    </row>
    <row r="158" ht="15" customHeight="1">
      <c r="A158" t="inlineStr">
        <is>
          <t>A 57534-2022</t>
        </is>
      </c>
      <c r="B158" s="1" t="n">
        <v>44896</v>
      </c>
      <c r="C158" s="1" t="n">
        <v>46204</v>
      </c>
      <c r="D158" t="inlineStr">
        <is>
          <t>GOTLANDS LÄN</t>
        </is>
      </c>
      <c r="E158" t="inlineStr">
        <is>
          <t>GOTLAND</t>
        </is>
      </c>
      <c r="G158" t="n">
        <v>0.6</v>
      </c>
      <c r="H158" t="n">
        <v>0</v>
      </c>
      <c r="I158" t="n">
        <v>1</v>
      </c>
      <c r="J158" t="n">
        <v>0</v>
      </c>
      <c r="K158" t="n">
        <v>0</v>
      </c>
      <c r="L158" t="n">
        <v>0</v>
      </c>
      <c r="M158" t="n">
        <v>0</v>
      </c>
      <c r="N158" t="n">
        <v>0</v>
      </c>
      <c r="O158" t="n">
        <v>0</v>
      </c>
      <c r="P158" t="n">
        <v>0</v>
      </c>
      <c r="Q158" t="n">
        <v>1</v>
      </c>
      <c r="R158" s="2" t="inlineStr">
        <is>
          <t>Myskmadra</t>
        </is>
      </c>
      <c r="S158">
        <f>HYPERLINK("https://klasma.github.io/Logging_0980/artfynd/A 57534-2022 artfynd.xlsx", "A 57534-2022")</f>
        <v/>
      </c>
      <c r="T158">
        <f>HYPERLINK("https://klasma.github.io/Logging_0980/kartor/A 57534-2022 karta.png", "A 57534-2022")</f>
        <v/>
      </c>
      <c r="V158">
        <f>HYPERLINK("https://klasma.github.io/Logging_0980/klagomål/A 57534-2022 FSC-klagomål.docx", "A 57534-2022")</f>
        <v/>
      </c>
      <c r="W158">
        <f>HYPERLINK("https://klasma.github.io/Logging_0980/klagomålsmail/A 57534-2022 FSC-klagomål mail.docx", "A 57534-2022")</f>
        <v/>
      </c>
      <c r="X158">
        <f>HYPERLINK("https://klasma.github.io/Logging_0980/tillsyn/A 57534-2022 tillsynsbegäran.docx", "A 57534-2022")</f>
        <v/>
      </c>
      <c r="Y158">
        <f>HYPERLINK("https://klasma.github.io/Logging_0980/tillsynsmail/A 57534-2022 tillsynsbegäran mail.docx", "A 57534-2022")</f>
        <v/>
      </c>
    </row>
    <row r="159" ht="15" customHeight="1">
      <c r="A159" t="inlineStr">
        <is>
          <t>A 6303-2024</t>
        </is>
      </c>
      <c r="B159" s="1" t="n">
        <v>45338</v>
      </c>
      <c r="C159" s="1" t="n">
        <v>46204</v>
      </c>
      <c r="D159" t="inlineStr">
        <is>
          <t>GOTLANDS LÄN</t>
        </is>
      </c>
      <c r="E159" t="inlineStr">
        <is>
          <t>GOTLAND</t>
        </is>
      </c>
      <c r="G159" t="n">
        <v>0.6</v>
      </c>
      <c r="H159" t="n">
        <v>0</v>
      </c>
      <c r="I159" t="n">
        <v>1</v>
      </c>
      <c r="J159" t="n">
        <v>0</v>
      </c>
      <c r="K159" t="n">
        <v>0</v>
      </c>
      <c r="L159" t="n">
        <v>0</v>
      </c>
      <c r="M159" t="n">
        <v>0</v>
      </c>
      <c r="N159" t="n">
        <v>0</v>
      </c>
      <c r="O159" t="n">
        <v>0</v>
      </c>
      <c r="P159" t="n">
        <v>0</v>
      </c>
      <c r="Q159" t="n">
        <v>1</v>
      </c>
      <c r="R159" s="2" t="inlineStr">
        <is>
          <t>Strävlosta</t>
        </is>
      </c>
      <c r="S159">
        <f>HYPERLINK("https://klasma.github.io/Logging_0980/artfynd/A 6303-2024 artfynd.xlsx", "A 6303-2024")</f>
        <v/>
      </c>
      <c r="T159">
        <f>HYPERLINK("https://klasma.github.io/Logging_0980/kartor/A 6303-2024 karta.png", "A 6303-2024")</f>
        <v/>
      </c>
      <c r="V159">
        <f>HYPERLINK("https://klasma.github.io/Logging_0980/klagomål/A 6303-2024 FSC-klagomål.docx", "A 6303-2024")</f>
        <v/>
      </c>
      <c r="W159">
        <f>HYPERLINK("https://klasma.github.io/Logging_0980/klagomålsmail/A 6303-2024 FSC-klagomål mail.docx", "A 6303-2024")</f>
        <v/>
      </c>
      <c r="X159">
        <f>HYPERLINK("https://klasma.github.io/Logging_0980/tillsyn/A 6303-2024 tillsynsbegäran.docx", "A 6303-2024")</f>
        <v/>
      </c>
      <c r="Y159">
        <f>HYPERLINK("https://klasma.github.io/Logging_0980/tillsynsmail/A 6303-2024 tillsynsbegäran mail.docx", "A 6303-2024")</f>
        <v/>
      </c>
    </row>
    <row r="160" ht="15" customHeight="1">
      <c r="A160" t="inlineStr">
        <is>
          <t>A 62552-2022</t>
        </is>
      </c>
      <c r="B160" s="1" t="n">
        <v>44924</v>
      </c>
      <c r="C160" s="1" t="n">
        <v>46204</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25977-2024</t>
        </is>
      </c>
      <c r="B161" s="1" t="n">
        <v>45467</v>
      </c>
      <c r="C161" s="1" t="n">
        <v>46204</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9862-2024</t>
        </is>
      </c>
      <c r="B162" s="1" t="n">
        <v>45363</v>
      </c>
      <c r="C162" s="1" t="n">
        <v>46204</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34141-2024</t>
        </is>
      </c>
      <c r="B163" s="1" t="n">
        <v>45524</v>
      </c>
      <c r="C163" s="1" t="n">
        <v>46204</v>
      </c>
      <c r="D163" t="inlineStr">
        <is>
          <t>GOTLANDS LÄN</t>
        </is>
      </c>
      <c r="E163" t="inlineStr">
        <is>
          <t>GOTLAND</t>
        </is>
      </c>
      <c r="G163" t="n">
        <v>0.9</v>
      </c>
      <c r="H163" t="n">
        <v>0</v>
      </c>
      <c r="I163" t="n">
        <v>1</v>
      </c>
      <c r="J163" t="n">
        <v>0</v>
      </c>
      <c r="K163" t="n">
        <v>0</v>
      </c>
      <c r="L163" t="n">
        <v>0</v>
      </c>
      <c r="M163" t="n">
        <v>0</v>
      </c>
      <c r="N163" t="n">
        <v>0</v>
      </c>
      <c r="O163" t="n">
        <v>0</v>
      </c>
      <c r="P163" t="n">
        <v>0</v>
      </c>
      <c r="Q163" t="n">
        <v>1</v>
      </c>
      <c r="R163" s="2" t="inlineStr">
        <is>
          <t>Strävlosta</t>
        </is>
      </c>
      <c r="S163">
        <f>HYPERLINK("https://klasma.github.io/Logging_0980/artfynd/A 34141-2024 artfynd.xlsx", "A 34141-2024")</f>
        <v/>
      </c>
      <c r="T163">
        <f>HYPERLINK("https://klasma.github.io/Logging_0980/kartor/A 34141-2024 karta.png", "A 34141-2024")</f>
        <v/>
      </c>
      <c r="V163">
        <f>HYPERLINK("https://klasma.github.io/Logging_0980/klagomål/A 34141-2024 FSC-klagomål.docx", "A 34141-2024")</f>
        <v/>
      </c>
      <c r="W163">
        <f>HYPERLINK("https://klasma.github.io/Logging_0980/klagomålsmail/A 34141-2024 FSC-klagomål mail.docx", "A 34141-2024")</f>
        <v/>
      </c>
      <c r="X163">
        <f>HYPERLINK("https://klasma.github.io/Logging_0980/tillsyn/A 34141-2024 tillsynsbegäran.docx", "A 34141-2024")</f>
        <v/>
      </c>
      <c r="Y163">
        <f>HYPERLINK("https://klasma.github.io/Logging_0980/tillsynsmail/A 34141-2024 tillsynsbegäran mail.docx", "A 34141-2024")</f>
        <v/>
      </c>
    </row>
    <row r="164" ht="15" customHeight="1">
      <c r="A164" t="inlineStr">
        <is>
          <t>A 40294-2022</t>
        </is>
      </c>
      <c r="B164" s="1" t="n">
        <v>44821</v>
      </c>
      <c r="C164" s="1" t="n">
        <v>46204</v>
      </c>
      <c r="D164" t="inlineStr">
        <is>
          <t>GOTLANDS LÄN</t>
        </is>
      </c>
      <c r="E164" t="inlineStr">
        <is>
          <t>GOTLAND</t>
        </is>
      </c>
      <c r="G164" t="n">
        <v>1.6</v>
      </c>
      <c r="H164" t="n">
        <v>0</v>
      </c>
      <c r="I164" t="n">
        <v>0</v>
      </c>
      <c r="J164" t="n">
        <v>0</v>
      </c>
      <c r="K164" t="n">
        <v>1</v>
      </c>
      <c r="L164" t="n">
        <v>0</v>
      </c>
      <c r="M164" t="n">
        <v>0</v>
      </c>
      <c r="N164" t="n">
        <v>0</v>
      </c>
      <c r="O164" t="n">
        <v>1</v>
      </c>
      <c r="P164" t="n">
        <v>1</v>
      </c>
      <c r="Q164" t="n">
        <v>1</v>
      </c>
      <c r="R164" s="2" t="inlineStr">
        <is>
          <t>Gotlandsmåra</t>
        </is>
      </c>
      <c r="S164">
        <f>HYPERLINK("https://klasma.github.io/Logging_0980/artfynd/A 40294-2022 artfynd.xlsx", "A 40294-2022")</f>
        <v/>
      </c>
      <c r="T164">
        <f>HYPERLINK("https://klasma.github.io/Logging_0980/kartor/A 40294-2022 karta.png", "A 40294-2022")</f>
        <v/>
      </c>
      <c r="V164">
        <f>HYPERLINK("https://klasma.github.io/Logging_0980/klagomål/A 40294-2022 FSC-klagomål.docx", "A 40294-2022")</f>
        <v/>
      </c>
      <c r="W164">
        <f>HYPERLINK("https://klasma.github.io/Logging_0980/klagomålsmail/A 40294-2022 FSC-klagomål mail.docx", "A 40294-2022")</f>
        <v/>
      </c>
      <c r="X164">
        <f>HYPERLINK("https://klasma.github.io/Logging_0980/tillsyn/A 40294-2022 tillsynsbegäran.docx", "A 40294-2022")</f>
        <v/>
      </c>
      <c r="Y164">
        <f>HYPERLINK("https://klasma.github.io/Logging_0980/tillsynsmail/A 40294-2022 tillsynsbegäran mail.docx", "A 40294-2022")</f>
        <v/>
      </c>
    </row>
    <row r="165" ht="15" customHeight="1">
      <c r="A165" t="inlineStr">
        <is>
          <t>A 27602-2023</t>
        </is>
      </c>
      <c r="B165" s="1" t="n">
        <v>45097</v>
      </c>
      <c r="C165" s="1" t="n">
        <v>46204</v>
      </c>
      <c r="D165" t="inlineStr">
        <is>
          <t>GOTLANDS LÄN</t>
        </is>
      </c>
      <c r="E165" t="inlineStr">
        <is>
          <t>GOTLAND</t>
        </is>
      </c>
      <c r="G165" t="n">
        <v>2.7</v>
      </c>
      <c r="H165" t="n">
        <v>1</v>
      </c>
      <c r="I165" t="n">
        <v>0</v>
      </c>
      <c r="J165" t="n">
        <v>0</v>
      </c>
      <c r="K165" t="n">
        <v>0</v>
      </c>
      <c r="L165" t="n">
        <v>0</v>
      </c>
      <c r="M165" t="n">
        <v>0</v>
      </c>
      <c r="N165" t="n">
        <v>0</v>
      </c>
      <c r="O165" t="n">
        <v>0</v>
      </c>
      <c r="P165" t="n">
        <v>0</v>
      </c>
      <c r="Q165" t="n">
        <v>1</v>
      </c>
      <c r="R165" s="2" t="inlineStr">
        <is>
          <t>Blåsippa</t>
        </is>
      </c>
      <c r="S165">
        <f>HYPERLINK("https://klasma.github.io/Logging_0980/artfynd/A 27602-2023 artfynd.xlsx", "A 27602-2023")</f>
        <v/>
      </c>
      <c r="T165">
        <f>HYPERLINK("https://klasma.github.io/Logging_0980/kartor/A 27602-2023 karta.png", "A 27602-2023")</f>
        <v/>
      </c>
      <c r="V165">
        <f>HYPERLINK("https://klasma.github.io/Logging_0980/klagomål/A 27602-2023 FSC-klagomål.docx", "A 27602-2023")</f>
        <v/>
      </c>
      <c r="W165">
        <f>HYPERLINK("https://klasma.github.io/Logging_0980/klagomålsmail/A 27602-2023 FSC-klagomål mail.docx", "A 27602-2023")</f>
        <v/>
      </c>
      <c r="X165">
        <f>HYPERLINK("https://klasma.github.io/Logging_0980/tillsyn/A 27602-2023 tillsynsbegäran.docx", "A 27602-2023")</f>
        <v/>
      </c>
      <c r="Y165">
        <f>HYPERLINK("https://klasma.github.io/Logging_0980/tillsynsmail/A 27602-2023 tillsynsbegäran mail.docx", "A 27602-2023")</f>
        <v/>
      </c>
    </row>
    <row r="166" ht="15" customHeight="1">
      <c r="A166" t="inlineStr">
        <is>
          <t>A 30104-2025</t>
        </is>
      </c>
      <c r="B166" s="1" t="n">
        <v>45826</v>
      </c>
      <c r="C166" s="1" t="n">
        <v>46204</v>
      </c>
      <c r="D166" t="inlineStr">
        <is>
          <t>GOTLANDS LÄN</t>
        </is>
      </c>
      <c r="E166" t="inlineStr">
        <is>
          <t>GOTLAND</t>
        </is>
      </c>
      <c r="G166" t="n">
        <v>15.4</v>
      </c>
      <c r="H166" t="n">
        <v>0</v>
      </c>
      <c r="I166" t="n">
        <v>1</v>
      </c>
      <c r="J166" t="n">
        <v>0</v>
      </c>
      <c r="K166" t="n">
        <v>0</v>
      </c>
      <c r="L166" t="n">
        <v>0</v>
      </c>
      <c r="M166" t="n">
        <v>0</v>
      </c>
      <c r="N166" t="n">
        <v>0</v>
      </c>
      <c r="O166" t="n">
        <v>0</v>
      </c>
      <c r="P166" t="n">
        <v>0</v>
      </c>
      <c r="Q166" t="n">
        <v>1</v>
      </c>
      <c r="R166" s="2" t="inlineStr">
        <is>
          <t>Blåmossa</t>
        </is>
      </c>
      <c r="S166">
        <f>HYPERLINK("https://klasma.github.io/Logging_0980/artfynd/A 30104-2025 artfynd.xlsx", "A 30104-2025")</f>
        <v/>
      </c>
      <c r="T166">
        <f>HYPERLINK("https://klasma.github.io/Logging_0980/kartor/A 30104-2025 karta.png", "A 30104-2025")</f>
        <v/>
      </c>
      <c r="V166">
        <f>HYPERLINK("https://klasma.github.io/Logging_0980/klagomål/A 30104-2025 FSC-klagomål.docx", "A 30104-2025")</f>
        <v/>
      </c>
      <c r="W166">
        <f>HYPERLINK("https://klasma.github.io/Logging_0980/klagomålsmail/A 30104-2025 FSC-klagomål mail.docx", "A 30104-2025")</f>
        <v/>
      </c>
      <c r="X166">
        <f>HYPERLINK("https://klasma.github.io/Logging_0980/tillsyn/A 30104-2025 tillsynsbegäran.docx", "A 30104-2025")</f>
        <v/>
      </c>
      <c r="Y166">
        <f>HYPERLINK("https://klasma.github.io/Logging_0980/tillsynsmail/A 30104-2025 tillsynsbegäran mail.docx", "A 30104-2025")</f>
        <v/>
      </c>
    </row>
    <row r="167" ht="15" customHeight="1">
      <c r="A167" t="inlineStr">
        <is>
          <t>A 947-2023</t>
        </is>
      </c>
      <c r="B167" s="1" t="n">
        <v>44934</v>
      </c>
      <c r="C167" s="1" t="n">
        <v>46204</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35467-2021</t>
        </is>
      </c>
      <c r="B168" s="1" t="n">
        <v>44385</v>
      </c>
      <c r="C168" s="1" t="n">
        <v>46204</v>
      </c>
      <c r="D168" t="inlineStr">
        <is>
          <t>GOTLANDS LÄN</t>
        </is>
      </c>
      <c r="E168" t="inlineStr">
        <is>
          <t>GOTLAND</t>
        </is>
      </c>
      <c r="G168" t="n">
        <v>12.7</v>
      </c>
      <c r="H168" t="n">
        <v>0</v>
      </c>
      <c r="I168" t="n">
        <v>0</v>
      </c>
      <c r="J168" t="n">
        <v>1</v>
      </c>
      <c r="K168" t="n">
        <v>0</v>
      </c>
      <c r="L168" t="n">
        <v>0</v>
      </c>
      <c r="M168" t="n">
        <v>0</v>
      </c>
      <c r="N168" t="n">
        <v>0</v>
      </c>
      <c r="O168" t="n">
        <v>1</v>
      </c>
      <c r="P168" t="n">
        <v>0</v>
      </c>
      <c r="Q168" t="n">
        <v>1</v>
      </c>
      <c r="R168" s="2" t="inlineStr">
        <is>
          <t>Loppstarr</t>
        </is>
      </c>
      <c r="S168">
        <f>HYPERLINK("https://klasma.github.io/Logging_0980/artfynd/A 35467-2021 artfynd.xlsx", "A 35467-2021")</f>
        <v/>
      </c>
      <c r="T168">
        <f>HYPERLINK("https://klasma.github.io/Logging_0980/kartor/A 35467-2021 karta.png", "A 35467-2021")</f>
        <v/>
      </c>
      <c r="V168">
        <f>HYPERLINK("https://klasma.github.io/Logging_0980/klagomål/A 35467-2021 FSC-klagomål.docx", "A 35467-2021")</f>
        <v/>
      </c>
      <c r="W168">
        <f>HYPERLINK("https://klasma.github.io/Logging_0980/klagomålsmail/A 35467-2021 FSC-klagomål mail.docx", "A 35467-2021")</f>
        <v/>
      </c>
      <c r="X168">
        <f>HYPERLINK("https://klasma.github.io/Logging_0980/tillsyn/A 35467-2021 tillsynsbegäran.docx", "A 35467-2021")</f>
        <v/>
      </c>
      <c r="Y168">
        <f>HYPERLINK("https://klasma.github.io/Logging_0980/tillsynsmail/A 35467-2021 tillsynsbegäran mail.docx", "A 35467-2021")</f>
        <v/>
      </c>
    </row>
    <row r="169" ht="15" customHeight="1">
      <c r="A169" t="inlineStr">
        <is>
          <t>A 30489-2025</t>
        </is>
      </c>
      <c r="B169" s="1" t="n">
        <v>45830</v>
      </c>
      <c r="C169" s="1" t="n">
        <v>46204</v>
      </c>
      <c r="D169" t="inlineStr">
        <is>
          <t>GOTLANDS LÄN</t>
        </is>
      </c>
      <c r="E169" t="inlineStr">
        <is>
          <t>GOTLAND</t>
        </is>
      </c>
      <c r="G169" t="n">
        <v>4.6</v>
      </c>
      <c r="H169" t="n">
        <v>0</v>
      </c>
      <c r="I169" t="n">
        <v>0</v>
      </c>
      <c r="J169" t="n">
        <v>1</v>
      </c>
      <c r="K169" t="n">
        <v>0</v>
      </c>
      <c r="L169" t="n">
        <v>0</v>
      </c>
      <c r="M169" t="n">
        <v>0</v>
      </c>
      <c r="N169" t="n">
        <v>0</v>
      </c>
      <c r="O169" t="n">
        <v>1</v>
      </c>
      <c r="P169" t="n">
        <v>0</v>
      </c>
      <c r="Q169" t="n">
        <v>1</v>
      </c>
      <c r="R169" s="2" t="inlineStr">
        <is>
          <t>Skarp dropptaggsvamp</t>
        </is>
      </c>
      <c r="S169">
        <f>HYPERLINK("https://klasma.github.io/Logging_0980/artfynd/A 30489-2025 artfynd.xlsx", "A 30489-2025")</f>
        <v/>
      </c>
      <c r="T169">
        <f>HYPERLINK("https://klasma.github.io/Logging_0980/kartor/A 30489-2025 karta.png", "A 30489-2025")</f>
        <v/>
      </c>
      <c r="V169">
        <f>HYPERLINK("https://klasma.github.io/Logging_0980/klagomål/A 30489-2025 FSC-klagomål.docx", "A 30489-2025")</f>
        <v/>
      </c>
      <c r="W169">
        <f>HYPERLINK("https://klasma.github.io/Logging_0980/klagomålsmail/A 30489-2025 FSC-klagomål mail.docx", "A 30489-2025")</f>
        <v/>
      </c>
      <c r="X169">
        <f>HYPERLINK("https://klasma.github.io/Logging_0980/tillsyn/A 30489-2025 tillsynsbegäran.docx", "A 30489-2025")</f>
        <v/>
      </c>
      <c r="Y169">
        <f>HYPERLINK("https://klasma.github.io/Logging_0980/tillsynsmail/A 30489-2025 tillsynsbegäran mail.docx", "A 30489-2025")</f>
        <v/>
      </c>
    </row>
    <row r="170" ht="15" customHeight="1">
      <c r="A170" t="inlineStr">
        <is>
          <t>A 11982-2026</t>
        </is>
      </c>
      <c r="B170" s="1" t="n">
        <v>46085</v>
      </c>
      <c r="C170" s="1" t="n">
        <v>46204</v>
      </c>
      <c r="D170" t="inlineStr">
        <is>
          <t>GOTLANDS LÄN</t>
        </is>
      </c>
      <c r="E170" t="inlineStr">
        <is>
          <t>GOTLAND</t>
        </is>
      </c>
      <c r="G170" t="n">
        <v>2.2</v>
      </c>
      <c r="H170" t="n">
        <v>0</v>
      </c>
      <c r="I170" t="n">
        <v>0</v>
      </c>
      <c r="J170" t="n">
        <v>1</v>
      </c>
      <c r="K170" t="n">
        <v>0</v>
      </c>
      <c r="L170" t="n">
        <v>0</v>
      </c>
      <c r="M170" t="n">
        <v>0</v>
      </c>
      <c r="N170" t="n">
        <v>0</v>
      </c>
      <c r="O170" t="n">
        <v>1</v>
      </c>
      <c r="P170" t="n">
        <v>0</v>
      </c>
      <c r="Q170" t="n">
        <v>1</v>
      </c>
      <c r="R170" s="2" t="inlineStr">
        <is>
          <t>Småtörel</t>
        </is>
      </c>
      <c r="S170">
        <f>HYPERLINK("https://klasma.github.io/Logging_0980/artfynd/A 11982-2026 artfynd.xlsx", "A 11982-2026")</f>
        <v/>
      </c>
      <c r="T170">
        <f>HYPERLINK("https://klasma.github.io/Logging_0980/kartor/A 11982-2026 karta.png", "A 11982-2026")</f>
        <v/>
      </c>
      <c r="V170">
        <f>HYPERLINK("https://klasma.github.io/Logging_0980/klagomål/A 11982-2026 FSC-klagomål.docx", "A 11982-2026")</f>
        <v/>
      </c>
      <c r="W170">
        <f>HYPERLINK("https://klasma.github.io/Logging_0980/klagomålsmail/A 11982-2026 FSC-klagomål mail.docx", "A 11982-2026")</f>
        <v/>
      </c>
      <c r="X170">
        <f>HYPERLINK("https://klasma.github.io/Logging_0980/tillsyn/A 11982-2026 tillsynsbegäran.docx", "A 11982-2026")</f>
        <v/>
      </c>
      <c r="Y170">
        <f>HYPERLINK("https://klasma.github.io/Logging_0980/tillsynsmail/A 11982-2026 tillsynsbegäran mail.docx", "A 11982-2026")</f>
        <v/>
      </c>
    </row>
    <row r="171" ht="15" customHeight="1">
      <c r="A171" t="inlineStr">
        <is>
          <t>A 46189-2022</t>
        </is>
      </c>
      <c r="B171" s="1" t="n">
        <v>44847</v>
      </c>
      <c r="C171" s="1" t="n">
        <v>46204</v>
      </c>
      <c r="D171" t="inlineStr">
        <is>
          <t>GOTLANDS LÄN</t>
        </is>
      </c>
      <c r="E171" t="inlineStr">
        <is>
          <t>GOTLAND</t>
        </is>
      </c>
      <c r="G171" t="n">
        <v>0.4</v>
      </c>
      <c r="H171" t="n">
        <v>0</v>
      </c>
      <c r="I171" t="n">
        <v>0</v>
      </c>
      <c r="J171" t="n">
        <v>1</v>
      </c>
      <c r="K171" t="n">
        <v>0</v>
      </c>
      <c r="L171" t="n">
        <v>0</v>
      </c>
      <c r="M171" t="n">
        <v>0</v>
      </c>
      <c r="N171" t="n">
        <v>0</v>
      </c>
      <c r="O171" t="n">
        <v>1</v>
      </c>
      <c r="P171" t="n">
        <v>0</v>
      </c>
      <c r="Q171" t="n">
        <v>1</v>
      </c>
      <c r="R171" s="2" t="inlineStr">
        <is>
          <t>Stjälkröksvamp</t>
        </is>
      </c>
      <c r="S171">
        <f>HYPERLINK("https://klasma.github.io/Logging_0980/artfynd/A 46189-2022 artfynd.xlsx", "A 46189-2022")</f>
        <v/>
      </c>
      <c r="T171">
        <f>HYPERLINK("https://klasma.github.io/Logging_0980/kartor/A 46189-2022 karta.png", "A 46189-2022")</f>
        <v/>
      </c>
      <c r="V171">
        <f>HYPERLINK("https://klasma.github.io/Logging_0980/klagomål/A 46189-2022 FSC-klagomål.docx", "A 46189-2022")</f>
        <v/>
      </c>
      <c r="W171">
        <f>HYPERLINK("https://klasma.github.io/Logging_0980/klagomålsmail/A 46189-2022 FSC-klagomål mail.docx", "A 46189-2022")</f>
        <v/>
      </c>
      <c r="X171">
        <f>HYPERLINK("https://klasma.github.io/Logging_0980/tillsyn/A 46189-2022 tillsynsbegäran.docx", "A 46189-2022")</f>
        <v/>
      </c>
      <c r="Y171">
        <f>HYPERLINK("https://klasma.github.io/Logging_0980/tillsynsmail/A 46189-2022 tillsynsbegäran mail.docx", "A 46189-2022")</f>
        <v/>
      </c>
    </row>
    <row r="172" ht="15" customHeight="1">
      <c r="A172" t="inlineStr">
        <is>
          <t>A 13482-2026</t>
        </is>
      </c>
      <c r="B172" s="1" t="n">
        <v>46094</v>
      </c>
      <c r="C172" s="1" t="n">
        <v>46204</v>
      </c>
      <c r="D172" t="inlineStr">
        <is>
          <t>GOTLANDS LÄN</t>
        </is>
      </c>
      <c r="E172" t="inlineStr">
        <is>
          <t>GOTLAND</t>
        </is>
      </c>
      <c r="G172" t="n">
        <v>1.7</v>
      </c>
      <c r="H172" t="n">
        <v>1</v>
      </c>
      <c r="I172" t="n">
        <v>0</v>
      </c>
      <c r="J172" t="n">
        <v>0</v>
      </c>
      <c r="K172" t="n">
        <v>0</v>
      </c>
      <c r="L172" t="n">
        <v>0</v>
      </c>
      <c r="M172" t="n">
        <v>0</v>
      </c>
      <c r="N172" t="n">
        <v>0</v>
      </c>
      <c r="O172" t="n">
        <v>0</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7042-2023</t>
        </is>
      </c>
      <c r="B173" s="1" t="n">
        <v>44968</v>
      </c>
      <c r="C173" s="1" t="n">
        <v>46204</v>
      </c>
      <c r="D173" t="inlineStr">
        <is>
          <t>GOTLANDS LÄN</t>
        </is>
      </c>
      <c r="E173" t="inlineStr">
        <is>
          <t>GOTLAND</t>
        </is>
      </c>
      <c r="G173" t="n">
        <v>0.7</v>
      </c>
      <c r="H173" t="n">
        <v>1</v>
      </c>
      <c r="I173" t="n">
        <v>1</v>
      </c>
      <c r="J173" t="n">
        <v>0</v>
      </c>
      <c r="K173" t="n">
        <v>0</v>
      </c>
      <c r="L173" t="n">
        <v>0</v>
      </c>
      <c r="M173" t="n">
        <v>0</v>
      </c>
      <c r="N173" t="n">
        <v>0</v>
      </c>
      <c r="O173" t="n">
        <v>0</v>
      </c>
      <c r="P173" t="n">
        <v>0</v>
      </c>
      <c r="Q173" t="n">
        <v>1</v>
      </c>
      <c r="R173" s="2" t="inlineStr">
        <is>
          <t>Purpurknipprot</t>
        </is>
      </c>
      <c r="S173">
        <f>HYPERLINK("https://klasma.github.io/Logging_0980/artfynd/A 7042-2023 artfynd.xlsx", "A 7042-2023")</f>
        <v/>
      </c>
      <c r="T173">
        <f>HYPERLINK("https://klasma.github.io/Logging_0980/kartor/A 7042-2023 karta.png", "A 7042-2023")</f>
        <v/>
      </c>
      <c r="V173">
        <f>HYPERLINK("https://klasma.github.io/Logging_0980/klagomål/A 7042-2023 FSC-klagomål.docx", "A 7042-2023")</f>
        <v/>
      </c>
      <c r="W173">
        <f>HYPERLINK("https://klasma.github.io/Logging_0980/klagomålsmail/A 7042-2023 FSC-klagomål mail.docx", "A 7042-2023")</f>
        <v/>
      </c>
      <c r="X173">
        <f>HYPERLINK("https://klasma.github.io/Logging_0980/tillsyn/A 7042-2023 tillsynsbegäran.docx", "A 7042-2023")</f>
        <v/>
      </c>
      <c r="Y173">
        <f>HYPERLINK("https://klasma.github.io/Logging_0980/tillsynsmail/A 7042-2023 tillsynsbegäran mail.docx", "A 7042-2023")</f>
        <v/>
      </c>
    </row>
    <row r="174" ht="15" customHeight="1">
      <c r="A174" t="inlineStr">
        <is>
          <t>A 46545-2024</t>
        </is>
      </c>
      <c r="B174" s="1" t="n">
        <v>45582</v>
      </c>
      <c r="C174" s="1" t="n">
        <v>46204</v>
      </c>
      <c r="D174" t="inlineStr">
        <is>
          <t>GOTLANDS LÄN</t>
        </is>
      </c>
      <c r="E174" t="inlineStr">
        <is>
          <t>GOTLAND</t>
        </is>
      </c>
      <c r="G174" t="n">
        <v>1.2</v>
      </c>
      <c r="H174" t="n">
        <v>0</v>
      </c>
      <c r="I174" t="n">
        <v>0</v>
      </c>
      <c r="J174" t="n">
        <v>0</v>
      </c>
      <c r="K174" t="n">
        <v>1</v>
      </c>
      <c r="L174" t="n">
        <v>0</v>
      </c>
      <c r="M174" t="n">
        <v>0</v>
      </c>
      <c r="N174" t="n">
        <v>0</v>
      </c>
      <c r="O174" t="n">
        <v>1</v>
      </c>
      <c r="P174" t="n">
        <v>1</v>
      </c>
      <c r="Q174" t="n">
        <v>1</v>
      </c>
      <c r="R174" s="2" t="inlineStr">
        <is>
          <t>Källnate</t>
        </is>
      </c>
      <c r="S174">
        <f>HYPERLINK("https://klasma.github.io/Logging_0980/artfynd/A 46545-2024 artfynd.xlsx", "A 46545-2024")</f>
        <v/>
      </c>
      <c r="T174">
        <f>HYPERLINK("https://klasma.github.io/Logging_0980/kartor/A 46545-2024 karta.png", "A 46545-2024")</f>
        <v/>
      </c>
      <c r="V174">
        <f>HYPERLINK("https://klasma.github.io/Logging_0980/klagomål/A 46545-2024 FSC-klagomål.docx", "A 46545-2024")</f>
        <v/>
      </c>
      <c r="W174">
        <f>HYPERLINK("https://klasma.github.io/Logging_0980/klagomålsmail/A 46545-2024 FSC-klagomål mail.docx", "A 46545-2024")</f>
        <v/>
      </c>
      <c r="X174">
        <f>HYPERLINK("https://klasma.github.io/Logging_0980/tillsyn/A 46545-2024 tillsynsbegäran.docx", "A 46545-2024")</f>
        <v/>
      </c>
      <c r="Y174">
        <f>HYPERLINK("https://klasma.github.io/Logging_0980/tillsynsmail/A 46545-2024 tillsynsbegäran mail.docx", "A 46545-2024")</f>
        <v/>
      </c>
    </row>
    <row r="175" ht="15" customHeight="1">
      <c r="A175" t="inlineStr">
        <is>
          <t>A 999-2023</t>
        </is>
      </c>
      <c r="B175" s="1" t="n">
        <v>44935</v>
      </c>
      <c r="C175" s="1" t="n">
        <v>46204</v>
      </c>
      <c r="D175" t="inlineStr">
        <is>
          <t>GOTLANDS LÄN</t>
        </is>
      </c>
      <c r="E175" t="inlineStr">
        <is>
          <t>GOTLAND</t>
        </is>
      </c>
      <c r="G175" t="n">
        <v>4.7</v>
      </c>
      <c r="H175" t="n">
        <v>1</v>
      </c>
      <c r="I175" t="n">
        <v>0</v>
      </c>
      <c r="J175" t="n">
        <v>0</v>
      </c>
      <c r="K175" t="n">
        <v>1</v>
      </c>
      <c r="L175" t="n">
        <v>0</v>
      </c>
      <c r="M175" t="n">
        <v>0</v>
      </c>
      <c r="N175" t="n">
        <v>0</v>
      </c>
      <c r="O175" t="n">
        <v>1</v>
      </c>
      <c r="P175" t="n">
        <v>1</v>
      </c>
      <c r="Q175" t="n">
        <v>1</v>
      </c>
      <c r="R175" s="2" t="inlineStr">
        <is>
          <t>Garderönn</t>
        </is>
      </c>
      <c r="S175">
        <f>HYPERLINK("https://klasma.github.io/Logging_0980/artfynd/A 999-2023 artfynd.xlsx", "A 999-2023")</f>
        <v/>
      </c>
      <c r="T175">
        <f>HYPERLINK("https://klasma.github.io/Logging_0980/kartor/A 999-2023 karta.png", "A 999-2023")</f>
        <v/>
      </c>
      <c r="V175">
        <f>HYPERLINK("https://klasma.github.io/Logging_0980/klagomål/A 999-2023 FSC-klagomål.docx", "A 999-2023")</f>
        <v/>
      </c>
      <c r="W175">
        <f>HYPERLINK("https://klasma.github.io/Logging_0980/klagomålsmail/A 999-2023 FSC-klagomål mail.docx", "A 999-2023")</f>
        <v/>
      </c>
      <c r="X175">
        <f>HYPERLINK("https://klasma.github.io/Logging_0980/tillsyn/A 999-2023 tillsynsbegäran.docx", "A 999-2023")</f>
        <v/>
      </c>
      <c r="Y175">
        <f>HYPERLINK("https://klasma.github.io/Logging_0980/tillsynsmail/A 999-2023 tillsynsbegäran mail.docx", "A 999-2023")</f>
        <v/>
      </c>
    </row>
    <row r="176" ht="15" customHeight="1">
      <c r="A176" t="inlineStr">
        <is>
          <t>A 4662-2026</t>
        </is>
      </c>
      <c r="B176" s="1" t="n">
        <v>46048</v>
      </c>
      <c r="C176" s="1" t="n">
        <v>46204</v>
      </c>
      <c r="D176" t="inlineStr">
        <is>
          <t>GOTLANDS LÄN</t>
        </is>
      </c>
      <c r="E176" t="inlineStr">
        <is>
          <t>GOTLAND</t>
        </is>
      </c>
      <c r="G176" t="n">
        <v>7.6</v>
      </c>
      <c r="H176" t="n">
        <v>0</v>
      </c>
      <c r="I176" t="n">
        <v>0</v>
      </c>
      <c r="J176" t="n">
        <v>0</v>
      </c>
      <c r="K176" t="n">
        <v>1</v>
      </c>
      <c r="L176" t="n">
        <v>0</v>
      </c>
      <c r="M176" t="n">
        <v>0</v>
      </c>
      <c r="N176" t="n">
        <v>0</v>
      </c>
      <c r="O176" t="n">
        <v>1</v>
      </c>
      <c r="P176" t="n">
        <v>1</v>
      </c>
      <c r="Q176" t="n">
        <v>1</v>
      </c>
      <c r="R176" s="2" t="inlineStr">
        <is>
          <t>Strandviol</t>
        </is>
      </c>
      <c r="S176">
        <f>HYPERLINK("https://klasma.github.io/Logging_0980/artfynd/A 4662-2026 artfynd.xlsx", "A 4662-2026")</f>
        <v/>
      </c>
      <c r="T176">
        <f>HYPERLINK("https://klasma.github.io/Logging_0980/kartor/A 4662-2026 karta.png", "A 4662-2026")</f>
        <v/>
      </c>
      <c r="V176">
        <f>HYPERLINK("https://klasma.github.io/Logging_0980/klagomål/A 4662-2026 FSC-klagomål.docx", "A 4662-2026")</f>
        <v/>
      </c>
      <c r="W176">
        <f>HYPERLINK("https://klasma.github.io/Logging_0980/klagomålsmail/A 4662-2026 FSC-klagomål mail.docx", "A 4662-2026")</f>
        <v/>
      </c>
      <c r="X176">
        <f>HYPERLINK("https://klasma.github.io/Logging_0980/tillsyn/A 4662-2026 tillsynsbegäran.docx", "A 4662-2026")</f>
        <v/>
      </c>
      <c r="Y176">
        <f>HYPERLINK("https://klasma.github.io/Logging_0980/tillsynsmail/A 4662-2026 tillsynsbegäran mail.docx", "A 4662-2026")</f>
        <v/>
      </c>
    </row>
    <row r="177" ht="15" customHeight="1">
      <c r="A177" t="inlineStr">
        <is>
          <t>A 17000-2026</t>
        </is>
      </c>
      <c r="B177" s="1" t="n">
        <v>46114</v>
      </c>
      <c r="C177" s="1" t="n">
        <v>46204</v>
      </c>
      <c r="D177" t="inlineStr">
        <is>
          <t>GOTLANDS LÄN</t>
        </is>
      </c>
      <c r="E177" t="inlineStr">
        <is>
          <t>GOTLAND</t>
        </is>
      </c>
      <c r="G177" t="n">
        <v>1.9</v>
      </c>
      <c r="H177" t="n">
        <v>1</v>
      </c>
      <c r="I177" t="n">
        <v>0</v>
      </c>
      <c r="J177" t="n">
        <v>0</v>
      </c>
      <c r="K177" t="n">
        <v>0</v>
      </c>
      <c r="L177" t="n">
        <v>0</v>
      </c>
      <c r="M177" t="n">
        <v>0</v>
      </c>
      <c r="N177" t="n">
        <v>0</v>
      </c>
      <c r="O177" t="n">
        <v>0</v>
      </c>
      <c r="P177" t="n">
        <v>0</v>
      </c>
      <c r="Q177" t="n">
        <v>1</v>
      </c>
      <c r="R177" s="2" t="inlineStr">
        <is>
          <t>Kalkkrassing</t>
        </is>
      </c>
      <c r="S177">
        <f>HYPERLINK("https://klasma.github.io/Logging_0980/artfynd/A 17000-2026 artfynd.xlsx", "A 17000-2026")</f>
        <v/>
      </c>
      <c r="T177">
        <f>HYPERLINK("https://klasma.github.io/Logging_0980/kartor/A 17000-2026 karta.png", "A 17000-2026")</f>
        <v/>
      </c>
      <c r="V177">
        <f>HYPERLINK("https://klasma.github.io/Logging_0980/klagomål/A 17000-2026 FSC-klagomål.docx", "A 17000-2026")</f>
        <v/>
      </c>
      <c r="W177">
        <f>HYPERLINK("https://klasma.github.io/Logging_0980/klagomålsmail/A 17000-2026 FSC-klagomål mail.docx", "A 17000-2026")</f>
        <v/>
      </c>
      <c r="X177">
        <f>HYPERLINK("https://klasma.github.io/Logging_0980/tillsyn/A 17000-2026 tillsynsbegäran.docx", "A 17000-2026")</f>
        <v/>
      </c>
      <c r="Y177">
        <f>HYPERLINK("https://klasma.github.io/Logging_0980/tillsynsmail/A 17000-2026 tillsynsbegäran mail.docx", "A 17000-2026")</f>
        <v/>
      </c>
    </row>
    <row r="178" ht="15" customHeight="1">
      <c r="A178" t="inlineStr">
        <is>
          <t>A 447-2023</t>
        </is>
      </c>
      <c r="B178" s="1" t="n">
        <v>44929</v>
      </c>
      <c r="C178" s="1" t="n">
        <v>46204</v>
      </c>
      <c r="D178" t="inlineStr">
        <is>
          <t>GOTLANDS LÄN</t>
        </is>
      </c>
      <c r="E178" t="inlineStr">
        <is>
          <t>GOTLAND</t>
        </is>
      </c>
      <c r="G178" t="n">
        <v>5.1</v>
      </c>
      <c r="H178" t="n">
        <v>0</v>
      </c>
      <c r="I178" t="n">
        <v>0</v>
      </c>
      <c r="J178" t="n">
        <v>1</v>
      </c>
      <c r="K178" t="n">
        <v>0</v>
      </c>
      <c r="L178" t="n">
        <v>0</v>
      </c>
      <c r="M178" t="n">
        <v>0</v>
      </c>
      <c r="N178" t="n">
        <v>0</v>
      </c>
      <c r="O178" t="n">
        <v>1</v>
      </c>
      <c r="P178" t="n">
        <v>0</v>
      </c>
      <c r="Q178" t="n">
        <v>1</v>
      </c>
      <c r="R178" s="2" t="inlineStr">
        <is>
          <t>Äggspindling</t>
        </is>
      </c>
      <c r="S178">
        <f>HYPERLINK("https://klasma.github.io/Logging_0980/artfynd/A 447-2023 artfynd.xlsx", "A 447-2023")</f>
        <v/>
      </c>
      <c r="T178">
        <f>HYPERLINK("https://klasma.github.io/Logging_0980/kartor/A 447-2023 karta.png", "A 447-2023")</f>
        <v/>
      </c>
      <c r="V178">
        <f>HYPERLINK("https://klasma.github.io/Logging_0980/klagomål/A 447-2023 FSC-klagomål.docx", "A 447-2023")</f>
        <v/>
      </c>
      <c r="W178">
        <f>HYPERLINK("https://klasma.github.io/Logging_0980/klagomålsmail/A 447-2023 FSC-klagomål mail.docx", "A 447-2023")</f>
        <v/>
      </c>
      <c r="X178">
        <f>HYPERLINK("https://klasma.github.io/Logging_0980/tillsyn/A 447-2023 tillsynsbegäran.docx", "A 447-2023")</f>
        <v/>
      </c>
      <c r="Y178">
        <f>HYPERLINK("https://klasma.github.io/Logging_0980/tillsynsmail/A 447-2023 tillsynsbegäran mail.docx", "A 447-2023")</f>
        <v/>
      </c>
    </row>
    <row r="179" ht="15" customHeight="1">
      <c r="A179" t="inlineStr">
        <is>
          <t>A 1066-2024</t>
        </is>
      </c>
      <c r="B179" s="1" t="n">
        <v>45302</v>
      </c>
      <c r="C179" s="1" t="n">
        <v>46204</v>
      </c>
      <c r="D179" t="inlineStr">
        <is>
          <t>GOTLANDS LÄN</t>
        </is>
      </c>
      <c r="E179" t="inlineStr">
        <is>
          <t>GOTLAND</t>
        </is>
      </c>
      <c r="G179" t="n">
        <v>1.4</v>
      </c>
      <c r="H179" t="n">
        <v>0</v>
      </c>
      <c r="I179" t="n">
        <v>0</v>
      </c>
      <c r="J179" t="n">
        <v>1</v>
      </c>
      <c r="K179" t="n">
        <v>0</v>
      </c>
      <c r="L179" t="n">
        <v>0</v>
      </c>
      <c r="M179" t="n">
        <v>0</v>
      </c>
      <c r="N179" t="n">
        <v>0</v>
      </c>
      <c r="O179" t="n">
        <v>1</v>
      </c>
      <c r="P179" t="n">
        <v>0</v>
      </c>
      <c r="Q179" t="n">
        <v>1</v>
      </c>
      <c r="R179" s="2" t="inlineStr">
        <is>
          <t>Svinrot</t>
        </is>
      </c>
      <c r="S179">
        <f>HYPERLINK("https://klasma.github.io/Logging_0980/artfynd/A 1066-2024 artfynd.xlsx", "A 1066-2024")</f>
        <v/>
      </c>
      <c r="T179">
        <f>HYPERLINK("https://klasma.github.io/Logging_0980/kartor/A 1066-2024 karta.png", "A 1066-2024")</f>
        <v/>
      </c>
      <c r="V179">
        <f>HYPERLINK("https://klasma.github.io/Logging_0980/klagomål/A 1066-2024 FSC-klagomål.docx", "A 1066-2024")</f>
        <v/>
      </c>
      <c r="W179">
        <f>HYPERLINK("https://klasma.github.io/Logging_0980/klagomålsmail/A 1066-2024 FSC-klagomål mail.docx", "A 1066-2024")</f>
        <v/>
      </c>
      <c r="X179">
        <f>HYPERLINK("https://klasma.github.io/Logging_0980/tillsyn/A 1066-2024 tillsynsbegäran.docx", "A 1066-2024")</f>
        <v/>
      </c>
      <c r="Y179">
        <f>HYPERLINK("https://klasma.github.io/Logging_0980/tillsynsmail/A 1066-2024 tillsynsbegäran mail.docx", "A 1066-2024")</f>
        <v/>
      </c>
    </row>
    <row r="180" ht="15" customHeight="1">
      <c r="A180" t="inlineStr">
        <is>
          <t>A 17854-2026</t>
        </is>
      </c>
      <c r="B180" s="1" t="n">
        <v>46121</v>
      </c>
      <c r="C180" s="1" t="n">
        <v>46204</v>
      </c>
      <c r="D180" t="inlineStr">
        <is>
          <t>GOTLANDS LÄN</t>
        </is>
      </c>
      <c r="E180" t="inlineStr">
        <is>
          <t>GOTLAND</t>
        </is>
      </c>
      <c r="G180" t="n">
        <v>6.6</v>
      </c>
      <c r="H180" t="n">
        <v>0</v>
      </c>
      <c r="I180" t="n">
        <v>0</v>
      </c>
      <c r="J180" t="n">
        <v>1</v>
      </c>
      <c r="K180" t="n">
        <v>0</v>
      </c>
      <c r="L180" t="n">
        <v>0</v>
      </c>
      <c r="M180" t="n">
        <v>0</v>
      </c>
      <c r="N180" t="n">
        <v>0</v>
      </c>
      <c r="O180" t="n">
        <v>1</v>
      </c>
      <c r="P180" t="n">
        <v>0</v>
      </c>
      <c r="Q180" t="n">
        <v>1</v>
      </c>
      <c r="R180" s="2" t="inlineStr">
        <is>
          <t>Blå slemspindling</t>
        </is>
      </c>
      <c r="S180">
        <f>HYPERLINK("https://klasma.github.io/Logging_0980/artfynd/A 17854-2026 artfynd.xlsx", "A 17854-2026")</f>
        <v/>
      </c>
      <c r="T180">
        <f>HYPERLINK("https://klasma.github.io/Logging_0980/kartor/A 17854-2026 karta.png", "A 17854-2026")</f>
        <v/>
      </c>
      <c r="V180">
        <f>HYPERLINK("https://klasma.github.io/Logging_0980/klagomål/A 17854-2026 FSC-klagomål.docx", "A 17854-2026")</f>
        <v/>
      </c>
      <c r="W180">
        <f>HYPERLINK("https://klasma.github.io/Logging_0980/klagomålsmail/A 17854-2026 FSC-klagomål mail.docx", "A 17854-2026")</f>
        <v/>
      </c>
      <c r="X180">
        <f>HYPERLINK("https://klasma.github.io/Logging_0980/tillsyn/A 17854-2026 tillsynsbegäran.docx", "A 17854-2026")</f>
        <v/>
      </c>
      <c r="Y180">
        <f>HYPERLINK("https://klasma.github.io/Logging_0980/tillsynsmail/A 17854-2026 tillsynsbegäran mail.docx", "A 17854-2026")</f>
        <v/>
      </c>
    </row>
    <row r="181" ht="15" customHeight="1">
      <c r="A181" t="inlineStr">
        <is>
          <t>A 34809-2024</t>
        </is>
      </c>
      <c r="B181" s="1" t="n">
        <v>45526</v>
      </c>
      <c r="C181" s="1" t="n">
        <v>46204</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49304-2024</t>
        </is>
      </c>
      <c r="B182" s="1" t="n">
        <v>45595</v>
      </c>
      <c r="C182" s="1" t="n">
        <v>46204</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29809-2022</t>
        </is>
      </c>
      <c r="B183" s="1" t="n">
        <v>44755</v>
      </c>
      <c r="C183" s="1" t="n">
        <v>46204</v>
      </c>
      <c r="D183" t="inlineStr">
        <is>
          <t>GOTLANDS LÄN</t>
        </is>
      </c>
      <c r="E183" t="inlineStr">
        <is>
          <t>GOTLAND</t>
        </is>
      </c>
      <c r="G183" t="n">
        <v>11.5</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29809-2022 artfynd.xlsx", "A 29809-2022")</f>
        <v/>
      </c>
      <c r="T183">
        <f>HYPERLINK("https://klasma.github.io/Logging_0980/kartor/A 29809-2022 karta.png", "A 29809-2022")</f>
        <v/>
      </c>
      <c r="V183">
        <f>HYPERLINK("https://klasma.github.io/Logging_0980/klagomål/A 29809-2022 FSC-klagomål.docx", "A 29809-2022")</f>
        <v/>
      </c>
      <c r="W183">
        <f>HYPERLINK("https://klasma.github.io/Logging_0980/klagomålsmail/A 29809-2022 FSC-klagomål mail.docx", "A 29809-2022")</f>
        <v/>
      </c>
      <c r="X183">
        <f>HYPERLINK("https://klasma.github.io/Logging_0980/tillsyn/A 29809-2022 tillsynsbegäran.docx", "A 29809-2022")</f>
        <v/>
      </c>
      <c r="Y183">
        <f>HYPERLINK("https://klasma.github.io/Logging_0980/tillsynsmail/A 29809-2022 tillsynsbegäran mail.docx", "A 29809-2022")</f>
        <v/>
      </c>
    </row>
    <row r="184" ht="15" customHeight="1">
      <c r="A184" t="inlineStr">
        <is>
          <t>A 18036-2026</t>
        </is>
      </c>
      <c r="B184" s="1" t="n">
        <v>46125</v>
      </c>
      <c r="C184" s="1" t="n">
        <v>46204</v>
      </c>
      <c r="D184" t="inlineStr">
        <is>
          <t>GOTLANDS LÄN</t>
        </is>
      </c>
      <c r="E184" t="inlineStr">
        <is>
          <t>GOTLAND</t>
        </is>
      </c>
      <c r="G184" t="n">
        <v>1.8</v>
      </c>
      <c r="H184" t="n">
        <v>0</v>
      </c>
      <c r="I184" t="n">
        <v>0</v>
      </c>
      <c r="J184" t="n">
        <v>1</v>
      </c>
      <c r="K184" t="n">
        <v>0</v>
      </c>
      <c r="L184" t="n">
        <v>0</v>
      </c>
      <c r="M184" t="n">
        <v>0</v>
      </c>
      <c r="N184" t="n">
        <v>0</v>
      </c>
      <c r="O184" t="n">
        <v>1</v>
      </c>
      <c r="P184" t="n">
        <v>0</v>
      </c>
      <c r="Q184" t="n">
        <v>1</v>
      </c>
      <c r="R184" s="2" t="inlineStr">
        <is>
          <t>Sommarfibbla</t>
        </is>
      </c>
      <c r="S184">
        <f>HYPERLINK("https://klasma.github.io/Logging_0980/artfynd/A 18036-2026 artfynd.xlsx", "A 18036-2026")</f>
        <v/>
      </c>
      <c r="T184">
        <f>HYPERLINK("https://klasma.github.io/Logging_0980/kartor/A 18036-2026 karta.png", "A 18036-2026")</f>
        <v/>
      </c>
      <c r="V184">
        <f>HYPERLINK("https://klasma.github.io/Logging_0980/klagomål/A 18036-2026 FSC-klagomål.docx", "A 18036-2026")</f>
        <v/>
      </c>
      <c r="W184">
        <f>HYPERLINK("https://klasma.github.io/Logging_0980/klagomålsmail/A 18036-2026 FSC-klagomål mail.docx", "A 18036-2026")</f>
        <v/>
      </c>
      <c r="X184">
        <f>HYPERLINK("https://klasma.github.io/Logging_0980/tillsyn/A 18036-2026 tillsynsbegäran.docx", "A 18036-2026")</f>
        <v/>
      </c>
      <c r="Y184">
        <f>HYPERLINK("https://klasma.github.io/Logging_0980/tillsynsmail/A 18036-2026 tillsynsbegäran mail.docx", "A 18036-2026")</f>
        <v/>
      </c>
    </row>
    <row r="185" ht="15" customHeight="1">
      <c r="A185" t="inlineStr">
        <is>
          <t>A 22782-2023</t>
        </is>
      </c>
      <c r="B185" s="1" t="n">
        <v>45072</v>
      </c>
      <c r="C185" s="1" t="n">
        <v>46204</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44088-2022</t>
        </is>
      </c>
      <c r="B186" s="1" t="n">
        <v>44839</v>
      </c>
      <c r="C186" s="1" t="n">
        <v>46204</v>
      </c>
      <c r="D186" t="inlineStr">
        <is>
          <t>GOTLANDS LÄN</t>
        </is>
      </c>
      <c r="E186" t="inlineStr">
        <is>
          <t>GOTLAND</t>
        </is>
      </c>
      <c r="G186" t="n">
        <v>1.5</v>
      </c>
      <c r="H186" t="n">
        <v>0</v>
      </c>
      <c r="I186" t="n">
        <v>1</v>
      </c>
      <c r="J186" t="n">
        <v>0</v>
      </c>
      <c r="K186" t="n">
        <v>0</v>
      </c>
      <c r="L186" t="n">
        <v>0</v>
      </c>
      <c r="M186" t="n">
        <v>0</v>
      </c>
      <c r="N186" t="n">
        <v>0</v>
      </c>
      <c r="O186" t="n">
        <v>0</v>
      </c>
      <c r="P186" t="n">
        <v>0</v>
      </c>
      <c r="Q186" t="n">
        <v>1</v>
      </c>
      <c r="R186" s="2" t="inlineStr">
        <is>
          <t>Strävlosta</t>
        </is>
      </c>
      <c r="S186">
        <f>HYPERLINK("https://klasma.github.io/Logging_0980/artfynd/A 44088-2022 artfynd.xlsx", "A 44088-2022")</f>
        <v/>
      </c>
      <c r="T186">
        <f>HYPERLINK("https://klasma.github.io/Logging_0980/kartor/A 44088-2022 karta.png", "A 44088-2022")</f>
        <v/>
      </c>
      <c r="V186">
        <f>HYPERLINK("https://klasma.github.io/Logging_0980/klagomål/A 44088-2022 FSC-klagomål.docx", "A 44088-2022")</f>
        <v/>
      </c>
      <c r="W186">
        <f>HYPERLINK("https://klasma.github.io/Logging_0980/klagomålsmail/A 44088-2022 FSC-klagomål mail.docx", "A 44088-2022")</f>
        <v/>
      </c>
      <c r="X186">
        <f>HYPERLINK("https://klasma.github.io/Logging_0980/tillsyn/A 44088-2022 tillsynsbegäran.docx", "A 44088-2022")</f>
        <v/>
      </c>
      <c r="Y186">
        <f>HYPERLINK("https://klasma.github.io/Logging_0980/tillsynsmail/A 44088-2022 tillsynsbegäran mail.docx", "A 44088-2022")</f>
        <v/>
      </c>
    </row>
    <row r="187" ht="15" customHeight="1">
      <c r="A187" t="inlineStr">
        <is>
          <t>A 5863-2026</t>
        </is>
      </c>
      <c r="B187" s="1" t="n">
        <v>46052</v>
      </c>
      <c r="C187" s="1" t="n">
        <v>46204</v>
      </c>
      <c r="D187" t="inlineStr">
        <is>
          <t>GOTLANDS LÄN</t>
        </is>
      </c>
      <c r="E187" t="inlineStr">
        <is>
          <t>GOTLAND</t>
        </is>
      </c>
      <c r="G187" t="n">
        <v>1.8</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5863-2026 artfynd.xlsx", "A 5863-2026")</f>
        <v/>
      </c>
      <c r="T187">
        <f>HYPERLINK("https://klasma.github.io/Logging_0980/kartor/A 5863-2026 karta.png", "A 5863-2026")</f>
        <v/>
      </c>
      <c r="V187">
        <f>HYPERLINK("https://klasma.github.io/Logging_0980/klagomål/A 5863-2026 FSC-klagomål.docx", "A 5863-2026")</f>
        <v/>
      </c>
      <c r="W187">
        <f>HYPERLINK("https://klasma.github.io/Logging_0980/klagomålsmail/A 5863-2026 FSC-klagomål mail.docx", "A 5863-2026")</f>
        <v/>
      </c>
      <c r="X187">
        <f>HYPERLINK("https://klasma.github.io/Logging_0980/tillsyn/A 5863-2026 tillsynsbegäran.docx", "A 5863-2026")</f>
        <v/>
      </c>
      <c r="Y187">
        <f>HYPERLINK("https://klasma.github.io/Logging_0980/tillsynsmail/A 5863-2026 tillsynsbegäran mail.docx", "A 5863-2026")</f>
        <v/>
      </c>
    </row>
    <row r="188" ht="15" customHeight="1">
      <c r="A188" t="inlineStr">
        <is>
          <t>A 69112-2021</t>
        </is>
      </c>
      <c r="B188" s="1" t="n">
        <v>44530</v>
      </c>
      <c r="C188" s="1" t="n">
        <v>46204</v>
      </c>
      <c r="D188" t="inlineStr">
        <is>
          <t>GOTLANDS LÄN</t>
        </is>
      </c>
      <c r="E188" t="inlineStr">
        <is>
          <t>GOTLAND</t>
        </is>
      </c>
      <c r="G188" t="n">
        <v>4.2</v>
      </c>
      <c r="H188" t="n">
        <v>0</v>
      </c>
      <c r="I188" t="n">
        <v>0</v>
      </c>
      <c r="J188" t="n">
        <v>1</v>
      </c>
      <c r="K188" t="n">
        <v>0</v>
      </c>
      <c r="L188" t="n">
        <v>0</v>
      </c>
      <c r="M188" t="n">
        <v>0</v>
      </c>
      <c r="N188" t="n">
        <v>0</v>
      </c>
      <c r="O188" t="n">
        <v>1</v>
      </c>
      <c r="P188" t="n">
        <v>0</v>
      </c>
      <c r="Q188" t="n">
        <v>1</v>
      </c>
      <c r="R188" s="2" t="inlineStr">
        <is>
          <t>Sårläka</t>
        </is>
      </c>
      <c r="S188">
        <f>HYPERLINK("https://klasma.github.io/Logging_0980/artfynd/A 69112-2021 artfynd.xlsx", "A 69112-2021")</f>
        <v/>
      </c>
      <c r="T188">
        <f>HYPERLINK("https://klasma.github.io/Logging_0980/kartor/A 69112-2021 karta.png", "A 69112-2021")</f>
        <v/>
      </c>
      <c r="V188">
        <f>HYPERLINK("https://klasma.github.io/Logging_0980/klagomål/A 69112-2021 FSC-klagomål.docx", "A 69112-2021")</f>
        <v/>
      </c>
      <c r="W188">
        <f>HYPERLINK("https://klasma.github.io/Logging_0980/klagomålsmail/A 69112-2021 FSC-klagomål mail.docx", "A 69112-2021")</f>
        <v/>
      </c>
      <c r="X188">
        <f>HYPERLINK("https://klasma.github.io/Logging_0980/tillsyn/A 69112-2021 tillsynsbegäran.docx", "A 69112-2021")</f>
        <v/>
      </c>
      <c r="Y188">
        <f>HYPERLINK("https://klasma.github.io/Logging_0980/tillsynsmail/A 69112-2021 tillsynsbegäran mail.docx", "A 69112-2021")</f>
        <v/>
      </c>
    </row>
    <row r="189" ht="15" customHeight="1">
      <c r="A189" t="inlineStr">
        <is>
          <t>A 1477-2024</t>
        </is>
      </c>
      <c r="B189" s="1" t="n">
        <v>45305</v>
      </c>
      <c r="C189" s="1" t="n">
        <v>46204</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46204</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62915-2021</t>
        </is>
      </c>
      <c r="B191" s="1" t="n">
        <v>44504</v>
      </c>
      <c r="C191" s="1" t="n">
        <v>46204</v>
      </c>
      <c r="D191" t="inlineStr">
        <is>
          <t>GOTLANDS LÄN</t>
        </is>
      </c>
      <c r="E191" t="inlineStr">
        <is>
          <t>GOTLAND</t>
        </is>
      </c>
      <c r="G191" t="n">
        <v>1.1</v>
      </c>
      <c r="H191" t="n">
        <v>1</v>
      </c>
      <c r="I191" t="n">
        <v>0</v>
      </c>
      <c r="J191" t="n">
        <v>0</v>
      </c>
      <c r="K191" t="n">
        <v>0</v>
      </c>
      <c r="L191" t="n">
        <v>0</v>
      </c>
      <c r="M191" t="n">
        <v>0</v>
      </c>
      <c r="N191" t="n">
        <v>0</v>
      </c>
      <c r="O191" t="n">
        <v>0</v>
      </c>
      <c r="P191" t="n">
        <v>0</v>
      </c>
      <c r="Q191" t="n">
        <v>1</v>
      </c>
      <c r="R191" s="2" t="inlineStr">
        <is>
          <t>Bredarun</t>
        </is>
      </c>
      <c r="S191">
        <f>HYPERLINK("https://klasma.github.io/Logging_0980/artfynd/A 62915-2021 artfynd.xlsx", "A 62915-2021")</f>
        <v/>
      </c>
      <c r="T191">
        <f>HYPERLINK("https://klasma.github.io/Logging_0980/kartor/A 62915-2021 karta.png", "A 62915-2021")</f>
        <v/>
      </c>
      <c r="V191">
        <f>HYPERLINK("https://klasma.github.io/Logging_0980/klagomål/A 62915-2021 FSC-klagomål.docx", "A 62915-2021")</f>
        <v/>
      </c>
      <c r="W191">
        <f>HYPERLINK("https://klasma.github.io/Logging_0980/klagomålsmail/A 62915-2021 FSC-klagomål mail.docx", "A 62915-2021")</f>
        <v/>
      </c>
      <c r="X191">
        <f>HYPERLINK("https://klasma.github.io/Logging_0980/tillsyn/A 62915-2021 tillsynsbegäran.docx", "A 62915-2021")</f>
        <v/>
      </c>
      <c r="Y191">
        <f>HYPERLINK("https://klasma.github.io/Logging_0980/tillsynsmail/A 62915-2021 tillsynsbegäran mail.docx", "A 62915-2021")</f>
        <v/>
      </c>
    </row>
    <row r="192" ht="15" customHeight="1">
      <c r="A192" t="inlineStr">
        <is>
          <t>A 7637-2025</t>
        </is>
      </c>
      <c r="B192" s="1" t="n">
        <v>45705</v>
      </c>
      <c r="C192" s="1" t="n">
        <v>46204</v>
      </c>
      <c r="D192" t="inlineStr">
        <is>
          <t>GOTLANDS LÄN</t>
        </is>
      </c>
      <c r="E192" t="inlineStr">
        <is>
          <t>GOTLAND</t>
        </is>
      </c>
      <c r="G192" t="n">
        <v>3.7</v>
      </c>
      <c r="H192" t="n">
        <v>0</v>
      </c>
      <c r="I192" t="n">
        <v>0</v>
      </c>
      <c r="J192" t="n">
        <v>0</v>
      </c>
      <c r="K192" t="n">
        <v>0</v>
      </c>
      <c r="L192" t="n">
        <v>1</v>
      </c>
      <c r="M192" t="n">
        <v>0</v>
      </c>
      <c r="N192" t="n">
        <v>0</v>
      </c>
      <c r="O192" t="n">
        <v>1</v>
      </c>
      <c r="P192" t="n">
        <v>1</v>
      </c>
      <c r="Q192" t="n">
        <v>1</v>
      </c>
      <c r="R192" s="2" t="inlineStr">
        <is>
          <t>Skogsalm</t>
        </is>
      </c>
      <c r="S192">
        <f>HYPERLINK("https://klasma.github.io/Logging_0980/artfynd/A 7637-2025 artfynd.xlsx", "A 7637-2025")</f>
        <v/>
      </c>
      <c r="T192">
        <f>HYPERLINK("https://klasma.github.io/Logging_0980/kartor/A 7637-2025 karta.png", "A 7637-2025")</f>
        <v/>
      </c>
      <c r="V192">
        <f>HYPERLINK("https://klasma.github.io/Logging_0980/klagomål/A 7637-2025 FSC-klagomål.docx", "A 7637-2025")</f>
        <v/>
      </c>
      <c r="W192">
        <f>HYPERLINK("https://klasma.github.io/Logging_0980/klagomålsmail/A 7637-2025 FSC-klagomål mail.docx", "A 7637-2025")</f>
        <v/>
      </c>
      <c r="X192">
        <f>HYPERLINK("https://klasma.github.io/Logging_0980/tillsyn/A 7637-2025 tillsynsbegäran.docx", "A 7637-2025")</f>
        <v/>
      </c>
      <c r="Y192">
        <f>HYPERLINK("https://klasma.github.io/Logging_0980/tillsynsmail/A 7637-2025 tillsynsbegäran mail.docx", "A 7637-2025")</f>
        <v/>
      </c>
    </row>
    <row r="193" ht="15" customHeight="1">
      <c r="A193" t="inlineStr">
        <is>
          <t>A 61796-2022</t>
        </is>
      </c>
      <c r="B193" s="1" t="n">
        <v>44917</v>
      </c>
      <c r="C193" s="1" t="n">
        <v>46204</v>
      </c>
      <c r="D193" t="inlineStr">
        <is>
          <t>GOTLANDS LÄN</t>
        </is>
      </c>
      <c r="E193" t="inlineStr">
        <is>
          <t>GOTLAND</t>
        </is>
      </c>
      <c r="G193" t="n">
        <v>1.5</v>
      </c>
      <c r="H193" t="n">
        <v>1</v>
      </c>
      <c r="I193" t="n">
        <v>0</v>
      </c>
      <c r="J193" t="n">
        <v>0</v>
      </c>
      <c r="K193" t="n">
        <v>0</v>
      </c>
      <c r="L193" t="n">
        <v>0</v>
      </c>
      <c r="M193" t="n">
        <v>0</v>
      </c>
      <c r="N193" t="n">
        <v>0</v>
      </c>
      <c r="O193" t="n">
        <v>0</v>
      </c>
      <c r="P193" t="n">
        <v>0</v>
      </c>
      <c r="Q193" t="n">
        <v>1</v>
      </c>
      <c r="R193" s="2" t="inlineStr">
        <is>
          <t>Skogsduva</t>
        </is>
      </c>
      <c r="S193">
        <f>HYPERLINK("https://klasma.github.io/Logging_0980/artfynd/A 61796-2022 artfynd.xlsx", "A 61796-2022")</f>
        <v/>
      </c>
      <c r="T193">
        <f>HYPERLINK("https://klasma.github.io/Logging_0980/kartor/A 61796-2022 karta.png", "A 61796-2022")</f>
        <v/>
      </c>
      <c r="V193">
        <f>HYPERLINK("https://klasma.github.io/Logging_0980/klagomål/A 61796-2022 FSC-klagomål.docx", "A 61796-2022")</f>
        <v/>
      </c>
      <c r="W193">
        <f>HYPERLINK("https://klasma.github.io/Logging_0980/klagomålsmail/A 61796-2022 FSC-klagomål mail.docx", "A 61796-2022")</f>
        <v/>
      </c>
      <c r="X193">
        <f>HYPERLINK("https://klasma.github.io/Logging_0980/tillsyn/A 61796-2022 tillsynsbegäran.docx", "A 61796-2022")</f>
        <v/>
      </c>
      <c r="Y193">
        <f>HYPERLINK("https://klasma.github.io/Logging_0980/tillsynsmail/A 61796-2022 tillsynsbegäran mail.docx", "A 61796-2022")</f>
        <v/>
      </c>
    </row>
    <row r="194" ht="15" customHeight="1">
      <c r="A194" t="inlineStr">
        <is>
          <t>A 10218-2025</t>
        </is>
      </c>
      <c r="B194" s="1" t="n">
        <v>45720</v>
      </c>
      <c r="C194" s="1" t="n">
        <v>46204</v>
      </c>
      <c r="D194" t="inlineStr">
        <is>
          <t>GOTLANDS LÄN</t>
        </is>
      </c>
      <c r="E194" t="inlineStr">
        <is>
          <t>GOTLAND</t>
        </is>
      </c>
      <c r="G194" t="n">
        <v>8.1</v>
      </c>
      <c r="H194" t="n">
        <v>0</v>
      </c>
      <c r="I194" t="n">
        <v>1</v>
      </c>
      <c r="J194" t="n">
        <v>0</v>
      </c>
      <c r="K194" t="n">
        <v>0</v>
      </c>
      <c r="L194" t="n">
        <v>0</v>
      </c>
      <c r="M194" t="n">
        <v>0</v>
      </c>
      <c r="N194" t="n">
        <v>0</v>
      </c>
      <c r="O194" t="n">
        <v>0</v>
      </c>
      <c r="P194" t="n">
        <v>0</v>
      </c>
      <c r="Q194" t="n">
        <v>1</v>
      </c>
      <c r="R194" s="2" t="inlineStr">
        <is>
          <t>Kalktallört</t>
        </is>
      </c>
      <c r="S194">
        <f>HYPERLINK("https://klasma.github.io/Logging_0980/artfynd/A 10218-2025 artfynd.xlsx", "A 10218-2025")</f>
        <v/>
      </c>
      <c r="T194">
        <f>HYPERLINK("https://klasma.github.io/Logging_0980/kartor/A 10218-2025 karta.png", "A 10218-2025")</f>
        <v/>
      </c>
      <c r="V194">
        <f>HYPERLINK("https://klasma.github.io/Logging_0980/klagomål/A 10218-2025 FSC-klagomål.docx", "A 10218-2025")</f>
        <v/>
      </c>
      <c r="W194">
        <f>HYPERLINK("https://klasma.github.io/Logging_0980/klagomålsmail/A 10218-2025 FSC-klagomål mail.docx", "A 10218-2025")</f>
        <v/>
      </c>
      <c r="X194">
        <f>HYPERLINK("https://klasma.github.io/Logging_0980/tillsyn/A 10218-2025 tillsynsbegäran.docx", "A 10218-2025")</f>
        <v/>
      </c>
      <c r="Y194">
        <f>HYPERLINK("https://klasma.github.io/Logging_0980/tillsynsmail/A 10218-2025 tillsynsbegäran mail.docx", "A 10218-2025")</f>
        <v/>
      </c>
    </row>
    <row r="195" ht="15" customHeight="1">
      <c r="A195" t="inlineStr">
        <is>
          <t>A 27343-2026</t>
        </is>
      </c>
      <c r="B195" s="1" t="n">
        <v>46188</v>
      </c>
      <c r="C195" s="1" t="n">
        <v>46204</v>
      </c>
      <c r="D195" t="inlineStr">
        <is>
          <t>GOTLANDS LÄN</t>
        </is>
      </c>
      <c r="E195" t="inlineStr">
        <is>
          <t>GOTLAND</t>
        </is>
      </c>
      <c r="G195" t="n">
        <v>1.1</v>
      </c>
      <c r="H195" t="n">
        <v>1</v>
      </c>
      <c r="I195" t="n">
        <v>1</v>
      </c>
      <c r="J195" t="n">
        <v>0</v>
      </c>
      <c r="K195" t="n">
        <v>0</v>
      </c>
      <c r="L195" t="n">
        <v>0</v>
      </c>
      <c r="M195" t="n">
        <v>0</v>
      </c>
      <c r="N195" t="n">
        <v>0</v>
      </c>
      <c r="O195" t="n">
        <v>0</v>
      </c>
      <c r="P195" t="n">
        <v>0</v>
      </c>
      <c r="Q195" t="n">
        <v>1</v>
      </c>
      <c r="R195" s="2" t="inlineStr">
        <is>
          <t>Skogsknipprot</t>
        </is>
      </c>
      <c r="S195">
        <f>HYPERLINK("https://klasma.github.io/Logging_0980/artfynd/A 27343-2026 artfynd.xlsx", "A 27343-2026")</f>
        <v/>
      </c>
      <c r="T195">
        <f>HYPERLINK("https://klasma.github.io/Logging_0980/kartor/A 27343-2026 karta.png", "A 27343-2026")</f>
        <v/>
      </c>
      <c r="V195">
        <f>HYPERLINK("https://klasma.github.io/Logging_0980/klagomål/A 27343-2026 FSC-klagomål.docx", "A 27343-2026")</f>
        <v/>
      </c>
      <c r="W195">
        <f>HYPERLINK("https://klasma.github.io/Logging_0980/klagomålsmail/A 27343-2026 FSC-klagomål mail.docx", "A 27343-2026")</f>
        <v/>
      </c>
      <c r="X195">
        <f>HYPERLINK("https://klasma.github.io/Logging_0980/tillsyn/A 27343-2026 tillsynsbegäran.docx", "A 27343-2026")</f>
        <v/>
      </c>
      <c r="Y195">
        <f>HYPERLINK("https://klasma.github.io/Logging_0980/tillsynsmail/A 27343-2026 tillsynsbegäran mail.docx", "A 27343-2026")</f>
        <v/>
      </c>
    </row>
    <row r="196" ht="15" customHeight="1">
      <c r="A196" t="inlineStr">
        <is>
          <t>A 12379-2024</t>
        </is>
      </c>
      <c r="B196" s="1" t="n">
        <v>45379</v>
      </c>
      <c r="C196" s="1" t="n">
        <v>46204</v>
      </c>
      <c r="D196" t="inlineStr">
        <is>
          <t>GOTLANDS LÄN</t>
        </is>
      </c>
      <c r="E196" t="inlineStr">
        <is>
          <t>GOTLAND</t>
        </is>
      </c>
      <c r="G196" t="n">
        <v>4.4</v>
      </c>
      <c r="H196" t="n">
        <v>0</v>
      </c>
      <c r="I196" t="n">
        <v>0</v>
      </c>
      <c r="J196" t="n">
        <v>1</v>
      </c>
      <c r="K196" t="n">
        <v>0</v>
      </c>
      <c r="L196" t="n">
        <v>0</v>
      </c>
      <c r="M196" t="n">
        <v>0</v>
      </c>
      <c r="N196" t="n">
        <v>0</v>
      </c>
      <c r="O196" t="n">
        <v>1</v>
      </c>
      <c r="P196" t="n">
        <v>0</v>
      </c>
      <c r="Q196" t="n">
        <v>1</v>
      </c>
      <c r="R196" s="2" t="inlineStr">
        <is>
          <t>Svinrot</t>
        </is>
      </c>
      <c r="S196">
        <f>HYPERLINK("https://klasma.github.io/Logging_0980/artfynd/A 12379-2024 artfynd.xlsx", "A 12379-2024")</f>
        <v/>
      </c>
      <c r="T196">
        <f>HYPERLINK("https://klasma.github.io/Logging_0980/kartor/A 12379-2024 karta.png", "A 12379-2024")</f>
        <v/>
      </c>
      <c r="V196">
        <f>HYPERLINK("https://klasma.github.io/Logging_0980/klagomål/A 12379-2024 FSC-klagomål.docx", "A 12379-2024")</f>
        <v/>
      </c>
      <c r="W196">
        <f>HYPERLINK("https://klasma.github.io/Logging_0980/klagomålsmail/A 12379-2024 FSC-klagomål mail.docx", "A 12379-2024")</f>
        <v/>
      </c>
      <c r="X196">
        <f>HYPERLINK("https://klasma.github.io/Logging_0980/tillsyn/A 12379-2024 tillsynsbegäran.docx", "A 12379-2024")</f>
        <v/>
      </c>
      <c r="Y196">
        <f>HYPERLINK("https://klasma.github.io/Logging_0980/tillsynsmail/A 12379-2024 tillsynsbegäran mail.docx", "A 12379-2024")</f>
        <v/>
      </c>
    </row>
    <row r="197" ht="15" customHeight="1">
      <c r="A197" t="inlineStr">
        <is>
          <t>A 64700-2021</t>
        </is>
      </c>
      <c r="B197" s="1" t="n">
        <v>44511</v>
      </c>
      <c r="C197" s="1" t="n">
        <v>46204</v>
      </c>
      <c r="D197" t="inlineStr">
        <is>
          <t>GOTLANDS LÄN</t>
        </is>
      </c>
      <c r="E197" t="inlineStr">
        <is>
          <t>GOTLAND</t>
        </is>
      </c>
      <c r="F197" t="inlineStr">
        <is>
          <t>Naturvårdsverket</t>
        </is>
      </c>
      <c r="G197" t="n">
        <v>2.4</v>
      </c>
      <c r="H197" t="n">
        <v>1</v>
      </c>
      <c r="I197" t="n">
        <v>0</v>
      </c>
      <c r="J197" t="n">
        <v>1</v>
      </c>
      <c r="K197" t="n">
        <v>0</v>
      </c>
      <c r="L197" t="n">
        <v>0</v>
      </c>
      <c r="M197" t="n">
        <v>0</v>
      </c>
      <c r="N197" t="n">
        <v>0</v>
      </c>
      <c r="O197" t="n">
        <v>1</v>
      </c>
      <c r="P197" t="n">
        <v>0</v>
      </c>
      <c r="Q197" t="n">
        <v>1</v>
      </c>
      <c r="R197" s="2" t="inlineStr">
        <is>
          <t>Kalkdån</t>
        </is>
      </c>
      <c r="S197">
        <f>HYPERLINK("https://klasma.github.io/Logging_0980/artfynd/A 64700-2021 artfynd.xlsx", "A 64700-2021")</f>
        <v/>
      </c>
      <c r="T197">
        <f>HYPERLINK("https://klasma.github.io/Logging_0980/kartor/A 64700-2021 karta.png", "A 64700-2021")</f>
        <v/>
      </c>
      <c r="V197">
        <f>HYPERLINK("https://klasma.github.io/Logging_0980/klagomål/A 64700-2021 FSC-klagomål.docx", "A 64700-2021")</f>
        <v/>
      </c>
      <c r="W197">
        <f>HYPERLINK("https://klasma.github.io/Logging_0980/klagomålsmail/A 64700-2021 FSC-klagomål mail.docx", "A 64700-2021")</f>
        <v/>
      </c>
      <c r="X197">
        <f>HYPERLINK("https://klasma.github.io/Logging_0980/tillsyn/A 64700-2021 tillsynsbegäran.docx", "A 64700-2021")</f>
        <v/>
      </c>
      <c r="Y197">
        <f>HYPERLINK("https://klasma.github.io/Logging_0980/tillsynsmail/A 64700-2021 tillsynsbegäran mail.docx", "A 64700-2021")</f>
        <v/>
      </c>
    </row>
    <row r="198" ht="15" customHeight="1">
      <c r="A198" t="inlineStr">
        <is>
          <t>A 21396-2026</t>
        </is>
      </c>
      <c r="B198" s="1" t="n">
        <v>46148</v>
      </c>
      <c r="C198" s="1" t="n">
        <v>46204</v>
      </c>
      <c r="D198" t="inlineStr">
        <is>
          <t>GOTLANDS LÄN</t>
        </is>
      </c>
      <c r="E198" t="inlineStr">
        <is>
          <t>GOTLAND</t>
        </is>
      </c>
      <c r="G198" t="n">
        <v>6.1</v>
      </c>
      <c r="H198" t="n">
        <v>0</v>
      </c>
      <c r="I198" t="n">
        <v>0</v>
      </c>
      <c r="J198" t="n">
        <v>0</v>
      </c>
      <c r="K198" t="n">
        <v>1</v>
      </c>
      <c r="L198" t="n">
        <v>0</v>
      </c>
      <c r="M198" t="n">
        <v>0</v>
      </c>
      <c r="N198" t="n">
        <v>0</v>
      </c>
      <c r="O198" t="n">
        <v>1</v>
      </c>
      <c r="P198" t="n">
        <v>1</v>
      </c>
      <c r="Q198" t="n">
        <v>1</v>
      </c>
      <c r="R198" s="2" t="inlineStr">
        <is>
          <t>Oxhorndyvel</t>
        </is>
      </c>
      <c r="S198">
        <f>HYPERLINK("https://klasma.github.io/Logging_0980/artfynd/A 21396-2026 artfynd.xlsx", "A 21396-2026")</f>
        <v/>
      </c>
      <c r="T198">
        <f>HYPERLINK("https://klasma.github.io/Logging_0980/kartor/A 21396-2026 karta.png", "A 21396-2026")</f>
        <v/>
      </c>
      <c r="V198">
        <f>HYPERLINK("https://klasma.github.io/Logging_0980/klagomål/A 21396-2026 FSC-klagomål.docx", "A 21396-2026")</f>
        <v/>
      </c>
      <c r="W198">
        <f>HYPERLINK("https://klasma.github.io/Logging_0980/klagomålsmail/A 21396-2026 FSC-klagomål mail.docx", "A 21396-2026")</f>
        <v/>
      </c>
      <c r="X198">
        <f>HYPERLINK("https://klasma.github.io/Logging_0980/tillsyn/A 21396-2026 tillsynsbegäran.docx", "A 21396-2026")</f>
        <v/>
      </c>
      <c r="Y198">
        <f>HYPERLINK("https://klasma.github.io/Logging_0980/tillsynsmail/A 21396-2026 tillsynsbegäran mail.docx", "A 21396-2026")</f>
        <v/>
      </c>
    </row>
    <row r="199" ht="15" customHeight="1">
      <c r="A199" t="inlineStr">
        <is>
          <t>A 15637-2024</t>
        </is>
      </c>
      <c r="B199" s="1" t="n">
        <v>45403</v>
      </c>
      <c r="C199" s="1" t="n">
        <v>46204</v>
      </c>
      <c r="D199" t="inlineStr">
        <is>
          <t>GOTLANDS LÄN</t>
        </is>
      </c>
      <c r="E199" t="inlineStr">
        <is>
          <t>GOTLAND</t>
        </is>
      </c>
      <c r="G199" t="n">
        <v>4.1</v>
      </c>
      <c r="H199" t="n">
        <v>1</v>
      </c>
      <c r="I199" t="n">
        <v>0</v>
      </c>
      <c r="J199" t="n">
        <v>0</v>
      </c>
      <c r="K199" t="n">
        <v>0</v>
      </c>
      <c r="L199" t="n">
        <v>0</v>
      </c>
      <c r="M199" t="n">
        <v>0</v>
      </c>
      <c r="N199" t="n">
        <v>0</v>
      </c>
      <c r="O199" t="n">
        <v>0</v>
      </c>
      <c r="P199" t="n">
        <v>0</v>
      </c>
      <c r="Q199" t="n">
        <v>1</v>
      </c>
      <c r="R199" s="2" t="inlineStr">
        <is>
          <t>Blåsippa</t>
        </is>
      </c>
      <c r="S199">
        <f>HYPERLINK("https://klasma.github.io/Logging_0980/artfynd/A 15637-2024 artfynd.xlsx", "A 15637-2024")</f>
        <v/>
      </c>
      <c r="T199">
        <f>HYPERLINK("https://klasma.github.io/Logging_0980/kartor/A 15637-2024 karta.png", "A 15637-2024")</f>
        <v/>
      </c>
      <c r="V199">
        <f>HYPERLINK("https://klasma.github.io/Logging_0980/klagomål/A 15637-2024 FSC-klagomål.docx", "A 15637-2024")</f>
        <v/>
      </c>
      <c r="W199">
        <f>HYPERLINK("https://klasma.github.io/Logging_0980/klagomålsmail/A 15637-2024 FSC-klagomål mail.docx", "A 15637-2024")</f>
        <v/>
      </c>
      <c r="X199">
        <f>HYPERLINK("https://klasma.github.io/Logging_0980/tillsyn/A 15637-2024 tillsynsbegäran.docx", "A 15637-2024")</f>
        <v/>
      </c>
      <c r="Y199">
        <f>HYPERLINK("https://klasma.github.io/Logging_0980/tillsynsmail/A 15637-2024 tillsynsbegäran mail.docx", "A 15637-2024")</f>
        <v/>
      </c>
    </row>
    <row r="200" ht="15" customHeight="1">
      <c r="A200" t="inlineStr">
        <is>
          <t>A 4568-2025</t>
        </is>
      </c>
      <c r="B200" s="1" t="n">
        <v>45687</v>
      </c>
      <c r="C200" s="1" t="n">
        <v>46204</v>
      </c>
      <c r="D200" t="inlineStr">
        <is>
          <t>GOTLANDS LÄN</t>
        </is>
      </c>
      <c r="E200" t="inlineStr">
        <is>
          <t>GOTLAND</t>
        </is>
      </c>
      <c r="G200" t="n">
        <v>1.9</v>
      </c>
      <c r="H200" t="n">
        <v>0</v>
      </c>
      <c r="I200" t="n">
        <v>0</v>
      </c>
      <c r="J200" t="n">
        <v>1</v>
      </c>
      <c r="K200" t="n">
        <v>0</v>
      </c>
      <c r="L200" t="n">
        <v>0</v>
      </c>
      <c r="M200" t="n">
        <v>0</v>
      </c>
      <c r="N200" t="n">
        <v>0</v>
      </c>
      <c r="O200" t="n">
        <v>1</v>
      </c>
      <c r="P200" t="n">
        <v>0</v>
      </c>
      <c r="Q200" t="n">
        <v>1</v>
      </c>
      <c r="R200" s="2" t="inlineStr">
        <is>
          <t>Backfryle</t>
        </is>
      </c>
      <c r="S200">
        <f>HYPERLINK("https://klasma.github.io/Logging_0980/artfynd/A 4568-2025 artfynd.xlsx", "A 4568-2025")</f>
        <v/>
      </c>
      <c r="T200">
        <f>HYPERLINK("https://klasma.github.io/Logging_0980/kartor/A 4568-2025 karta.png", "A 4568-2025")</f>
        <v/>
      </c>
      <c r="V200">
        <f>HYPERLINK("https://klasma.github.io/Logging_0980/klagomål/A 4568-2025 FSC-klagomål.docx", "A 4568-2025")</f>
        <v/>
      </c>
      <c r="W200">
        <f>HYPERLINK("https://klasma.github.io/Logging_0980/klagomålsmail/A 4568-2025 FSC-klagomål mail.docx", "A 4568-2025")</f>
        <v/>
      </c>
      <c r="X200">
        <f>HYPERLINK("https://klasma.github.io/Logging_0980/tillsyn/A 4568-2025 tillsynsbegäran.docx", "A 4568-2025")</f>
        <v/>
      </c>
      <c r="Y200">
        <f>HYPERLINK("https://klasma.github.io/Logging_0980/tillsynsmail/A 4568-2025 tillsynsbegäran mail.docx", "A 4568-2025")</f>
        <v/>
      </c>
    </row>
    <row r="201" ht="15" customHeight="1">
      <c r="A201" t="inlineStr">
        <is>
          <t>A 5909-2025</t>
        </is>
      </c>
      <c r="B201" s="1" t="n">
        <v>45695</v>
      </c>
      <c r="C201" s="1" t="n">
        <v>46204</v>
      </c>
      <c r="D201" t="inlineStr">
        <is>
          <t>GOTLANDS LÄN</t>
        </is>
      </c>
      <c r="E201" t="inlineStr">
        <is>
          <t>GOTLAND</t>
        </is>
      </c>
      <c r="G201" t="n">
        <v>2.9</v>
      </c>
      <c r="H201" t="n">
        <v>1</v>
      </c>
      <c r="I201" t="n">
        <v>1</v>
      </c>
      <c r="J201" t="n">
        <v>0</v>
      </c>
      <c r="K201" t="n">
        <v>0</v>
      </c>
      <c r="L201" t="n">
        <v>0</v>
      </c>
      <c r="M201" t="n">
        <v>0</v>
      </c>
      <c r="N201" t="n">
        <v>0</v>
      </c>
      <c r="O201" t="n">
        <v>0</v>
      </c>
      <c r="P201" t="n">
        <v>0</v>
      </c>
      <c r="Q201" t="n">
        <v>1</v>
      </c>
      <c r="R201" s="2" t="inlineStr">
        <is>
          <t>Skogsknipprot</t>
        </is>
      </c>
      <c r="S201">
        <f>HYPERLINK("https://klasma.github.io/Logging_0980/artfynd/A 5909-2025 artfynd.xlsx", "A 5909-2025")</f>
        <v/>
      </c>
      <c r="T201">
        <f>HYPERLINK("https://klasma.github.io/Logging_0980/kartor/A 5909-2025 karta.png", "A 5909-2025")</f>
        <v/>
      </c>
      <c r="V201">
        <f>HYPERLINK("https://klasma.github.io/Logging_0980/klagomål/A 5909-2025 FSC-klagomål.docx", "A 5909-2025")</f>
        <v/>
      </c>
      <c r="W201">
        <f>HYPERLINK("https://klasma.github.io/Logging_0980/klagomålsmail/A 5909-2025 FSC-klagomål mail.docx", "A 5909-2025")</f>
        <v/>
      </c>
      <c r="X201">
        <f>HYPERLINK("https://klasma.github.io/Logging_0980/tillsyn/A 5909-2025 tillsynsbegäran.docx", "A 5909-2025")</f>
        <v/>
      </c>
      <c r="Y201">
        <f>HYPERLINK("https://klasma.github.io/Logging_0980/tillsynsmail/A 5909-2025 tillsynsbegäran mail.docx", "A 5909-2025")</f>
        <v/>
      </c>
    </row>
    <row r="202" ht="15" customHeight="1">
      <c r="A202" t="inlineStr">
        <is>
          <t>A 49847-2023</t>
        </is>
      </c>
      <c r="B202" s="1" t="n">
        <v>45212</v>
      </c>
      <c r="C202" s="1" t="n">
        <v>46204</v>
      </c>
      <c r="D202" t="inlineStr">
        <is>
          <t>GOTLANDS LÄN</t>
        </is>
      </c>
      <c r="E202" t="inlineStr">
        <is>
          <t>GOTLAND</t>
        </is>
      </c>
      <c r="G202" t="n">
        <v>35.2</v>
      </c>
      <c r="H202" t="n">
        <v>0</v>
      </c>
      <c r="I202" t="n">
        <v>0</v>
      </c>
      <c r="J202" t="n">
        <v>0</v>
      </c>
      <c r="K202" t="n">
        <v>1</v>
      </c>
      <c r="L202" t="n">
        <v>0</v>
      </c>
      <c r="M202" t="n">
        <v>0</v>
      </c>
      <c r="N202" t="n">
        <v>0</v>
      </c>
      <c r="O202" t="n">
        <v>1</v>
      </c>
      <c r="P202" t="n">
        <v>1</v>
      </c>
      <c r="Q202" t="n">
        <v>1</v>
      </c>
      <c r="R202" s="2" t="inlineStr">
        <is>
          <t>Strandviol</t>
        </is>
      </c>
      <c r="S202">
        <f>HYPERLINK("https://klasma.github.io/Logging_0980/artfynd/A 49847-2023 artfynd.xlsx", "A 49847-2023")</f>
        <v/>
      </c>
      <c r="T202">
        <f>HYPERLINK("https://klasma.github.io/Logging_0980/kartor/A 49847-2023 karta.png", "A 49847-2023")</f>
        <v/>
      </c>
      <c r="V202">
        <f>HYPERLINK("https://klasma.github.io/Logging_0980/klagomål/A 49847-2023 FSC-klagomål.docx", "A 49847-2023")</f>
        <v/>
      </c>
      <c r="W202">
        <f>HYPERLINK("https://klasma.github.io/Logging_0980/klagomålsmail/A 49847-2023 FSC-klagomål mail.docx", "A 49847-2023")</f>
        <v/>
      </c>
      <c r="X202">
        <f>HYPERLINK("https://klasma.github.io/Logging_0980/tillsyn/A 49847-2023 tillsynsbegäran.docx", "A 49847-2023")</f>
        <v/>
      </c>
      <c r="Y202">
        <f>HYPERLINK("https://klasma.github.io/Logging_0980/tillsynsmail/A 49847-2023 tillsynsbegäran mail.docx", "A 49847-2023")</f>
        <v/>
      </c>
    </row>
    <row r="203" ht="15" customHeight="1">
      <c r="A203" t="inlineStr">
        <is>
          <t>A 56115-2023</t>
        </is>
      </c>
      <c r="B203" s="1" t="n">
        <v>45236</v>
      </c>
      <c r="C203" s="1" t="n">
        <v>46204</v>
      </c>
      <c r="D203" t="inlineStr">
        <is>
          <t>GOTLANDS LÄN</t>
        </is>
      </c>
      <c r="E203" t="inlineStr">
        <is>
          <t>GOTLAND</t>
        </is>
      </c>
      <c r="G203" t="n">
        <v>2</v>
      </c>
      <c r="H203" t="n">
        <v>1</v>
      </c>
      <c r="I203" t="n">
        <v>1</v>
      </c>
      <c r="J203" t="n">
        <v>0</v>
      </c>
      <c r="K203" t="n">
        <v>0</v>
      </c>
      <c r="L203" t="n">
        <v>0</v>
      </c>
      <c r="M203" t="n">
        <v>0</v>
      </c>
      <c r="N203" t="n">
        <v>0</v>
      </c>
      <c r="O203" t="n">
        <v>0</v>
      </c>
      <c r="P203" t="n">
        <v>0</v>
      </c>
      <c r="Q203" t="n">
        <v>1</v>
      </c>
      <c r="R203" s="2" t="inlineStr">
        <is>
          <t>Skogsknipprot</t>
        </is>
      </c>
      <c r="S203">
        <f>HYPERLINK("https://klasma.github.io/Logging_0980/artfynd/A 56115-2023 artfynd.xlsx", "A 56115-2023")</f>
        <v/>
      </c>
      <c r="T203">
        <f>HYPERLINK("https://klasma.github.io/Logging_0980/kartor/A 56115-2023 karta.png", "A 56115-2023")</f>
        <v/>
      </c>
      <c r="V203">
        <f>HYPERLINK("https://klasma.github.io/Logging_0980/klagomål/A 56115-2023 FSC-klagomål.docx", "A 56115-2023")</f>
        <v/>
      </c>
      <c r="W203">
        <f>HYPERLINK("https://klasma.github.io/Logging_0980/klagomålsmail/A 56115-2023 FSC-klagomål mail.docx", "A 56115-2023")</f>
        <v/>
      </c>
      <c r="X203">
        <f>HYPERLINK("https://klasma.github.io/Logging_0980/tillsyn/A 56115-2023 tillsynsbegäran.docx", "A 56115-2023")</f>
        <v/>
      </c>
      <c r="Y203">
        <f>HYPERLINK("https://klasma.github.io/Logging_0980/tillsynsmail/A 56115-2023 tillsynsbegäran mail.docx", "A 56115-2023")</f>
        <v/>
      </c>
    </row>
    <row r="204" ht="15" customHeight="1">
      <c r="A204" t="inlineStr">
        <is>
          <t>A 10995-2023</t>
        </is>
      </c>
      <c r="B204" s="1" t="n">
        <v>44986</v>
      </c>
      <c r="C204" s="1" t="n">
        <v>46204</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23856-2025</t>
        </is>
      </c>
      <c r="B205" s="1" t="n">
        <v>45793</v>
      </c>
      <c r="C205" s="1" t="n">
        <v>46204</v>
      </c>
      <c r="D205" t="inlineStr">
        <is>
          <t>GOTLANDS LÄN</t>
        </is>
      </c>
      <c r="E205" t="inlineStr">
        <is>
          <t>GOTLAND</t>
        </is>
      </c>
      <c r="G205" t="n">
        <v>4.4</v>
      </c>
      <c r="H205" t="n">
        <v>0</v>
      </c>
      <c r="I205" t="n">
        <v>0</v>
      </c>
      <c r="J205" t="n">
        <v>1</v>
      </c>
      <c r="K205" t="n">
        <v>0</v>
      </c>
      <c r="L205" t="n">
        <v>0</v>
      </c>
      <c r="M205" t="n">
        <v>0</v>
      </c>
      <c r="N205" t="n">
        <v>0</v>
      </c>
      <c r="O205" t="n">
        <v>1</v>
      </c>
      <c r="P205" t="n">
        <v>0</v>
      </c>
      <c r="Q205" t="n">
        <v>1</v>
      </c>
      <c r="R205" s="2" t="inlineStr">
        <is>
          <t>Vittåtel</t>
        </is>
      </c>
      <c r="S205">
        <f>HYPERLINK("https://klasma.github.io/Logging_0980/artfynd/A 23856-2025 artfynd.xlsx", "A 23856-2025")</f>
        <v/>
      </c>
      <c r="T205">
        <f>HYPERLINK("https://klasma.github.io/Logging_0980/kartor/A 23856-2025 karta.png", "A 23856-2025")</f>
        <v/>
      </c>
      <c r="V205">
        <f>HYPERLINK("https://klasma.github.io/Logging_0980/klagomål/A 23856-2025 FSC-klagomål.docx", "A 23856-2025")</f>
        <v/>
      </c>
      <c r="W205">
        <f>HYPERLINK("https://klasma.github.io/Logging_0980/klagomålsmail/A 23856-2025 FSC-klagomål mail.docx", "A 23856-2025")</f>
        <v/>
      </c>
      <c r="X205">
        <f>HYPERLINK("https://klasma.github.io/Logging_0980/tillsyn/A 23856-2025 tillsynsbegäran.docx", "A 23856-2025")</f>
        <v/>
      </c>
      <c r="Y205">
        <f>HYPERLINK("https://klasma.github.io/Logging_0980/tillsynsmail/A 23856-2025 tillsynsbegäran mail.docx", "A 23856-2025")</f>
        <v/>
      </c>
    </row>
    <row r="206" ht="15" customHeight="1">
      <c r="A206" t="inlineStr">
        <is>
          <t>A 6739-2025</t>
        </is>
      </c>
      <c r="B206" s="1" t="n">
        <v>45700</v>
      </c>
      <c r="C206" s="1" t="n">
        <v>46204</v>
      </c>
      <c r="D206" t="inlineStr">
        <is>
          <t>GOTLANDS LÄN</t>
        </is>
      </c>
      <c r="E206" t="inlineStr">
        <is>
          <t>GOTLAND</t>
        </is>
      </c>
      <c r="G206" t="n">
        <v>4.5</v>
      </c>
      <c r="H206" t="n">
        <v>1</v>
      </c>
      <c r="I206" t="n">
        <v>0</v>
      </c>
      <c r="J206" t="n">
        <v>0</v>
      </c>
      <c r="K206" t="n">
        <v>0</v>
      </c>
      <c r="L206" t="n">
        <v>0</v>
      </c>
      <c r="M206" t="n">
        <v>0</v>
      </c>
      <c r="N206" t="n">
        <v>0</v>
      </c>
      <c r="O206" t="n">
        <v>0</v>
      </c>
      <c r="P206" t="n">
        <v>0</v>
      </c>
      <c r="Q206" t="n">
        <v>1</v>
      </c>
      <c r="R206" s="2" t="inlineStr">
        <is>
          <t>Röd glada</t>
        </is>
      </c>
      <c r="S206">
        <f>HYPERLINK("https://klasma.github.io/Logging_0980/artfynd/A 6739-2025 artfynd.xlsx", "A 6739-2025")</f>
        <v/>
      </c>
      <c r="T206">
        <f>HYPERLINK("https://klasma.github.io/Logging_0980/kartor/A 6739-2025 karta.png", "A 6739-2025")</f>
        <v/>
      </c>
      <c r="V206">
        <f>HYPERLINK("https://klasma.github.io/Logging_0980/klagomål/A 6739-2025 FSC-klagomål.docx", "A 6739-2025")</f>
        <v/>
      </c>
      <c r="W206">
        <f>HYPERLINK("https://klasma.github.io/Logging_0980/klagomålsmail/A 6739-2025 FSC-klagomål mail.docx", "A 6739-2025")</f>
        <v/>
      </c>
      <c r="X206">
        <f>HYPERLINK("https://klasma.github.io/Logging_0980/tillsyn/A 6739-2025 tillsynsbegäran.docx", "A 6739-2025")</f>
        <v/>
      </c>
      <c r="Y206">
        <f>HYPERLINK("https://klasma.github.io/Logging_0980/tillsynsmail/A 6739-2025 tillsynsbegäran mail.docx", "A 6739-2025")</f>
        <v/>
      </c>
      <c r="Z206">
        <f>HYPERLINK("https://klasma.github.io/Logging_0980/fåglar/A 6739-2025 prioriterade fågelarter.docx", "A 6739-2025")</f>
        <v/>
      </c>
    </row>
    <row r="207" ht="15" customHeight="1">
      <c r="A207" t="inlineStr">
        <is>
          <t>A 36313-2021</t>
        </is>
      </c>
      <c r="B207" s="1" t="n">
        <v>44390</v>
      </c>
      <c r="C207" s="1" t="n">
        <v>46204</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46204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46204</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46204</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46204</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39909-2021</t>
        </is>
      </c>
      <c r="B212" s="1" t="n">
        <v>44417</v>
      </c>
      <c r="C212" s="1" t="n">
        <v>46204</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22498-2022</t>
        </is>
      </c>
      <c r="B213" s="1" t="n">
        <v>44713</v>
      </c>
      <c r="C213" s="1" t="n">
        <v>46204</v>
      </c>
      <c r="D213" t="inlineStr">
        <is>
          <t>GOTLANDS LÄN</t>
        </is>
      </c>
      <c r="E213" t="inlineStr">
        <is>
          <t>GOTLAND</t>
        </is>
      </c>
      <c r="G213" t="n">
        <v>0.7</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46204</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v>
      </c>
      <c r="C215" s="1" t="n">
        <v>46204</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v>
      </c>
      <c r="C216" s="1" t="n">
        <v>46204</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46204</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46204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46204</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v>
      </c>
      <c r="C220" s="1" t="n">
        <v>46204</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v>
      </c>
      <c r="C221" s="1" t="n">
        <v>46204</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46204</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46204</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46204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46204</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v>
      </c>
      <c r="C226" s="1" t="n">
        <v>46204</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v>
      </c>
      <c r="C227" s="1" t="n">
        <v>46204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v>
      </c>
      <c r="C228" s="1" t="n">
        <v>46204</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46204</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46204</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46204</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46204</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44228-2022</t>
        </is>
      </c>
      <c r="B233" s="1" t="n">
        <v>44839</v>
      </c>
      <c r="C233" s="1" t="n">
        <v>46204</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46204</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25129-2023</t>
        </is>
      </c>
      <c r="B235" s="1" t="n">
        <v>45086</v>
      </c>
      <c r="C235" s="1" t="n">
        <v>46204</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3964-2024</t>
        </is>
      </c>
      <c r="B236" s="1" t="n">
        <v>45322</v>
      </c>
      <c r="C236" s="1" t="n">
        <v>46204</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54073-2022</t>
        </is>
      </c>
      <c r="B237" s="1" t="n">
        <v>44881</v>
      </c>
      <c r="C237" s="1" t="n">
        <v>46204</v>
      </c>
      <c r="D237" t="inlineStr">
        <is>
          <t>GOTLANDS LÄN</t>
        </is>
      </c>
      <c r="E237" t="inlineStr">
        <is>
          <t>GOTLAND</t>
        </is>
      </c>
      <c r="G237" t="n">
        <v>3.8</v>
      </c>
      <c r="H237" t="n">
        <v>0</v>
      </c>
      <c r="I237" t="n">
        <v>0</v>
      </c>
      <c r="J237" t="n">
        <v>0</v>
      </c>
      <c r="K237" t="n">
        <v>0</v>
      </c>
      <c r="L237" t="n">
        <v>0</v>
      </c>
      <c r="M237" t="n">
        <v>0</v>
      </c>
      <c r="N237" t="n">
        <v>0</v>
      </c>
      <c r="O237" t="n">
        <v>0</v>
      </c>
      <c r="P237" t="n">
        <v>0</v>
      </c>
      <c r="Q237" t="n">
        <v>0</v>
      </c>
      <c r="R237" s="2" t="inlineStr"/>
    </row>
    <row r="238" ht="15" customHeight="1">
      <c r="A238" t="inlineStr">
        <is>
          <t>A 49874-2024</t>
        </is>
      </c>
      <c r="B238" s="1" t="n">
        <v>45597</v>
      </c>
      <c r="C238" s="1" t="n">
        <v>46204</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v>
      </c>
      <c r="C239" s="1" t="n">
        <v>46204</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1351-2025</t>
        </is>
      </c>
      <c r="B240" s="1" t="n">
        <v>45667</v>
      </c>
      <c r="C240" s="1" t="n">
        <v>46204</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v>
      </c>
      <c r="C241" s="1" t="n">
        <v>46204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v>
      </c>
      <c r="C242" s="1" t="n">
        <v>46204</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v>
      </c>
      <c r="C243" s="1" t="n">
        <v>46204</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51782-2023</t>
        </is>
      </c>
      <c r="B244" s="1" t="n">
        <v>45222</v>
      </c>
      <c r="C244" s="1" t="n">
        <v>46204</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14638-2025</t>
        </is>
      </c>
      <c r="B245" s="1" t="n">
        <v>45742</v>
      </c>
      <c r="C245" s="1" t="n">
        <v>46204</v>
      </c>
      <c r="D245" t="inlineStr">
        <is>
          <t>GOTLANDS LÄN</t>
        </is>
      </c>
      <c r="E245" t="inlineStr">
        <is>
          <t>GOTLAND</t>
        </is>
      </c>
      <c r="G245" t="n">
        <v>13.4</v>
      </c>
      <c r="H245" t="n">
        <v>0</v>
      </c>
      <c r="I245" t="n">
        <v>0</v>
      </c>
      <c r="J245" t="n">
        <v>0</v>
      </c>
      <c r="K245" t="n">
        <v>0</v>
      </c>
      <c r="L245" t="n">
        <v>0</v>
      </c>
      <c r="M245" t="n">
        <v>0</v>
      </c>
      <c r="N245" t="n">
        <v>0</v>
      </c>
      <c r="O245" t="n">
        <v>0</v>
      </c>
      <c r="P245" t="n">
        <v>0</v>
      </c>
      <c r="Q245" t="n">
        <v>0</v>
      </c>
      <c r="R245" s="2" t="inlineStr"/>
    </row>
    <row r="246" ht="15" customHeight="1">
      <c r="A246" t="inlineStr">
        <is>
          <t>A 4421-2024</t>
        </is>
      </c>
      <c r="B246" s="1" t="n">
        <v>45327</v>
      </c>
      <c r="C246" s="1" t="n">
        <v>46204</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v>
      </c>
      <c r="C247" s="1" t="n">
        <v>46204</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v>
      </c>
      <c r="C248" s="1" t="n">
        <v>46204</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20165-2022</t>
        </is>
      </c>
      <c r="B249" s="1" t="n">
        <v>44698</v>
      </c>
      <c r="C249" s="1" t="n">
        <v>46204</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59469-2024</t>
        </is>
      </c>
      <c r="B250" s="1" t="n">
        <v>45638</v>
      </c>
      <c r="C250" s="1" t="n">
        <v>46204</v>
      </c>
      <c r="D250" t="inlineStr">
        <is>
          <t>GOTLANDS LÄN</t>
        </is>
      </c>
      <c r="E250" t="inlineStr">
        <is>
          <t>GOTLAND</t>
        </is>
      </c>
      <c r="G250" t="n">
        <v>0.4</v>
      </c>
      <c r="H250" t="n">
        <v>0</v>
      </c>
      <c r="I250" t="n">
        <v>0</v>
      </c>
      <c r="J250" t="n">
        <v>0</v>
      </c>
      <c r="K250" t="n">
        <v>0</v>
      </c>
      <c r="L250" t="n">
        <v>0</v>
      </c>
      <c r="M250" t="n">
        <v>0</v>
      </c>
      <c r="N250" t="n">
        <v>0</v>
      </c>
      <c r="O250" t="n">
        <v>0</v>
      </c>
      <c r="P250" t="n">
        <v>0</v>
      </c>
      <c r="Q250" t="n">
        <v>0</v>
      </c>
      <c r="R250" s="2" t="inlineStr"/>
    </row>
    <row r="251" ht="15" customHeight="1">
      <c r="A251" t="inlineStr">
        <is>
          <t>A 4990-2025</t>
        </is>
      </c>
      <c r="B251" s="1" t="n">
        <v>45691</v>
      </c>
      <c r="C251" s="1" t="n">
        <v>46204</v>
      </c>
      <c r="D251" t="inlineStr">
        <is>
          <t>GOTLANDS LÄN</t>
        </is>
      </c>
      <c r="E251" t="inlineStr">
        <is>
          <t>GOTLAND</t>
        </is>
      </c>
      <c r="G251" t="n">
        <v>7.7</v>
      </c>
      <c r="H251" t="n">
        <v>0</v>
      </c>
      <c r="I251" t="n">
        <v>0</v>
      </c>
      <c r="J251" t="n">
        <v>0</v>
      </c>
      <c r="K251" t="n">
        <v>0</v>
      </c>
      <c r="L251" t="n">
        <v>0</v>
      </c>
      <c r="M251" t="n">
        <v>0</v>
      </c>
      <c r="N251" t="n">
        <v>0</v>
      </c>
      <c r="O251" t="n">
        <v>0</v>
      </c>
      <c r="P251" t="n">
        <v>0</v>
      </c>
      <c r="Q251" t="n">
        <v>0</v>
      </c>
      <c r="R251" s="2" t="inlineStr"/>
    </row>
    <row r="252" ht="15" customHeight="1">
      <c r="A252" t="inlineStr">
        <is>
          <t>A 6696-2023</t>
        </is>
      </c>
      <c r="B252" s="1" t="n">
        <v>44966</v>
      </c>
      <c r="C252" s="1" t="n">
        <v>46204</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28485-2023</t>
        </is>
      </c>
      <c r="B253" s="1" t="n">
        <v>45103</v>
      </c>
      <c r="C253" s="1" t="n">
        <v>46204</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46527-2023</t>
        </is>
      </c>
      <c r="B254" s="1" t="n">
        <v>45197</v>
      </c>
      <c r="C254" s="1" t="n">
        <v>46204</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43223-2023</t>
        </is>
      </c>
      <c r="B255" s="1" t="n">
        <v>45183</v>
      </c>
      <c r="C255" s="1" t="n">
        <v>46204</v>
      </c>
      <c r="D255" t="inlineStr">
        <is>
          <t>GOTLANDS LÄN</t>
        </is>
      </c>
      <c r="E255" t="inlineStr">
        <is>
          <t>GOTLAND</t>
        </is>
      </c>
      <c r="G255" t="n">
        <v>1.8</v>
      </c>
      <c r="H255" t="n">
        <v>0</v>
      </c>
      <c r="I255" t="n">
        <v>0</v>
      </c>
      <c r="J255" t="n">
        <v>0</v>
      </c>
      <c r="K255" t="n">
        <v>0</v>
      </c>
      <c r="L255" t="n">
        <v>0</v>
      </c>
      <c r="M255" t="n">
        <v>0</v>
      </c>
      <c r="N255" t="n">
        <v>0</v>
      </c>
      <c r="O255" t="n">
        <v>0</v>
      </c>
      <c r="P255" t="n">
        <v>0</v>
      </c>
      <c r="Q255" t="n">
        <v>0</v>
      </c>
      <c r="R255" s="2" t="inlineStr"/>
    </row>
    <row r="256" ht="15" customHeight="1">
      <c r="A256" t="inlineStr">
        <is>
          <t>A 48503-2023</t>
        </is>
      </c>
      <c r="B256" s="1" t="n">
        <v>45207</v>
      </c>
      <c r="C256" s="1" t="n">
        <v>46204</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49697-2023</t>
        </is>
      </c>
      <c r="B257" s="1" t="n">
        <v>45212</v>
      </c>
      <c r="C257" s="1" t="n">
        <v>46204</v>
      </c>
      <c r="D257" t="inlineStr">
        <is>
          <t>GOTLANDS LÄN</t>
        </is>
      </c>
      <c r="E257" t="inlineStr">
        <is>
          <t>GOTLAND</t>
        </is>
      </c>
      <c r="G257" t="n">
        <v>4.4</v>
      </c>
      <c r="H257" t="n">
        <v>0</v>
      </c>
      <c r="I257" t="n">
        <v>0</v>
      </c>
      <c r="J257" t="n">
        <v>0</v>
      </c>
      <c r="K257" t="n">
        <v>0</v>
      </c>
      <c r="L257" t="n">
        <v>0</v>
      </c>
      <c r="M257" t="n">
        <v>0</v>
      </c>
      <c r="N257" t="n">
        <v>0</v>
      </c>
      <c r="O257" t="n">
        <v>0</v>
      </c>
      <c r="P257" t="n">
        <v>0</v>
      </c>
      <c r="Q257" t="n">
        <v>0</v>
      </c>
      <c r="R257" s="2" t="inlineStr"/>
    </row>
    <row r="258" ht="15" customHeight="1">
      <c r="A258" t="inlineStr">
        <is>
          <t>A 24825-2024</t>
        </is>
      </c>
      <c r="B258" s="1" t="n">
        <v>45461</v>
      </c>
      <c r="C258" s="1" t="n">
        <v>46204</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22031-2024</t>
        </is>
      </c>
      <c r="B259" s="1" t="n">
        <v>45443</v>
      </c>
      <c r="C259" s="1" t="n">
        <v>46204</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17688-2024</t>
        </is>
      </c>
      <c r="B260" s="1" t="n">
        <v>45418</v>
      </c>
      <c r="C260" s="1" t="n">
        <v>46204</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27694-2024</t>
        </is>
      </c>
      <c r="B261" s="1" t="n">
        <v>45475</v>
      </c>
      <c r="C261" s="1" t="n">
        <v>46204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8260-2023</t>
        </is>
      </c>
      <c r="B262" s="1" t="n">
        <v>44974</v>
      </c>
      <c r="C262" s="1" t="n">
        <v>46204</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39764-2022</t>
        </is>
      </c>
      <c r="B263" s="1" t="n">
        <v>44819</v>
      </c>
      <c r="C263" s="1" t="n">
        <v>46204</v>
      </c>
      <c r="D263" t="inlineStr">
        <is>
          <t>GOTLANDS LÄN</t>
        </is>
      </c>
      <c r="E263" t="inlineStr">
        <is>
          <t>GOTLAND</t>
        </is>
      </c>
      <c r="F263" t="inlineStr">
        <is>
          <t>Kyrkan</t>
        </is>
      </c>
      <c r="G263" t="n">
        <v>3.7</v>
      </c>
      <c r="H263" t="n">
        <v>0</v>
      </c>
      <c r="I263" t="n">
        <v>0</v>
      </c>
      <c r="J263" t="n">
        <v>0</v>
      </c>
      <c r="K263" t="n">
        <v>0</v>
      </c>
      <c r="L263" t="n">
        <v>0</v>
      </c>
      <c r="M263" t="n">
        <v>0</v>
      </c>
      <c r="N263" t="n">
        <v>0</v>
      </c>
      <c r="O263" t="n">
        <v>0</v>
      </c>
      <c r="P263" t="n">
        <v>0</v>
      </c>
      <c r="Q263" t="n">
        <v>0</v>
      </c>
      <c r="R263" s="2" t="inlineStr"/>
    </row>
    <row r="264" ht="15" customHeight="1">
      <c r="A264" t="inlineStr">
        <is>
          <t>A 22287-2022</t>
        </is>
      </c>
      <c r="B264" s="1" t="n">
        <v>44712</v>
      </c>
      <c r="C264" s="1" t="n">
        <v>46204</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6099-2024</t>
        </is>
      </c>
      <c r="B265" s="1" t="n">
        <v>45337</v>
      </c>
      <c r="C265" s="1" t="n">
        <v>46204</v>
      </c>
      <c r="D265" t="inlineStr">
        <is>
          <t>GOTLANDS LÄN</t>
        </is>
      </c>
      <c r="E265" t="inlineStr">
        <is>
          <t>GOTLAND</t>
        </is>
      </c>
      <c r="G265" t="n">
        <v>12.6</v>
      </c>
      <c r="H265" t="n">
        <v>0</v>
      </c>
      <c r="I265" t="n">
        <v>0</v>
      </c>
      <c r="J265" t="n">
        <v>0</v>
      </c>
      <c r="K265" t="n">
        <v>0</v>
      </c>
      <c r="L265" t="n">
        <v>0</v>
      </c>
      <c r="M265" t="n">
        <v>0</v>
      </c>
      <c r="N265" t="n">
        <v>0</v>
      </c>
      <c r="O265" t="n">
        <v>0</v>
      </c>
      <c r="P265" t="n">
        <v>0</v>
      </c>
      <c r="Q265" t="n">
        <v>0</v>
      </c>
      <c r="R265" s="2" t="inlineStr"/>
    </row>
    <row r="266" ht="15" customHeight="1">
      <c r="A266" t="inlineStr">
        <is>
          <t>A 30061-2025</t>
        </is>
      </c>
      <c r="B266" s="1" t="n">
        <v>45826</v>
      </c>
      <c r="C266" s="1" t="n">
        <v>46204</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20356-2022</t>
        </is>
      </c>
      <c r="B267" s="1" t="n">
        <v>44699</v>
      </c>
      <c r="C267" s="1" t="n">
        <v>46204</v>
      </c>
      <c r="D267" t="inlineStr">
        <is>
          <t>GOTLANDS LÄN</t>
        </is>
      </c>
      <c r="E267" t="inlineStr">
        <is>
          <t>GOTLAND</t>
        </is>
      </c>
      <c r="F267" t="inlineStr">
        <is>
          <t>Övriga Aktiebolag</t>
        </is>
      </c>
      <c r="G267" t="n">
        <v>4.4</v>
      </c>
      <c r="H267" t="n">
        <v>0</v>
      </c>
      <c r="I267" t="n">
        <v>0</v>
      </c>
      <c r="J267" t="n">
        <v>0</v>
      </c>
      <c r="K267" t="n">
        <v>0</v>
      </c>
      <c r="L267" t="n">
        <v>0</v>
      </c>
      <c r="M267" t="n">
        <v>0</v>
      </c>
      <c r="N267" t="n">
        <v>0</v>
      </c>
      <c r="O267" t="n">
        <v>0</v>
      </c>
      <c r="P267" t="n">
        <v>0</v>
      </c>
      <c r="Q267" t="n">
        <v>0</v>
      </c>
      <c r="R267" s="2" t="inlineStr"/>
    </row>
    <row r="268" ht="15" customHeight="1">
      <c r="A268" t="inlineStr">
        <is>
          <t>A 58160-2024</t>
        </is>
      </c>
      <c r="B268" s="1" t="n">
        <v>45632</v>
      </c>
      <c r="C268" s="1" t="n">
        <v>46204</v>
      </c>
      <c r="D268" t="inlineStr">
        <is>
          <t>GOTLANDS LÄN</t>
        </is>
      </c>
      <c r="E268" t="inlineStr">
        <is>
          <t>GOTLAND</t>
        </is>
      </c>
      <c r="G268" t="n">
        <v>5.6</v>
      </c>
      <c r="H268" t="n">
        <v>0</v>
      </c>
      <c r="I268" t="n">
        <v>0</v>
      </c>
      <c r="J268" t="n">
        <v>0</v>
      </c>
      <c r="K268" t="n">
        <v>0</v>
      </c>
      <c r="L268" t="n">
        <v>0</v>
      </c>
      <c r="M268" t="n">
        <v>0</v>
      </c>
      <c r="N268" t="n">
        <v>0</v>
      </c>
      <c r="O268" t="n">
        <v>0</v>
      </c>
      <c r="P268" t="n">
        <v>0</v>
      </c>
      <c r="Q268" t="n">
        <v>0</v>
      </c>
      <c r="R268" s="2" t="inlineStr"/>
    </row>
    <row r="269" ht="15" customHeight="1">
      <c r="A269" t="inlineStr">
        <is>
          <t>A 64660-2023</t>
        </is>
      </c>
      <c r="B269" s="1" t="n">
        <v>45281</v>
      </c>
      <c r="C269" s="1" t="n">
        <v>46204</v>
      </c>
      <c r="D269" t="inlineStr">
        <is>
          <t>GOTLANDS LÄN</t>
        </is>
      </c>
      <c r="E269" t="inlineStr">
        <is>
          <t>GOTLAND</t>
        </is>
      </c>
      <c r="G269" t="n">
        <v>6.3</v>
      </c>
      <c r="H269" t="n">
        <v>0</v>
      </c>
      <c r="I269" t="n">
        <v>0</v>
      </c>
      <c r="J269" t="n">
        <v>0</v>
      </c>
      <c r="K269" t="n">
        <v>0</v>
      </c>
      <c r="L269" t="n">
        <v>0</v>
      </c>
      <c r="M269" t="n">
        <v>0</v>
      </c>
      <c r="N269" t="n">
        <v>0</v>
      </c>
      <c r="O269" t="n">
        <v>0</v>
      </c>
      <c r="P269" t="n">
        <v>0</v>
      </c>
      <c r="Q269" t="n">
        <v>0</v>
      </c>
      <c r="R269" s="2" t="inlineStr"/>
    </row>
    <row r="270" ht="15" customHeight="1">
      <c r="A270" t="inlineStr">
        <is>
          <t>A 7627-2026</t>
        </is>
      </c>
      <c r="B270" s="1" t="n">
        <v>46062</v>
      </c>
      <c r="C270" s="1" t="n">
        <v>46204</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v>
      </c>
      <c r="C271" s="1" t="n">
        <v>46204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2135-2026</t>
        </is>
      </c>
      <c r="B272" s="1" t="n">
        <v>46036</v>
      </c>
      <c r="C272" s="1" t="n">
        <v>46204</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16109-2025</t>
        </is>
      </c>
      <c r="B273" s="1" t="n">
        <v>45750</v>
      </c>
      <c r="C273" s="1" t="n">
        <v>46204</v>
      </c>
      <c r="D273" t="inlineStr">
        <is>
          <t>GOTLANDS LÄN</t>
        </is>
      </c>
      <c r="E273" t="inlineStr">
        <is>
          <t>GOTLAND</t>
        </is>
      </c>
      <c r="G273" t="n">
        <v>4.9</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v>
      </c>
      <c r="C274" s="1" t="n">
        <v>46204</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v>
      </c>
      <c r="C275" s="1" t="n">
        <v>46204</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60709-2023</t>
        </is>
      </c>
      <c r="B276" s="1" t="n">
        <v>45260</v>
      </c>
      <c r="C276" s="1" t="n">
        <v>46204</v>
      </c>
      <c r="D276" t="inlineStr">
        <is>
          <t>GOTLANDS LÄN</t>
        </is>
      </c>
      <c r="E276" t="inlineStr">
        <is>
          <t>GOTLAND</t>
        </is>
      </c>
      <c r="G276" t="n">
        <v>1.7</v>
      </c>
      <c r="H276" t="n">
        <v>0</v>
      </c>
      <c r="I276" t="n">
        <v>0</v>
      </c>
      <c r="J276" t="n">
        <v>0</v>
      </c>
      <c r="K276" t="n">
        <v>0</v>
      </c>
      <c r="L276" t="n">
        <v>0</v>
      </c>
      <c r="M276" t="n">
        <v>0</v>
      </c>
      <c r="N276" t="n">
        <v>0</v>
      </c>
      <c r="O276" t="n">
        <v>0</v>
      </c>
      <c r="P276" t="n">
        <v>0</v>
      </c>
      <c r="Q276" t="n">
        <v>0</v>
      </c>
      <c r="R276" s="2" t="inlineStr"/>
    </row>
    <row r="277" ht="15" customHeight="1">
      <c r="A277" t="inlineStr">
        <is>
          <t>A 1000-2024</t>
        </is>
      </c>
      <c r="B277" s="1" t="n">
        <v>45301</v>
      </c>
      <c r="C277" s="1" t="n">
        <v>46204</v>
      </c>
      <c r="D277" t="inlineStr">
        <is>
          <t>GOTLANDS LÄN</t>
        </is>
      </c>
      <c r="E277" t="inlineStr">
        <is>
          <t>GOTLAND</t>
        </is>
      </c>
      <c r="G277" t="n">
        <v>1</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46204</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30956-2024</t>
        </is>
      </c>
      <c r="B279" s="1" t="n">
        <v>45499</v>
      </c>
      <c r="C279" s="1" t="n">
        <v>46204</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12596-2023</t>
        </is>
      </c>
      <c r="B280" s="1" t="n">
        <v>45000</v>
      </c>
      <c r="C280" s="1" t="n">
        <v>46204</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8045-2022</t>
        </is>
      </c>
      <c r="B281" s="1" t="n">
        <v>44609</v>
      </c>
      <c r="C281" s="1" t="n">
        <v>46204</v>
      </c>
      <c r="D281" t="inlineStr">
        <is>
          <t>GOTLANDS LÄN</t>
        </is>
      </c>
      <c r="E281" t="inlineStr">
        <is>
          <t>GOTLAND</t>
        </is>
      </c>
      <c r="G281" t="n">
        <v>7</v>
      </c>
      <c r="H281" t="n">
        <v>0</v>
      </c>
      <c r="I281" t="n">
        <v>0</v>
      </c>
      <c r="J281" t="n">
        <v>0</v>
      </c>
      <c r="K281" t="n">
        <v>0</v>
      </c>
      <c r="L281" t="n">
        <v>0</v>
      </c>
      <c r="M281" t="n">
        <v>0</v>
      </c>
      <c r="N281" t="n">
        <v>0</v>
      </c>
      <c r="O281" t="n">
        <v>0</v>
      </c>
      <c r="P281" t="n">
        <v>0</v>
      </c>
      <c r="Q281" t="n">
        <v>0</v>
      </c>
      <c r="R281" s="2" t="inlineStr"/>
    </row>
    <row r="282" ht="15" customHeight="1">
      <c r="A282" t="inlineStr">
        <is>
          <t>A 39816-2025</t>
        </is>
      </c>
      <c r="B282" s="1" t="n">
        <v>45891</v>
      </c>
      <c r="C282" s="1" t="n">
        <v>46204</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40372-2025</t>
        </is>
      </c>
      <c r="B283" s="1" t="n">
        <v>45895</v>
      </c>
      <c r="C283" s="1" t="n">
        <v>46204</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40373-2025</t>
        </is>
      </c>
      <c r="B284" s="1" t="n">
        <v>45895</v>
      </c>
      <c r="C284" s="1" t="n">
        <v>46204</v>
      </c>
      <c r="D284" t="inlineStr">
        <is>
          <t>GOTLANDS LÄN</t>
        </is>
      </c>
      <c r="E284" t="inlineStr">
        <is>
          <t>GOTLAND</t>
        </is>
      </c>
      <c r="G284" t="n">
        <v>0.6</v>
      </c>
      <c r="H284" t="n">
        <v>0</v>
      </c>
      <c r="I284" t="n">
        <v>0</v>
      </c>
      <c r="J284" t="n">
        <v>0</v>
      </c>
      <c r="K284" t="n">
        <v>0</v>
      </c>
      <c r="L284" t="n">
        <v>0</v>
      </c>
      <c r="M284" t="n">
        <v>0</v>
      </c>
      <c r="N284" t="n">
        <v>0</v>
      </c>
      <c r="O284" t="n">
        <v>0</v>
      </c>
      <c r="P284" t="n">
        <v>0</v>
      </c>
      <c r="Q284" t="n">
        <v>0</v>
      </c>
      <c r="R284" s="2" t="inlineStr"/>
    </row>
    <row r="285" ht="15" customHeight="1">
      <c r="A285" t="inlineStr">
        <is>
          <t>A 999-2024</t>
        </is>
      </c>
      <c r="B285" s="1" t="n">
        <v>45301</v>
      </c>
      <c r="C285" s="1" t="n">
        <v>46204</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65901-2021</t>
        </is>
      </c>
      <c r="B286" s="1" t="n">
        <v>44516</v>
      </c>
      <c r="C286" s="1" t="n">
        <v>46204</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47762-2023</t>
        </is>
      </c>
      <c r="B287" s="1" t="n">
        <v>45203</v>
      </c>
      <c r="C287" s="1" t="n">
        <v>46204</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35123-2025</t>
        </is>
      </c>
      <c r="B288" s="1" t="n">
        <v>45852</v>
      </c>
      <c r="C288" s="1" t="n">
        <v>46204</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58780-2024</t>
        </is>
      </c>
      <c r="B289" s="1" t="n">
        <v>45635</v>
      </c>
      <c r="C289" s="1" t="n">
        <v>46204</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12322-2025</t>
        </is>
      </c>
      <c r="B290" s="1" t="n">
        <v>45730</v>
      </c>
      <c r="C290" s="1" t="n">
        <v>46204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32669-2024</t>
        </is>
      </c>
      <c r="B291" s="1" t="n">
        <v>45514</v>
      </c>
      <c r="C291" s="1" t="n">
        <v>46204</v>
      </c>
      <c r="D291" t="inlineStr">
        <is>
          <t>GOTLANDS LÄN</t>
        </is>
      </c>
      <c r="E291" t="inlineStr">
        <is>
          <t>GOTLAND</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9540-2026</t>
        </is>
      </c>
      <c r="B292" s="1" t="n">
        <v>46071</v>
      </c>
      <c r="C292" s="1" t="n">
        <v>46204</v>
      </c>
      <c r="D292" t="inlineStr">
        <is>
          <t>GOTLANDS LÄN</t>
        </is>
      </c>
      <c r="E292" t="inlineStr">
        <is>
          <t>GOTLAND</t>
        </is>
      </c>
      <c r="G292" t="n">
        <v>2.8</v>
      </c>
      <c r="H292" t="n">
        <v>0</v>
      </c>
      <c r="I292" t="n">
        <v>0</v>
      </c>
      <c r="J292" t="n">
        <v>0</v>
      </c>
      <c r="K292" t="n">
        <v>0</v>
      </c>
      <c r="L292" t="n">
        <v>0</v>
      </c>
      <c r="M292" t="n">
        <v>0</v>
      </c>
      <c r="N292" t="n">
        <v>0</v>
      </c>
      <c r="O292" t="n">
        <v>0</v>
      </c>
      <c r="P292" t="n">
        <v>0</v>
      </c>
      <c r="Q292" t="n">
        <v>0</v>
      </c>
      <c r="R292" s="2" t="inlineStr"/>
    </row>
    <row r="293" ht="15" customHeight="1">
      <c r="A293" t="inlineStr">
        <is>
          <t>A 24192-2023</t>
        </is>
      </c>
      <c r="B293" s="1" t="n">
        <v>45079</v>
      </c>
      <c r="C293" s="1" t="n">
        <v>46204</v>
      </c>
      <c r="D293" t="inlineStr">
        <is>
          <t>GOTLANDS LÄN</t>
        </is>
      </c>
      <c r="E293" t="inlineStr">
        <is>
          <t>GOTLAND</t>
        </is>
      </c>
      <c r="G293" t="n">
        <v>2.1</v>
      </c>
      <c r="H293" t="n">
        <v>0</v>
      </c>
      <c r="I293" t="n">
        <v>0</v>
      </c>
      <c r="J293" t="n">
        <v>0</v>
      </c>
      <c r="K293" t="n">
        <v>0</v>
      </c>
      <c r="L293" t="n">
        <v>0</v>
      </c>
      <c r="M293" t="n">
        <v>0</v>
      </c>
      <c r="N293" t="n">
        <v>0</v>
      </c>
      <c r="O293" t="n">
        <v>0</v>
      </c>
      <c r="P293" t="n">
        <v>0</v>
      </c>
      <c r="Q293" t="n">
        <v>0</v>
      </c>
      <c r="R293" s="2" t="inlineStr"/>
    </row>
    <row r="294" ht="15" customHeight="1">
      <c r="A294" t="inlineStr">
        <is>
          <t>A 30282-2022</t>
        </is>
      </c>
      <c r="B294" s="1" t="n">
        <v>44760</v>
      </c>
      <c r="C294" s="1" t="n">
        <v>46204</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7835-2024</t>
        </is>
      </c>
      <c r="B295" s="1" t="n">
        <v>45349</v>
      </c>
      <c r="C295" s="1" t="n">
        <v>46204</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9521-2026</t>
        </is>
      </c>
      <c r="B296" s="1" t="n">
        <v>46071</v>
      </c>
      <c r="C296" s="1" t="n">
        <v>46204</v>
      </c>
      <c r="D296" t="inlineStr">
        <is>
          <t>GOTLANDS LÄN</t>
        </is>
      </c>
      <c r="E296" t="inlineStr">
        <is>
          <t>GOTLAND</t>
        </is>
      </c>
      <c r="G296" t="n">
        <v>3.9</v>
      </c>
      <c r="H296" t="n">
        <v>0</v>
      </c>
      <c r="I296" t="n">
        <v>0</v>
      </c>
      <c r="J296" t="n">
        <v>0</v>
      </c>
      <c r="K296" t="n">
        <v>0</v>
      </c>
      <c r="L296" t="n">
        <v>0</v>
      </c>
      <c r="M296" t="n">
        <v>0</v>
      </c>
      <c r="N296" t="n">
        <v>0</v>
      </c>
      <c r="O296" t="n">
        <v>0</v>
      </c>
      <c r="P296" t="n">
        <v>0</v>
      </c>
      <c r="Q296" t="n">
        <v>0</v>
      </c>
      <c r="R296" s="2" t="inlineStr"/>
    </row>
    <row r="297" ht="15" customHeight="1">
      <c r="A297" t="inlineStr">
        <is>
          <t>A 9524-2026</t>
        </is>
      </c>
      <c r="B297" s="1" t="n">
        <v>46071</v>
      </c>
      <c r="C297" s="1" t="n">
        <v>46204</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9543-2026</t>
        </is>
      </c>
      <c r="B298" s="1" t="n">
        <v>46071</v>
      </c>
      <c r="C298" s="1" t="n">
        <v>46204</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10650-2022</t>
        </is>
      </c>
      <c r="B299" s="1" t="n">
        <v>44624</v>
      </c>
      <c r="C299" s="1" t="n">
        <v>46204</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9518-2026</t>
        </is>
      </c>
      <c r="B300" s="1" t="n">
        <v>46071</v>
      </c>
      <c r="C300" s="1" t="n">
        <v>46204</v>
      </c>
      <c r="D300" t="inlineStr">
        <is>
          <t>GOTLANDS LÄN</t>
        </is>
      </c>
      <c r="E300" t="inlineStr">
        <is>
          <t>GOTLAND</t>
        </is>
      </c>
      <c r="G300" t="n">
        <v>6.2</v>
      </c>
      <c r="H300" t="n">
        <v>0</v>
      </c>
      <c r="I300" t="n">
        <v>0</v>
      </c>
      <c r="J300" t="n">
        <v>0</v>
      </c>
      <c r="K300" t="n">
        <v>0</v>
      </c>
      <c r="L300" t="n">
        <v>0</v>
      </c>
      <c r="M300" t="n">
        <v>0</v>
      </c>
      <c r="N300" t="n">
        <v>0</v>
      </c>
      <c r="O300" t="n">
        <v>0</v>
      </c>
      <c r="P300" t="n">
        <v>0</v>
      </c>
      <c r="Q300" t="n">
        <v>0</v>
      </c>
      <c r="R300" s="2" t="inlineStr"/>
    </row>
    <row r="301" ht="15" customHeight="1">
      <c r="A301" t="inlineStr">
        <is>
          <t>A 9519-2026</t>
        </is>
      </c>
      <c r="B301" s="1" t="n">
        <v>46071</v>
      </c>
      <c r="C301" s="1" t="n">
        <v>46204</v>
      </c>
      <c r="D301" t="inlineStr">
        <is>
          <t>GOTLANDS LÄN</t>
        </is>
      </c>
      <c r="E301" t="inlineStr">
        <is>
          <t>GOTLAND</t>
        </is>
      </c>
      <c r="G301" t="n">
        <v>4</v>
      </c>
      <c r="H301" t="n">
        <v>0</v>
      </c>
      <c r="I301" t="n">
        <v>0</v>
      </c>
      <c r="J301" t="n">
        <v>0</v>
      </c>
      <c r="K301" t="n">
        <v>0</v>
      </c>
      <c r="L301" t="n">
        <v>0</v>
      </c>
      <c r="M301" t="n">
        <v>0</v>
      </c>
      <c r="N301" t="n">
        <v>0</v>
      </c>
      <c r="O301" t="n">
        <v>0</v>
      </c>
      <c r="P301" t="n">
        <v>0</v>
      </c>
      <c r="Q301" t="n">
        <v>0</v>
      </c>
      <c r="R301" s="2" t="inlineStr"/>
    </row>
    <row r="302" ht="15" customHeight="1">
      <c r="A302" t="inlineStr">
        <is>
          <t>A 30488-2025</t>
        </is>
      </c>
      <c r="B302" s="1" t="n">
        <v>45830</v>
      </c>
      <c r="C302" s="1" t="n">
        <v>46204</v>
      </c>
      <c r="D302" t="inlineStr">
        <is>
          <t>GOTLANDS LÄN</t>
        </is>
      </c>
      <c r="E302" t="inlineStr">
        <is>
          <t>GOTLAND</t>
        </is>
      </c>
      <c r="F302" t="inlineStr">
        <is>
          <t>Kyrkan</t>
        </is>
      </c>
      <c r="G302" t="n">
        <v>3.9</v>
      </c>
      <c r="H302" t="n">
        <v>0</v>
      </c>
      <c r="I302" t="n">
        <v>0</v>
      </c>
      <c r="J302" t="n">
        <v>0</v>
      </c>
      <c r="K302" t="n">
        <v>0</v>
      </c>
      <c r="L302" t="n">
        <v>0</v>
      </c>
      <c r="M302" t="n">
        <v>0</v>
      </c>
      <c r="N302" t="n">
        <v>0</v>
      </c>
      <c r="O302" t="n">
        <v>0</v>
      </c>
      <c r="P302" t="n">
        <v>0</v>
      </c>
      <c r="Q302" t="n">
        <v>0</v>
      </c>
      <c r="R302" s="2" t="inlineStr"/>
    </row>
    <row r="303" ht="15" customHeight="1">
      <c r="A303" t="inlineStr">
        <is>
          <t>A 15216-2025</t>
        </is>
      </c>
      <c r="B303" s="1" t="n">
        <v>45744</v>
      </c>
      <c r="C303" s="1" t="n">
        <v>46204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15001-2025</t>
        </is>
      </c>
      <c r="B304" s="1" t="n">
        <v>45743</v>
      </c>
      <c r="C304" s="1" t="n">
        <v>46204</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43790-2024</t>
        </is>
      </c>
      <c r="B305" s="1" t="n">
        <v>45571</v>
      </c>
      <c r="C305" s="1" t="n">
        <v>46204</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17847-2025</t>
        </is>
      </c>
      <c r="B306" s="1" t="n">
        <v>45758</v>
      </c>
      <c r="C306" s="1" t="n">
        <v>46204</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10284-2026</t>
        </is>
      </c>
      <c r="B307" s="1" t="n">
        <v>46076</v>
      </c>
      <c r="C307" s="1" t="n">
        <v>46204</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18742-2025</t>
        </is>
      </c>
      <c r="B308" s="1" t="n">
        <v>45763</v>
      </c>
      <c r="C308" s="1" t="n">
        <v>46204</v>
      </c>
      <c r="D308" t="inlineStr">
        <is>
          <t>GOTLANDS LÄN</t>
        </is>
      </c>
      <c r="E308" t="inlineStr">
        <is>
          <t>GOTLAND</t>
        </is>
      </c>
      <c r="G308" t="n">
        <v>3.4</v>
      </c>
      <c r="H308" t="n">
        <v>0</v>
      </c>
      <c r="I308" t="n">
        <v>0</v>
      </c>
      <c r="J308" t="n">
        <v>0</v>
      </c>
      <c r="K308" t="n">
        <v>0</v>
      </c>
      <c r="L308" t="n">
        <v>0</v>
      </c>
      <c r="M308" t="n">
        <v>0</v>
      </c>
      <c r="N308" t="n">
        <v>0</v>
      </c>
      <c r="O308" t="n">
        <v>0</v>
      </c>
      <c r="P308" t="n">
        <v>0</v>
      </c>
      <c r="Q308" t="n">
        <v>0</v>
      </c>
      <c r="R308" s="2" t="inlineStr"/>
    </row>
    <row r="309" ht="15" customHeight="1">
      <c r="A309" t="inlineStr">
        <is>
          <t>A 35129-2025</t>
        </is>
      </c>
      <c r="B309" s="1" t="n">
        <v>45852</v>
      </c>
      <c r="C309" s="1" t="n">
        <v>46204</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28425-2023</t>
        </is>
      </c>
      <c r="B310" s="1" t="n">
        <v>45102</v>
      </c>
      <c r="C310" s="1" t="n">
        <v>46204</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13037-2025</t>
        </is>
      </c>
      <c r="B311" s="1" t="n">
        <v>45734</v>
      </c>
      <c r="C311" s="1" t="n">
        <v>46204</v>
      </c>
      <c r="D311" t="inlineStr">
        <is>
          <t>GOTLANDS LÄN</t>
        </is>
      </c>
      <c r="E311" t="inlineStr">
        <is>
          <t>GOTLAND</t>
        </is>
      </c>
      <c r="G311" t="n">
        <v>9.5</v>
      </c>
      <c r="H311" t="n">
        <v>0</v>
      </c>
      <c r="I311" t="n">
        <v>0</v>
      </c>
      <c r="J311" t="n">
        <v>0</v>
      </c>
      <c r="K311" t="n">
        <v>0</v>
      </c>
      <c r="L311" t="n">
        <v>0</v>
      </c>
      <c r="M311" t="n">
        <v>0</v>
      </c>
      <c r="N311" t="n">
        <v>0</v>
      </c>
      <c r="O311" t="n">
        <v>0</v>
      </c>
      <c r="P311" t="n">
        <v>0</v>
      </c>
      <c r="Q311" t="n">
        <v>0</v>
      </c>
      <c r="R311" s="2" t="inlineStr"/>
    </row>
    <row r="312" ht="15" customHeight="1">
      <c r="A312" t="inlineStr">
        <is>
          <t>A 43951-2025</t>
        </is>
      </c>
      <c r="B312" s="1" t="n">
        <v>45915</v>
      </c>
      <c r="C312" s="1" t="n">
        <v>46204</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21142-2025</t>
        </is>
      </c>
      <c r="B313" s="1" t="n">
        <v>45779</v>
      </c>
      <c r="C313" s="1" t="n">
        <v>46204</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10746-2025</t>
        </is>
      </c>
      <c r="B314" s="1" t="n">
        <v>45722</v>
      </c>
      <c r="C314" s="1" t="n">
        <v>46204</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6108-2025</t>
        </is>
      </c>
      <c r="B315" s="1" t="n">
        <v>45698</v>
      </c>
      <c r="C315" s="1" t="n">
        <v>46204</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17343-2025</t>
        </is>
      </c>
      <c r="B316" s="1" t="n">
        <v>45756</v>
      </c>
      <c r="C316" s="1" t="n">
        <v>46204</v>
      </c>
      <c r="D316" t="inlineStr">
        <is>
          <t>GOTLANDS LÄN</t>
        </is>
      </c>
      <c r="E316" t="inlineStr">
        <is>
          <t>GOTLAND</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18938-2025</t>
        </is>
      </c>
      <c r="B317" s="1" t="n">
        <v>45764</v>
      </c>
      <c r="C317" s="1" t="n">
        <v>46204</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20307-2025</t>
        </is>
      </c>
      <c r="B318" s="1" t="n">
        <v>45774</v>
      </c>
      <c r="C318" s="1" t="n">
        <v>46204</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26391-2025</t>
        </is>
      </c>
      <c r="B319" s="1" t="n">
        <v>45806</v>
      </c>
      <c r="C319" s="1" t="n">
        <v>46204</v>
      </c>
      <c r="D319" t="inlineStr">
        <is>
          <t>GOTLANDS LÄN</t>
        </is>
      </c>
      <c r="E319" t="inlineStr">
        <is>
          <t>GOTLAND</t>
        </is>
      </c>
      <c r="G319" t="n">
        <v>2</v>
      </c>
      <c r="H319" t="n">
        <v>0</v>
      </c>
      <c r="I319" t="n">
        <v>0</v>
      </c>
      <c r="J319" t="n">
        <v>0</v>
      </c>
      <c r="K319" t="n">
        <v>0</v>
      </c>
      <c r="L319" t="n">
        <v>0</v>
      </c>
      <c r="M319" t="n">
        <v>0</v>
      </c>
      <c r="N319" t="n">
        <v>0</v>
      </c>
      <c r="O319" t="n">
        <v>0</v>
      </c>
      <c r="P319" t="n">
        <v>0</v>
      </c>
      <c r="Q319" t="n">
        <v>0</v>
      </c>
      <c r="R319" s="2" t="inlineStr"/>
    </row>
    <row r="320" ht="15" customHeight="1">
      <c r="A320" t="inlineStr">
        <is>
          <t>A 46836-2025</t>
        </is>
      </c>
      <c r="B320" s="1" t="n">
        <v>45928</v>
      </c>
      <c r="C320" s="1" t="n">
        <v>46204</v>
      </c>
      <c r="D320" t="inlineStr">
        <is>
          <t>GOTLANDS LÄN</t>
        </is>
      </c>
      <c r="E320" t="inlineStr">
        <is>
          <t>GOTLAND</t>
        </is>
      </c>
      <c r="G320" t="n">
        <v>2.8</v>
      </c>
      <c r="H320" t="n">
        <v>0</v>
      </c>
      <c r="I320" t="n">
        <v>0</v>
      </c>
      <c r="J320" t="n">
        <v>0</v>
      </c>
      <c r="K320" t="n">
        <v>0</v>
      </c>
      <c r="L320" t="n">
        <v>0</v>
      </c>
      <c r="M320" t="n">
        <v>0</v>
      </c>
      <c r="N320" t="n">
        <v>0</v>
      </c>
      <c r="O320" t="n">
        <v>0</v>
      </c>
      <c r="P320" t="n">
        <v>0</v>
      </c>
      <c r="Q320" t="n">
        <v>0</v>
      </c>
      <c r="R320" s="2" t="inlineStr"/>
    </row>
    <row r="321" ht="15" customHeight="1">
      <c r="A321" t="inlineStr">
        <is>
          <t>A 43229-2023</t>
        </is>
      </c>
      <c r="B321" s="1" t="n">
        <v>45183</v>
      </c>
      <c r="C321" s="1" t="n">
        <v>46204</v>
      </c>
      <c r="D321" t="inlineStr">
        <is>
          <t>GOTLANDS LÄN</t>
        </is>
      </c>
      <c r="E321" t="inlineStr">
        <is>
          <t>GOTLAND</t>
        </is>
      </c>
      <c r="G321" t="n">
        <v>7.1</v>
      </c>
      <c r="H321" t="n">
        <v>0</v>
      </c>
      <c r="I321" t="n">
        <v>0</v>
      </c>
      <c r="J321" t="n">
        <v>0</v>
      </c>
      <c r="K321" t="n">
        <v>0</v>
      </c>
      <c r="L321" t="n">
        <v>0</v>
      </c>
      <c r="M321" t="n">
        <v>0</v>
      </c>
      <c r="N321" t="n">
        <v>0</v>
      </c>
      <c r="O321" t="n">
        <v>0</v>
      </c>
      <c r="P321" t="n">
        <v>0</v>
      </c>
      <c r="Q321" t="n">
        <v>0</v>
      </c>
      <c r="R321" s="2" t="inlineStr"/>
    </row>
    <row r="322" ht="15" customHeight="1">
      <c r="A322" t="inlineStr">
        <is>
          <t>A 47637-2025</t>
        </is>
      </c>
      <c r="B322" s="1" t="n">
        <v>45931</v>
      </c>
      <c r="C322" s="1" t="n">
        <v>46204</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41038-2023</t>
        </is>
      </c>
      <c r="B323" s="1" t="n">
        <v>45173</v>
      </c>
      <c r="C323" s="1" t="n">
        <v>46204</v>
      </c>
      <c r="D323" t="inlineStr">
        <is>
          <t>GOTLANDS LÄN</t>
        </is>
      </c>
      <c r="E323" t="inlineStr">
        <is>
          <t>GOTLAND</t>
        </is>
      </c>
      <c r="G323" t="n">
        <v>2.7</v>
      </c>
      <c r="H323" t="n">
        <v>0</v>
      </c>
      <c r="I323" t="n">
        <v>0</v>
      </c>
      <c r="J323" t="n">
        <v>0</v>
      </c>
      <c r="K323" t="n">
        <v>0</v>
      </c>
      <c r="L323" t="n">
        <v>0</v>
      </c>
      <c r="M323" t="n">
        <v>0</v>
      </c>
      <c r="N323" t="n">
        <v>0</v>
      </c>
      <c r="O323" t="n">
        <v>0</v>
      </c>
      <c r="P323" t="n">
        <v>0</v>
      </c>
      <c r="Q323" t="n">
        <v>0</v>
      </c>
      <c r="R323" s="2" t="inlineStr"/>
    </row>
    <row r="324" ht="15" customHeight="1">
      <c r="A324" t="inlineStr">
        <is>
          <t>A 11424-2026</t>
        </is>
      </c>
      <c r="B324" s="1" t="n">
        <v>46083</v>
      </c>
      <c r="C324" s="1" t="n">
        <v>46204</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3067-2026</t>
        </is>
      </c>
      <c r="B325" s="1" t="n">
        <v>46040</v>
      </c>
      <c r="C325" s="1" t="n">
        <v>46204</v>
      </c>
      <c r="D325" t="inlineStr">
        <is>
          <t>GOTLANDS LÄN</t>
        </is>
      </c>
      <c r="E325" t="inlineStr">
        <is>
          <t>GOTLAND</t>
        </is>
      </c>
      <c r="G325" t="n">
        <v>7.8</v>
      </c>
      <c r="H325" t="n">
        <v>0</v>
      </c>
      <c r="I325" t="n">
        <v>0</v>
      </c>
      <c r="J325" t="n">
        <v>0</v>
      </c>
      <c r="K325" t="n">
        <v>0</v>
      </c>
      <c r="L325" t="n">
        <v>0</v>
      </c>
      <c r="M325" t="n">
        <v>0</v>
      </c>
      <c r="N325" t="n">
        <v>0</v>
      </c>
      <c r="O325" t="n">
        <v>0</v>
      </c>
      <c r="P325" t="n">
        <v>0</v>
      </c>
      <c r="Q325" t="n">
        <v>0</v>
      </c>
      <c r="R325" s="2" t="inlineStr"/>
    </row>
    <row r="326" ht="15" customHeight="1">
      <c r="A326" t="inlineStr">
        <is>
          <t>A 12599-2025</t>
        </is>
      </c>
      <c r="B326" s="1" t="n">
        <v>45733</v>
      </c>
      <c r="C326" s="1" t="n">
        <v>46204</v>
      </c>
      <c r="D326" t="inlineStr">
        <is>
          <t>GOTLANDS LÄN</t>
        </is>
      </c>
      <c r="E326" t="inlineStr">
        <is>
          <t>GOTLAND</t>
        </is>
      </c>
      <c r="G326" t="n">
        <v>4.7</v>
      </c>
      <c r="H326" t="n">
        <v>0</v>
      </c>
      <c r="I326" t="n">
        <v>0</v>
      </c>
      <c r="J326" t="n">
        <v>0</v>
      </c>
      <c r="K326" t="n">
        <v>0</v>
      </c>
      <c r="L326" t="n">
        <v>0</v>
      </c>
      <c r="M326" t="n">
        <v>0</v>
      </c>
      <c r="N326" t="n">
        <v>0</v>
      </c>
      <c r="O326" t="n">
        <v>0</v>
      </c>
      <c r="P326" t="n">
        <v>0</v>
      </c>
      <c r="Q326" t="n">
        <v>0</v>
      </c>
      <c r="R326" s="2" t="inlineStr"/>
    </row>
    <row r="327" ht="15" customHeight="1">
      <c r="A327" t="inlineStr">
        <is>
          <t>A 35550-2025</t>
        </is>
      </c>
      <c r="B327" s="1" t="n">
        <v>45856</v>
      </c>
      <c r="C327" s="1" t="n">
        <v>46204</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42201-2023</t>
        </is>
      </c>
      <c r="B328" s="1" t="n">
        <v>45179</v>
      </c>
      <c r="C328" s="1" t="n">
        <v>46204</v>
      </c>
      <c r="D328" t="inlineStr">
        <is>
          <t>GOTLANDS LÄN</t>
        </is>
      </c>
      <c r="E328" t="inlineStr">
        <is>
          <t>GOTLAND</t>
        </is>
      </c>
      <c r="G328" t="n">
        <v>11.9</v>
      </c>
      <c r="H328" t="n">
        <v>0</v>
      </c>
      <c r="I328" t="n">
        <v>0</v>
      </c>
      <c r="J328" t="n">
        <v>0</v>
      </c>
      <c r="K328" t="n">
        <v>0</v>
      </c>
      <c r="L328" t="n">
        <v>0</v>
      </c>
      <c r="M328" t="n">
        <v>0</v>
      </c>
      <c r="N328" t="n">
        <v>0</v>
      </c>
      <c r="O328" t="n">
        <v>0</v>
      </c>
      <c r="P328" t="n">
        <v>0</v>
      </c>
      <c r="Q328" t="n">
        <v>0</v>
      </c>
      <c r="R328" s="2" t="inlineStr"/>
    </row>
    <row r="329" ht="15" customHeight="1">
      <c r="A329" t="inlineStr">
        <is>
          <t>A 47578-2025</t>
        </is>
      </c>
      <c r="B329" s="1" t="n">
        <v>45931</v>
      </c>
      <c r="C329" s="1" t="n">
        <v>46204</v>
      </c>
      <c r="D329" t="inlineStr">
        <is>
          <t>GOTLANDS LÄN</t>
        </is>
      </c>
      <c r="E329" t="inlineStr">
        <is>
          <t>GOTLAND</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49690-2025</t>
        </is>
      </c>
      <c r="B330" s="1" t="n">
        <v>45939</v>
      </c>
      <c r="C330" s="1" t="n">
        <v>46204</v>
      </c>
      <c r="D330" t="inlineStr">
        <is>
          <t>GOTLANDS LÄN</t>
        </is>
      </c>
      <c r="E330" t="inlineStr">
        <is>
          <t>GOTLAND</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57652-2023</t>
        </is>
      </c>
      <c r="B331" s="1" t="n">
        <v>45246</v>
      </c>
      <c r="C331" s="1" t="n">
        <v>46204</v>
      </c>
      <c r="D331" t="inlineStr">
        <is>
          <t>GOTLANDS LÄN</t>
        </is>
      </c>
      <c r="E331" t="inlineStr">
        <is>
          <t>GOTLAND</t>
        </is>
      </c>
      <c r="G331" t="n">
        <v>7.2</v>
      </c>
      <c r="H331" t="n">
        <v>0</v>
      </c>
      <c r="I331" t="n">
        <v>0</v>
      </c>
      <c r="J331" t="n">
        <v>0</v>
      </c>
      <c r="K331" t="n">
        <v>0</v>
      </c>
      <c r="L331" t="n">
        <v>0</v>
      </c>
      <c r="M331" t="n">
        <v>0</v>
      </c>
      <c r="N331" t="n">
        <v>0</v>
      </c>
      <c r="O331" t="n">
        <v>0</v>
      </c>
      <c r="P331" t="n">
        <v>0</v>
      </c>
      <c r="Q331" t="n">
        <v>0</v>
      </c>
      <c r="R331" s="2" t="inlineStr"/>
    </row>
    <row r="332" ht="15" customHeight="1">
      <c r="A332" t="inlineStr">
        <is>
          <t>A 57522-2022</t>
        </is>
      </c>
      <c r="B332" s="1" t="n">
        <v>44896</v>
      </c>
      <c r="C332" s="1" t="n">
        <v>46204</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49730-2025</t>
        </is>
      </c>
      <c r="B333" s="1" t="n">
        <v>45939</v>
      </c>
      <c r="C333" s="1" t="n">
        <v>46204</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14797-2024</t>
        </is>
      </c>
      <c r="B334" s="1" t="n">
        <v>45397</v>
      </c>
      <c r="C334" s="1" t="n">
        <v>46204</v>
      </c>
      <c r="D334" t="inlineStr">
        <is>
          <t>GOTLANDS LÄN</t>
        </is>
      </c>
      <c r="E334" t="inlineStr">
        <is>
          <t>GOTLAND</t>
        </is>
      </c>
      <c r="G334" t="n">
        <v>8.1</v>
      </c>
      <c r="H334" t="n">
        <v>0</v>
      </c>
      <c r="I334" t="n">
        <v>0</v>
      </c>
      <c r="J334" t="n">
        <v>0</v>
      </c>
      <c r="K334" t="n">
        <v>0</v>
      </c>
      <c r="L334" t="n">
        <v>0</v>
      </c>
      <c r="M334" t="n">
        <v>0</v>
      </c>
      <c r="N334" t="n">
        <v>0</v>
      </c>
      <c r="O334" t="n">
        <v>0</v>
      </c>
      <c r="P334" t="n">
        <v>0</v>
      </c>
      <c r="Q334" t="n">
        <v>0</v>
      </c>
      <c r="R334" s="2" t="inlineStr"/>
    </row>
    <row r="335" ht="15" customHeight="1">
      <c r="A335" t="inlineStr">
        <is>
          <t>A 63000-2025</t>
        </is>
      </c>
      <c r="B335" s="1" t="n">
        <v>46009</v>
      </c>
      <c r="C335" s="1" t="n">
        <v>46204</v>
      </c>
      <c r="D335" t="inlineStr">
        <is>
          <t>GOTLANDS LÄN</t>
        </is>
      </c>
      <c r="E335" t="inlineStr">
        <is>
          <t>GOTLAND</t>
        </is>
      </c>
      <c r="F335" t="inlineStr">
        <is>
          <t>Övriga Aktiebolag</t>
        </is>
      </c>
      <c r="G335" t="n">
        <v>1.7</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v>
      </c>
      <c r="C336" s="1" t="n">
        <v>46204</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62751-2025</t>
        </is>
      </c>
      <c r="B337" s="1" t="n">
        <v>46008</v>
      </c>
      <c r="C337" s="1" t="n">
        <v>46204</v>
      </c>
      <c r="D337" t="inlineStr">
        <is>
          <t>GOTLANDS LÄN</t>
        </is>
      </c>
      <c r="E337" t="inlineStr">
        <is>
          <t>GOTLAND</t>
        </is>
      </c>
      <c r="F337" t="inlineStr">
        <is>
          <t>Övriga Aktiebolag</t>
        </is>
      </c>
      <c r="G337" t="n">
        <v>7.8</v>
      </c>
      <c r="H337" t="n">
        <v>0</v>
      </c>
      <c r="I337" t="n">
        <v>0</v>
      </c>
      <c r="J337" t="n">
        <v>0</v>
      </c>
      <c r="K337" t="n">
        <v>0</v>
      </c>
      <c r="L337" t="n">
        <v>0</v>
      </c>
      <c r="M337" t="n">
        <v>0</v>
      </c>
      <c r="N337" t="n">
        <v>0</v>
      </c>
      <c r="O337" t="n">
        <v>0</v>
      </c>
      <c r="P337" t="n">
        <v>0</v>
      </c>
      <c r="Q337" t="n">
        <v>0</v>
      </c>
      <c r="R337" s="2" t="inlineStr"/>
    </row>
    <row r="338" ht="15" customHeight="1">
      <c r="A338" t="inlineStr">
        <is>
          <t>A 13486-2026</t>
        </is>
      </c>
      <c r="B338" s="1" t="n">
        <v>46094</v>
      </c>
      <c r="C338" s="1" t="n">
        <v>46204</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1394-2023</t>
        </is>
      </c>
      <c r="B339" s="1" t="n">
        <v>44936</v>
      </c>
      <c r="C339" s="1" t="n">
        <v>46204</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2676-2023</t>
        </is>
      </c>
      <c r="B340" s="1" t="n">
        <v>44944</v>
      </c>
      <c r="C340" s="1" t="n">
        <v>46204</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4387-2023</t>
        </is>
      </c>
      <c r="B341" s="1" t="n">
        <v>44955</v>
      </c>
      <c r="C341" s="1" t="n">
        <v>46204</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46204</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22275-2023</t>
        </is>
      </c>
      <c r="B343" s="1" t="n">
        <v>45070</v>
      </c>
      <c r="C343" s="1" t="n">
        <v>46204</v>
      </c>
      <c r="D343" t="inlineStr">
        <is>
          <t>GOTLANDS LÄN</t>
        </is>
      </c>
      <c r="E343" t="inlineStr">
        <is>
          <t>GOTLAND</t>
        </is>
      </c>
      <c r="G343" t="n">
        <v>7.2</v>
      </c>
      <c r="H343" t="n">
        <v>0</v>
      </c>
      <c r="I343" t="n">
        <v>0</v>
      </c>
      <c r="J343" t="n">
        <v>0</v>
      </c>
      <c r="K343" t="n">
        <v>0</v>
      </c>
      <c r="L343" t="n">
        <v>0</v>
      </c>
      <c r="M343" t="n">
        <v>0</v>
      </c>
      <c r="N343" t="n">
        <v>0</v>
      </c>
      <c r="O343" t="n">
        <v>0</v>
      </c>
      <c r="P343" t="n">
        <v>0</v>
      </c>
      <c r="Q343" t="n">
        <v>0</v>
      </c>
      <c r="R343" s="2" t="inlineStr"/>
    </row>
    <row r="344" ht="15" customHeight="1">
      <c r="A344" t="inlineStr">
        <is>
          <t>A 14635-2023</t>
        </is>
      </c>
      <c r="B344" s="1" t="n">
        <v>45013</v>
      </c>
      <c r="C344" s="1" t="n">
        <v>46204</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v>
      </c>
      <c r="C345" s="1" t="n">
        <v>46204</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7636-2025</t>
        </is>
      </c>
      <c r="B346" s="1" t="n">
        <v>45705</v>
      </c>
      <c r="C346" s="1" t="n">
        <v>46204</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7639-2025</t>
        </is>
      </c>
      <c r="B347" s="1" t="n">
        <v>45705</v>
      </c>
      <c r="C347" s="1" t="n">
        <v>46204</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v>
      </c>
      <c r="C348" s="1" t="n">
        <v>46204</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15434-2024</t>
        </is>
      </c>
      <c r="B349" s="1" t="n">
        <v>45401</v>
      </c>
      <c r="C349" s="1" t="n">
        <v>46204</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v>
      </c>
      <c r="C350" s="1" t="n">
        <v>46204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54074-2022</t>
        </is>
      </c>
      <c r="B351" s="1" t="n">
        <v>44881</v>
      </c>
      <c r="C351" s="1" t="n">
        <v>46204</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61694-2023</t>
        </is>
      </c>
      <c r="B352" s="1" t="n">
        <v>45264</v>
      </c>
      <c r="C352" s="1" t="n">
        <v>46204</v>
      </c>
      <c r="D352" t="inlineStr">
        <is>
          <t>GOTLANDS LÄN</t>
        </is>
      </c>
      <c r="E352" t="inlineStr">
        <is>
          <t>GOTLAND</t>
        </is>
      </c>
      <c r="G352" t="n">
        <v>4.6</v>
      </c>
      <c r="H352" t="n">
        <v>0</v>
      </c>
      <c r="I352" t="n">
        <v>0</v>
      </c>
      <c r="J352" t="n">
        <v>0</v>
      </c>
      <c r="K352" t="n">
        <v>0</v>
      </c>
      <c r="L352" t="n">
        <v>0</v>
      </c>
      <c r="M352" t="n">
        <v>0</v>
      </c>
      <c r="N352" t="n">
        <v>0</v>
      </c>
      <c r="O352" t="n">
        <v>0</v>
      </c>
      <c r="P352" t="n">
        <v>0</v>
      </c>
      <c r="Q352" t="n">
        <v>0</v>
      </c>
      <c r="R352" s="2" t="inlineStr"/>
    </row>
    <row r="353" ht="15" customHeight="1">
      <c r="A353" t="inlineStr">
        <is>
          <t>A 54268-2022</t>
        </is>
      </c>
      <c r="B353" s="1" t="n">
        <v>44882</v>
      </c>
      <c r="C353" s="1" t="n">
        <v>46204</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v>
      </c>
      <c r="C354" s="1" t="n">
        <v>46204</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1462-2025</t>
        </is>
      </c>
      <c r="B355" s="1" t="n">
        <v>45670</v>
      </c>
      <c r="C355" s="1" t="n">
        <v>46204</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57685-2022</t>
        </is>
      </c>
      <c r="B356" s="1" t="n">
        <v>44897</v>
      </c>
      <c r="C356" s="1" t="n">
        <v>46204</v>
      </c>
      <c r="D356" t="inlineStr">
        <is>
          <t>GOTLANDS LÄN</t>
        </is>
      </c>
      <c r="E356" t="inlineStr">
        <is>
          <t>GOTLAND</t>
        </is>
      </c>
      <c r="G356" t="n">
        <v>3.7</v>
      </c>
      <c r="H356" t="n">
        <v>0</v>
      </c>
      <c r="I356" t="n">
        <v>0</v>
      </c>
      <c r="J356" t="n">
        <v>0</v>
      </c>
      <c r="K356" t="n">
        <v>0</v>
      </c>
      <c r="L356" t="n">
        <v>0</v>
      </c>
      <c r="M356" t="n">
        <v>0</v>
      </c>
      <c r="N356" t="n">
        <v>0</v>
      </c>
      <c r="O356" t="n">
        <v>0</v>
      </c>
      <c r="P356" t="n">
        <v>0</v>
      </c>
      <c r="Q356" t="n">
        <v>0</v>
      </c>
      <c r="R356" s="2" t="inlineStr"/>
    </row>
    <row r="357" ht="15" customHeight="1">
      <c r="A357" t="inlineStr">
        <is>
          <t>A 811-2023</t>
        </is>
      </c>
      <c r="B357" s="1" t="n">
        <v>44931</v>
      </c>
      <c r="C357" s="1" t="n">
        <v>46204</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5905-2024</t>
        </is>
      </c>
      <c r="B358" s="1" t="n">
        <v>45335</v>
      </c>
      <c r="C358" s="1" t="n">
        <v>46204</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3431-2025</t>
        </is>
      </c>
      <c r="B359" s="1" t="n">
        <v>45680</v>
      </c>
      <c r="C359" s="1" t="n">
        <v>46204</v>
      </c>
      <c r="D359" t="inlineStr">
        <is>
          <t>GOTLANDS LÄN</t>
        </is>
      </c>
      <c r="E359" t="inlineStr">
        <is>
          <t>GOTLAND</t>
        </is>
      </c>
      <c r="G359" t="n">
        <v>4.8</v>
      </c>
      <c r="H359" t="n">
        <v>0</v>
      </c>
      <c r="I359" t="n">
        <v>0</v>
      </c>
      <c r="J359" t="n">
        <v>0</v>
      </c>
      <c r="K359" t="n">
        <v>0</v>
      </c>
      <c r="L359" t="n">
        <v>0</v>
      </c>
      <c r="M359" t="n">
        <v>0</v>
      </c>
      <c r="N359" t="n">
        <v>0</v>
      </c>
      <c r="O359" t="n">
        <v>0</v>
      </c>
      <c r="P359" t="n">
        <v>0</v>
      </c>
      <c r="Q359" t="n">
        <v>0</v>
      </c>
      <c r="R359" s="2" t="inlineStr"/>
    </row>
    <row r="360" ht="15" customHeight="1">
      <c r="A360" t="inlineStr">
        <is>
          <t>A 34407-2023</t>
        </is>
      </c>
      <c r="B360" s="1" t="n">
        <v>45132</v>
      </c>
      <c r="C360" s="1" t="n">
        <v>46204</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30892-2024</t>
        </is>
      </c>
      <c r="B361" s="1" t="n">
        <v>45491</v>
      </c>
      <c r="C361" s="1" t="n">
        <v>46204</v>
      </c>
      <c r="D361" t="inlineStr">
        <is>
          <t>GOTLANDS LÄN</t>
        </is>
      </c>
      <c r="E361" t="inlineStr">
        <is>
          <t>GOTLAND</t>
        </is>
      </c>
      <c r="G361" t="n">
        <v>6.1</v>
      </c>
      <c r="H361" t="n">
        <v>0</v>
      </c>
      <c r="I361" t="n">
        <v>0</v>
      </c>
      <c r="J361" t="n">
        <v>0</v>
      </c>
      <c r="K361" t="n">
        <v>0</v>
      </c>
      <c r="L361" t="n">
        <v>0</v>
      </c>
      <c r="M361" t="n">
        <v>0</v>
      </c>
      <c r="N361" t="n">
        <v>0</v>
      </c>
      <c r="O361" t="n">
        <v>0</v>
      </c>
      <c r="P361" t="n">
        <v>0</v>
      </c>
      <c r="Q361" t="n">
        <v>0</v>
      </c>
      <c r="R361" s="2" t="inlineStr"/>
    </row>
    <row r="362" ht="15" customHeight="1">
      <c r="A362" t="inlineStr">
        <is>
          <t>A 56688-2025</t>
        </is>
      </c>
      <c r="B362" s="1" t="n">
        <v>45975</v>
      </c>
      <c r="C362" s="1" t="n">
        <v>46204</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56799-2025</t>
        </is>
      </c>
      <c r="B363" s="1" t="n">
        <v>45978</v>
      </c>
      <c r="C363" s="1" t="n">
        <v>46204</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7858-2025</t>
        </is>
      </c>
      <c r="B364" s="1" t="n">
        <v>45706</v>
      </c>
      <c r="C364" s="1" t="n">
        <v>46204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2125-2025</t>
        </is>
      </c>
      <c r="B365" s="1" t="n">
        <v>45672</v>
      </c>
      <c r="C365" s="1" t="n">
        <v>46204</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12155-2023</t>
        </is>
      </c>
      <c r="B366" s="1" t="n">
        <v>44998</v>
      </c>
      <c r="C366" s="1" t="n">
        <v>46204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2774-2024</t>
        </is>
      </c>
      <c r="B367" s="1" t="n">
        <v>45314</v>
      </c>
      <c r="C367" s="1" t="n">
        <v>46204</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9947-2024</t>
        </is>
      </c>
      <c r="B368" s="1" t="n">
        <v>45363</v>
      </c>
      <c r="C368" s="1" t="n">
        <v>46204</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42007-2023</t>
        </is>
      </c>
      <c r="B369" s="1" t="n">
        <v>45177</v>
      </c>
      <c r="C369" s="1" t="n">
        <v>46204</v>
      </c>
      <c r="D369" t="inlineStr">
        <is>
          <t>GOTLANDS LÄN</t>
        </is>
      </c>
      <c r="E369" t="inlineStr">
        <is>
          <t>GOTLAND</t>
        </is>
      </c>
      <c r="G369" t="n">
        <v>0.8</v>
      </c>
      <c r="H369" t="n">
        <v>0</v>
      </c>
      <c r="I369" t="n">
        <v>0</v>
      </c>
      <c r="J369" t="n">
        <v>0</v>
      </c>
      <c r="K369" t="n">
        <v>0</v>
      </c>
      <c r="L369" t="n">
        <v>0</v>
      </c>
      <c r="M369" t="n">
        <v>0</v>
      </c>
      <c r="N369" t="n">
        <v>0</v>
      </c>
      <c r="O369" t="n">
        <v>0</v>
      </c>
      <c r="P369" t="n">
        <v>0</v>
      </c>
      <c r="Q369" t="n">
        <v>0</v>
      </c>
      <c r="R369" s="2" t="inlineStr"/>
    </row>
    <row r="370" ht="15" customHeight="1">
      <c r="A370" t="inlineStr">
        <is>
          <t>A 36319-2025</t>
        </is>
      </c>
      <c r="B370" s="1" t="n">
        <v>45868</v>
      </c>
      <c r="C370" s="1" t="n">
        <v>46204</v>
      </c>
      <c r="D370" t="inlineStr">
        <is>
          <t>GOTLANDS LÄN</t>
        </is>
      </c>
      <c r="E370" t="inlineStr">
        <is>
          <t>GOTLAND</t>
        </is>
      </c>
      <c r="G370" t="n">
        <v>2.9</v>
      </c>
      <c r="H370" t="n">
        <v>0</v>
      </c>
      <c r="I370" t="n">
        <v>0</v>
      </c>
      <c r="J370" t="n">
        <v>0</v>
      </c>
      <c r="K370" t="n">
        <v>0</v>
      </c>
      <c r="L370" t="n">
        <v>0</v>
      </c>
      <c r="M370" t="n">
        <v>0</v>
      </c>
      <c r="N370" t="n">
        <v>0</v>
      </c>
      <c r="O370" t="n">
        <v>0</v>
      </c>
      <c r="P370" t="n">
        <v>0</v>
      </c>
      <c r="Q370" t="n">
        <v>0</v>
      </c>
      <c r="R370" s="2" t="inlineStr"/>
    </row>
    <row r="371" ht="15" customHeight="1">
      <c r="A371" t="inlineStr">
        <is>
          <t>A 15083-2025</t>
        </is>
      </c>
      <c r="B371" s="1" t="n">
        <v>45743</v>
      </c>
      <c r="C371" s="1" t="n">
        <v>46204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16993-2026</t>
        </is>
      </c>
      <c r="B372" s="1" t="n">
        <v>46114</v>
      </c>
      <c r="C372" s="1" t="n">
        <v>46204</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37202-2024</t>
        </is>
      </c>
      <c r="B373" s="1" t="n">
        <v>45539</v>
      </c>
      <c r="C373" s="1" t="n">
        <v>46204</v>
      </c>
      <c r="D373" t="inlineStr">
        <is>
          <t>GOTLANDS LÄN</t>
        </is>
      </c>
      <c r="E373" t="inlineStr">
        <is>
          <t>GOTLAND</t>
        </is>
      </c>
      <c r="G373" t="n">
        <v>0.3</v>
      </c>
      <c r="H373" t="n">
        <v>0</v>
      </c>
      <c r="I373" t="n">
        <v>0</v>
      </c>
      <c r="J373" t="n">
        <v>0</v>
      </c>
      <c r="K373" t="n">
        <v>0</v>
      </c>
      <c r="L373" t="n">
        <v>0</v>
      </c>
      <c r="M373" t="n">
        <v>0</v>
      </c>
      <c r="N373" t="n">
        <v>0</v>
      </c>
      <c r="O373" t="n">
        <v>0</v>
      </c>
      <c r="P373" t="n">
        <v>0</v>
      </c>
      <c r="Q373" t="n">
        <v>0</v>
      </c>
      <c r="R373" s="2" t="inlineStr"/>
    </row>
    <row r="374" ht="15" customHeight="1">
      <c r="A374" t="inlineStr">
        <is>
          <t>A 30815-2023</t>
        </is>
      </c>
      <c r="B374" s="1" t="n">
        <v>45112</v>
      </c>
      <c r="C374" s="1" t="n">
        <v>46204</v>
      </c>
      <c r="D374" t="inlineStr">
        <is>
          <t>GOTLANDS LÄN</t>
        </is>
      </c>
      <c r="E374" t="inlineStr">
        <is>
          <t>GOTLAND</t>
        </is>
      </c>
      <c r="G374" t="n">
        <v>6</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v>
      </c>
      <c r="C375" s="1" t="n">
        <v>46204</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10492-2023</t>
        </is>
      </c>
      <c r="B376" s="1" t="n">
        <v>44987</v>
      </c>
      <c r="C376" s="1" t="n">
        <v>46204</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23504-2026</t>
        </is>
      </c>
      <c r="B377" s="1" t="n">
        <v>46163</v>
      </c>
      <c r="C377" s="1" t="n">
        <v>46204</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63002-2025</t>
        </is>
      </c>
      <c r="B378" s="1" t="n">
        <v>46009</v>
      </c>
      <c r="C378" s="1" t="n">
        <v>46204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44919-2022</t>
        </is>
      </c>
      <c r="B379" s="1" t="n">
        <v>44841</v>
      </c>
      <c r="C379" s="1" t="n">
        <v>46204</v>
      </c>
      <c r="D379" t="inlineStr">
        <is>
          <t>GOTLANDS LÄN</t>
        </is>
      </c>
      <c r="E379" t="inlineStr">
        <is>
          <t>GOTLAND</t>
        </is>
      </c>
      <c r="G379" t="n">
        <v>2.2</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46204</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46204</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1291-2023</t>
        </is>
      </c>
      <c r="B382" s="1" t="n">
        <v>44936</v>
      </c>
      <c r="C382" s="1" t="n">
        <v>46204</v>
      </c>
      <c r="D382" t="inlineStr">
        <is>
          <t>GOTLANDS LÄN</t>
        </is>
      </c>
      <c r="E382" t="inlineStr">
        <is>
          <t>GOTLAND</t>
        </is>
      </c>
      <c r="G382" t="n">
        <v>7.4</v>
      </c>
      <c r="H382" t="n">
        <v>0</v>
      </c>
      <c r="I382" t="n">
        <v>0</v>
      </c>
      <c r="J382" t="n">
        <v>0</v>
      </c>
      <c r="K382" t="n">
        <v>0</v>
      </c>
      <c r="L382" t="n">
        <v>0</v>
      </c>
      <c r="M382" t="n">
        <v>0</v>
      </c>
      <c r="N382" t="n">
        <v>0</v>
      </c>
      <c r="O382" t="n">
        <v>0</v>
      </c>
      <c r="P382" t="n">
        <v>0</v>
      </c>
      <c r="Q382" t="n">
        <v>0</v>
      </c>
      <c r="R382" s="2" t="inlineStr"/>
    </row>
    <row r="383" ht="15" customHeight="1">
      <c r="A383" t="inlineStr">
        <is>
          <t>A 61078-2025</t>
        </is>
      </c>
      <c r="B383" s="1" t="n">
        <v>46000</v>
      </c>
      <c r="C383" s="1" t="n">
        <v>46204</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5891-2025</t>
        </is>
      </c>
      <c r="B384" s="1" t="n">
        <v>45695</v>
      </c>
      <c r="C384" s="1" t="n">
        <v>46204</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36-2026</t>
        </is>
      </c>
      <c r="B385" s="1" t="n">
        <v>46024</v>
      </c>
      <c r="C385" s="1" t="n">
        <v>46204</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2719-2023</t>
        </is>
      </c>
      <c r="B386" s="1" t="n">
        <v>44944</v>
      </c>
      <c r="C386" s="1" t="n">
        <v>46204</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16361-2024</t>
        </is>
      </c>
      <c r="B387" s="1" t="n">
        <v>45407</v>
      </c>
      <c r="C387" s="1" t="n">
        <v>46204</v>
      </c>
      <c r="D387" t="inlineStr">
        <is>
          <t>GOTLANDS LÄN</t>
        </is>
      </c>
      <c r="E387" t="inlineStr">
        <is>
          <t>GOTLAND</t>
        </is>
      </c>
      <c r="G387" t="n">
        <v>6</v>
      </c>
      <c r="H387" t="n">
        <v>0</v>
      </c>
      <c r="I387" t="n">
        <v>0</v>
      </c>
      <c r="J387" t="n">
        <v>0</v>
      </c>
      <c r="K387" t="n">
        <v>0</v>
      </c>
      <c r="L387" t="n">
        <v>0</v>
      </c>
      <c r="M387" t="n">
        <v>0</v>
      </c>
      <c r="N387" t="n">
        <v>0</v>
      </c>
      <c r="O387" t="n">
        <v>0</v>
      </c>
      <c r="P387" t="n">
        <v>0</v>
      </c>
      <c r="Q387" t="n">
        <v>0</v>
      </c>
      <c r="R387" s="2" t="inlineStr"/>
    </row>
    <row r="388" ht="15" customHeight="1">
      <c r="A388" t="inlineStr">
        <is>
          <t>A 2415-2026</t>
        </is>
      </c>
      <c r="B388" s="1" t="n">
        <v>46036</v>
      </c>
      <c r="C388" s="1" t="n">
        <v>46204</v>
      </c>
      <c r="D388" t="inlineStr">
        <is>
          <t>GOTLANDS LÄN</t>
        </is>
      </c>
      <c r="E388" t="inlineStr">
        <is>
          <t>GOTLAND</t>
        </is>
      </c>
      <c r="G388" t="n">
        <v>6.9</v>
      </c>
      <c r="H388" t="n">
        <v>0</v>
      </c>
      <c r="I388" t="n">
        <v>0</v>
      </c>
      <c r="J388" t="n">
        <v>0</v>
      </c>
      <c r="K388" t="n">
        <v>0</v>
      </c>
      <c r="L388" t="n">
        <v>0</v>
      </c>
      <c r="M388" t="n">
        <v>0</v>
      </c>
      <c r="N388" t="n">
        <v>0</v>
      </c>
      <c r="O388" t="n">
        <v>0</v>
      </c>
      <c r="P388" t="n">
        <v>0</v>
      </c>
      <c r="Q388" t="n">
        <v>0</v>
      </c>
      <c r="R388" s="2" t="inlineStr"/>
    </row>
    <row r="389" ht="15" customHeight="1">
      <c r="A389" t="inlineStr">
        <is>
          <t>A 43081-2022</t>
        </is>
      </c>
      <c r="B389" s="1" t="n">
        <v>44833</v>
      </c>
      <c r="C389" s="1" t="n">
        <v>46204</v>
      </c>
      <c r="D389" t="inlineStr">
        <is>
          <t>GOTLANDS LÄN</t>
        </is>
      </c>
      <c r="E389" t="inlineStr">
        <is>
          <t>GOTLAND</t>
        </is>
      </c>
      <c r="G389" t="n">
        <v>6.8</v>
      </c>
      <c r="H389" t="n">
        <v>0</v>
      </c>
      <c r="I389" t="n">
        <v>0</v>
      </c>
      <c r="J389" t="n">
        <v>0</v>
      </c>
      <c r="K389" t="n">
        <v>0</v>
      </c>
      <c r="L389" t="n">
        <v>0</v>
      </c>
      <c r="M389" t="n">
        <v>0</v>
      </c>
      <c r="N389" t="n">
        <v>0</v>
      </c>
      <c r="O389" t="n">
        <v>0</v>
      </c>
      <c r="P389" t="n">
        <v>0</v>
      </c>
      <c r="Q389" t="n">
        <v>0</v>
      </c>
      <c r="R389" s="2" t="inlineStr"/>
    </row>
    <row r="390" ht="15" customHeight="1">
      <c r="A390" t="inlineStr">
        <is>
          <t>A 18804-2026</t>
        </is>
      </c>
      <c r="B390" s="1" t="n">
        <v>46128</v>
      </c>
      <c r="C390" s="1" t="n">
        <v>46204</v>
      </c>
      <c r="D390" t="inlineStr">
        <is>
          <t>GOTLANDS LÄN</t>
        </is>
      </c>
      <c r="E390" t="inlineStr">
        <is>
          <t>GOTLAND</t>
        </is>
      </c>
      <c r="F390" t="inlineStr">
        <is>
          <t>Kyrkan</t>
        </is>
      </c>
      <c r="G390" t="n">
        <v>2.6</v>
      </c>
      <c r="H390" t="n">
        <v>0</v>
      </c>
      <c r="I390" t="n">
        <v>0</v>
      </c>
      <c r="J390" t="n">
        <v>0</v>
      </c>
      <c r="K390" t="n">
        <v>0</v>
      </c>
      <c r="L390" t="n">
        <v>0</v>
      </c>
      <c r="M390" t="n">
        <v>0</v>
      </c>
      <c r="N390" t="n">
        <v>0</v>
      </c>
      <c r="O390" t="n">
        <v>0</v>
      </c>
      <c r="P390" t="n">
        <v>0</v>
      </c>
      <c r="Q390" t="n">
        <v>0</v>
      </c>
      <c r="R390" s="2" t="inlineStr"/>
    </row>
    <row r="391" ht="15" customHeight="1">
      <c r="A391" t="inlineStr">
        <is>
          <t>A 24448-2026</t>
        </is>
      </c>
      <c r="B391" s="1" t="n">
        <v>46170</v>
      </c>
      <c r="C391" s="1" t="n">
        <v>46204</v>
      </c>
      <c r="D391" t="inlineStr">
        <is>
          <t>GOTLANDS LÄN</t>
        </is>
      </c>
      <c r="E391" t="inlineStr">
        <is>
          <t>GOTLAND</t>
        </is>
      </c>
      <c r="G391" t="n">
        <v>1.4</v>
      </c>
      <c r="H391" t="n">
        <v>0</v>
      </c>
      <c r="I391" t="n">
        <v>0</v>
      </c>
      <c r="J391" t="n">
        <v>0</v>
      </c>
      <c r="K391" t="n">
        <v>0</v>
      </c>
      <c r="L391" t="n">
        <v>0</v>
      </c>
      <c r="M391" t="n">
        <v>0</v>
      </c>
      <c r="N391" t="n">
        <v>0</v>
      </c>
      <c r="O391" t="n">
        <v>0</v>
      </c>
      <c r="P391" t="n">
        <v>0</v>
      </c>
      <c r="Q391" t="n">
        <v>0</v>
      </c>
      <c r="R391" s="2" t="inlineStr"/>
    </row>
    <row r="392" ht="15" customHeight="1">
      <c r="A392" t="inlineStr">
        <is>
          <t>A 62836-2025</t>
        </is>
      </c>
      <c r="B392" s="1" t="n">
        <v>46008</v>
      </c>
      <c r="C392" s="1" t="n">
        <v>46204</v>
      </c>
      <c r="D392" t="inlineStr">
        <is>
          <t>GOTLANDS LÄN</t>
        </is>
      </c>
      <c r="E392" t="inlineStr">
        <is>
          <t>GOTLAND</t>
        </is>
      </c>
      <c r="G392" t="n">
        <v>6.5</v>
      </c>
      <c r="H392" t="n">
        <v>0</v>
      </c>
      <c r="I392" t="n">
        <v>0</v>
      </c>
      <c r="J392" t="n">
        <v>0</v>
      </c>
      <c r="K392" t="n">
        <v>0</v>
      </c>
      <c r="L392" t="n">
        <v>0</v>
      </c>
      <c r="M392" t="n">
        <v>0</v>
      </c>
      <c r="N392" t="n">
        <v>0</v>
      </c>
      <c r="O392" t="n">
        <v>0</v>
      </c>
      <c r="P392" t="n">
        <v>0</v>
      </c>
      <c r="Q392" t="n">
        <v>0</v>
      </c>
      <c r="R392" s="2" t="inlineStr"/>
    </row>
    <row r="393" ht="15" customHeight="1">
      <c r="A393" t="inlineStr">
        <is>
          <t>A 4646-2026</t>
        </is>
      </c>
      <c r="B393" s="1" t="n">
        <v>46048</v>
      </c>
      <c r="C393" s="1" t="n">
        <v>46204</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42041-2024</t>
        </is>
      </c>
      <c r="B394" s="1" t="n">
        <v>45561</v>
      </c>
      <c r="C394" s="1" t="n">
        <v>46204</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4634-2026</t>
        </is>
      </c>
      <c r="B395" s="1" t="n">
        <v>46048</v>
      </c>
      <c r="C395" s="1" t="n">
        <v>46204</v>
      </c>
      <c r="D395" t="inlineStr">
        <is>
          <t>GOTLANDS LÄN</t>
        </is>
      </c>
      <c r="E395" t="inlineStr">
        <is>
          <t>GOTLAND</t>
        </is>
      </c>
      <c r="G395" t="n">
        <v>7.8</v>
      </c>
      <c r="H395" t="n">
        <v>0</v>
      </c>
      <c r="I395" t="n">
        <v>0</v>
      </c>
      <c r="J395" t="n">
        <v>0</v>
      </c>
      <c r="K395" t="n">
        <v>0</v>
      </c>
      <c r="L395" t="n">
        <v>0</v>
      </c>
      <c r="M395" t="n">
        <v>0</v>
      </c>
      <c r="N395" t="n">
        <v>0</v>
      </c>
      <c r="O395" t="n">
        <v>0</v>
      </c>
      <c r="P395" t="n">
        <v>0</v>
      </c>
      <c r="Q395" t="n">
        <v>0</v>
      </c>
      <c r="R395" s="2" t="inlineStr"/>
    </row>
    <row r="396" ht="15" customHeight="1">
      <c r="A396" t="inlineStr">
        <is>
          <t>A 4670-2026</t>
        </is>
      </c>
      <c r="B396" s="1" t="n">
        <v>46048</v>
      </c>
      <c r="C396" s="1" t="n">
        <v>46204</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21247-2022</t>
        </is>
      </c>
      <c r="B397" s="1" t="n">
        <v>44705</v>
      </c>
      <c r="C397" s="1" t="n">
        <v>46204</v>
      </c>
      <c r="D397" t="inlineStr">
        <is>
          <t>GOTLANDS LÄN</t>
        </is>
      </c>
      <c r="E397" t="inlineStr">
        <is>
          <t>GOTLAND</t>
        </is>
      </c>
      <c r="G397" t="n">
        <v>16.2</v>
      </c>
      <c r="H397" t="n">
        <v>0</v>
      </c>
      <c r="I397" t="n">
        <v>0</v>
      </c>
      <c r="J397" t="n">
        <v>0</v>
      </c>
      <c r="K397" t="n">
        <v>0</v>
      </c>
      <c r="L397" t="n">
        <v>0</v>
      </c>
      <c r="M397" t="n">
        <v>0</v>
      </c>
      <c r="N397" t="n">
        <v>0</v>
      </c>
      <c r="O397" t="n">
        <v>0</v>
      </c>
      <c r="P397" t="n">
        <v>0</v>
      </c>
      <c r="Q397" t="n">
        <v>0</v>
      </c>
      <c r="R397" s="2" t="inlineStr"/>
    </row>
    <row r="398" ht="15" customHeight="1">
      <c r="A398" t="inlineStr">
        <is>
          <t>A 17780-2022</t>
        </is>
      </c>
      <c r="B398" s="1" t="n">
        <v>44682</v>
      </c>
      <c r="C398" s="1" t="n">
        <v>46204</v>
      </c>
      <c r="D398" t="inlineStr">
        <is>
          <t>GOTLANDS LÄN</t>
        </is>
      </c>
      <c r="E398" t="inlineStr">
        <is>
          <t>GOTLAND</t>
        </is>
      </c>
      <c r="G398" t="n">
        <v>2.2</v>
      </c>
      <c r="H398" t="n">
        <v>0</v>
      </c>
      <c r="I398" t="n">
        <v>0</v>
      </c>
      <c r="J398" t="n">
        <v>0</v>
      </c>
      <c r="K398" t="n">
        <v>0</v>
      </c>
      <c r="L398" t="n">
        <v>0</v>
      </c>
      <c r="M398" t="n">
        <v>0</v>
      </c>
      <c r="N398" t="n">
        <v>0</v>
      </c>
      <c r="O398" t="n">
        <v>0</v>
      </c>
      <c r="P398" t="n">
        <v>0</v>
      </c>
      <c r="Q398" t="n">
        <v>0</v>
      </c>
      <c r="R398" s="2" t="inlineStr"/>
    </row>
    <row r="399" ht="15" customHeight="1">
      <c r="A399" t="inlineStr">
        <is>
          <t>A 63516-2023</t>
        </is>
      </c>
      <c r="B399" s="1" t="n">
        <v>45274</v>
      </c>
      <c r="C399" s="1" t="n">
        <v>46204</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53935-2024</t>
        </is>
      </c>
      <c r="B400" s="1" t="n">
        <v>45615</v>
      </c>
      <c r="C400" s="1" t="n">
        <v>46204</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62754-2025</t>
        </is>
      </c>
      <c r="B401" s="1" t="n">
        <v>46008</v>
      </c>
      <c r="C401" s="1" t="n">
        <v>46204</v>
      </c>
      <c r="D401" t="inlineStr">
        <is>
          <t>GOTLANDS LÄN</t>
        </is>
      </c>
      <c r="E401" t="inlineStr">
        <is>
          <t>GOTLAND</t>
        </is>
      </c>
      <c r="F401" t="inlineStr">
        <is>
          <t>Övriga Aktiebolag</t>
        </is>
      </c>
      <c r="G401" t="n">
        <v>2.9</v>
      </c>
      <c r="H401" t="n">
        <v>0</v>
      </c>
      <c r="I401" t="n">
        <v>0</v>
      </c>
      <c r="J401" t="n">
        <v>0</v>
      </c>
      <c r="K401" t="n">
        <v>0</v>
      </c>
      <c r="L401" t="n">
        <v>0</v>
      </c>
      <c r="M401" t="n">
        <v>0</v>
      </c>
      <c r="N401" t="n">
        <v>0</v>
      </c>
      <c r="O401" t="n">
        <v>0</v>
      </c>
      <c r="P401" t="n">
        <v>0</v>
      </c>
      <c r="Q401" t="n">
        <v>0</v>
      </c>
      <c r="R401" s="2" t="inlineStr"/>
    </row>
    <row r="402" ht="15" customHeight="1">
      <c r="A402" t="inlineStr">
        <is>
          <t>A 48734-2022</t>
        </is>
      </c>
      <c r="B402" s="1" t="n">
        <v>44855</v>
      </c>
      <c r="C402" s="1" t="n">
        <v>46204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23516-2023</t>
        </is>
      </c>
      <c r="B403" s="1" t="n">
        <v>45076</v>
      </c>
      <c r="C403" s="1" t="n">
        <v>46204</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43231-2023</t>
        </is>
      </c>
      <c r="B404" s="1" t="n">
        <v>45183</v>
      </c>
      <c r="C404" s="1" t="n">
        <v>46204</v>
      </c>
      <c r="D404" t="inlineStr">
        <is>
          <t>GOTLANDS LÄN</t>
        </is>
      </c>
      <c r="E404" t="inlineStr">
        <is>
          <t>GOTLAND</t>
        </is>
      </c>
      <c r="G404" t="n">
        <v>3.6</v>
      </c>
      <c r="H404" t="n">
        <v>0</v>
      </c>
      <c r="I404" t="n">
        <v>0</v>
      </c>
      <c r="J404" t="n">
        <v>0</v>
      </c>
      <c r="K404" t="n">
        <v>0</v>
      </c>
      <c r="L404" t="n">
        <v>0</v>
      </c>
      <c r="M404" t="n">
        <v>0</v>
      </c>
      <c r="N404" t="n">
        <v>0</v>
      </c>
      <c r="O404" t="n">
        <v>0</v>
      </c>
      <c r="P404" t="n">
        <v>0</v>
      </c>
      <c r="Q404" t="n">
        <v>0</v>
      </c>
      <c r="R404" s="2" t="inlineStr"/>
    </row>
    <row r="405" ht="15" customHeight="1">
      <c r="A405" t="inlineStr">
        <is>
          <t>A 26467-2025</t>
        </is>
      </c>
      <c r="B405" s="1" t="n">
        <v>45807</v>
      </c>
      <c r="C405" s="1" t="n">
        <v>46204</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64555-2023</t>
        </is>
      </c>
      <c r="B406" s="1" t="n">
        <v>45281</v>
      </c>
      <c r="C406" s="1" t="n">
        <v>46204</v>
      </c>
      <c r="D406" t="inlineStr">
        <is>
          <t>GOTLANDS LÄN</t>
        </is>
      </c>
      <c r="E406" t="inlineStr">
        <is>
          <t>GOTLAND</t>
        </is>
      </c>
      <c r="G406" t="n">
        <v>3.5</v>
      </c>
      <c r="H406" t="n">
        <v>0</v>
      </c>
      <c r="I406" t="n">
        <v>0</v>
      </c>
      <c r="J406" t="n">
        <v>0</v>
      </c>
      <c r="K406" t="n">
        <v>0</v>
      </c>
      <c r="L406" t="n">
        <v>0</v>
      </c>
      <c r="M406" t="n">
        <v>0</v>
      </c>
      <c r="N406" t="n">
        <v>0</v>
      </c>
      <c r="O406" t="n">
        <v>0</v>
      </c>
      <c r="P406" t="n">
        <v>0</v>
      </c>
      <c r="Q406" t="n">
        <v>0</v>
      </c>
      <c r="R406" s="2" t="inlineStr"/>
    </row>
    <row r="407" ht="15" customHeight="1">
      <c r="A407" t="inlineStr">
        <is>
          <t>A 457-2023</t>
        </is>
      </c>
      <c r="B407" s="1" t="n">
        <v>44929</v>
      </c>
      <c r="C407" s="1" t="n">
        <v>46204</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459-2023</t>
        </is>
      </c>
      <c r="B408" s="1" t="n">
        <v>44929</v>
      </c>
      <c r="C408" s="1" t="n">
        <v>46204</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876-2024</t>
        </is>
      </c>
      <c r="B409" s="1" t="n">
        <v>45301</v>
      </c>
      <c r="C409" s="1" t="n">
        <v>46204</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26891-2024</t>
        </is>
      </c>
      <c r="B410" s="1" t="n">
        <v>45470</v>
      </c>
      <c r="C410" s="1" t="n">
        <v>46204</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5923-2023</t>
        </is>
      </c>
      <c r="B411" s="1" t="n">
        <v>44963</v>
      </c>
      <c r="C411" s="1" t="n">
        <v>46204</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v>
      </c>
      <c r="C412" s="1" t="n">
        <v>46204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50482-2024</t>
        </is>
      </c>
      <c r="B413" s="1" t="n">
        <v>45601</v>
      </c>
      <c r="C413" s="1" t="n">
        <v>46204</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1854-2026</t>
        </is>
      </c>
      <c r="B414" s="1" t="n">
        <v>46035</v>
      </c>
      <c r="C414" s="1" t="n">
        <v>46204</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5943-2024</t>
        </is>
      </c>
      <c r="B415" s="1" t="n">
        <v>45336</v>
      </c>
      <c r="C415" s="1" t="n">
        <v>46204</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38234-2023</t>
        </is>
      </c>
      <c r="B416" s="1" t="n">
        <v>45161</v>
      </c>
      <c r="C416" s="1" t="n">
        <v>46204</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2180-2025</t>
        </is>
      </c>
      <c r="B417" s="1" t="n">
        <v>45673</v>
      </c>
      <c r="C417" s="1" t="n">
        <v>46204</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17724-2024</t>
        </is>
      </c>
      <c r="B418" s="1" t="n">
        <v>45418</v>
      </c>
      <c r="C418" s="1" t="n">
        <v>46204</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23978-2023</t>
        </is>
      </c>
      <c r="B419" s="1" t="n">
        <v>45078</v>
      </c>
      <c r="C419" s="1" t="n">
        <v>46204</v>
      </c>
      <c r="D419" t="inlineStr">
        <is>
          <t>GOTLANDS LÄN</t>
        </is>
      </c>
      <c r="E419" t="inlineStr">
        <is>
          <t>GOTLAND</t>
        </is>
      </c>
      <c r="F419" t="inlineStr">
        <is>
          <t>Naturvårdsverket</t>
        </is>
      </c>
      <c r="G419" t="n">
        <v>1.7</v>
      </c>
      <c r="H419" t="n">
        <v>0</v>
      </c>
      <c r="I419" t="n">
        <v>0</v>
      </c>
      <c r="J419" t="n">
        <v>0</v>
      </c>
      <c r="K419" t="n">
        <v>0</v>
      </c>
      <c r="L419" t="n">
        <v>0</v>
      </c>
      <c r="M419" t="n">
        <v>0</v>
      </c>
      <c r="N419" t="n">
        <v>0</v>
      </c>
      <c r="O419" t="n">
        <v>0</v>
      </c>
      <c r="P419" t="n">
        <v>0</v>
      </c>
      <c r="Q419" t="n">
        <v>0</v>
      </c>
      <c r="R419" s="2" t="inlineStr"/>
    </row>
    <row r="420" ht="15" customHeight="1">
      <c r="A420" t="inlineStr">
        <is>
          <t>A 49884-2023</t>
        </is>
      </c>
      <c r="B420" s="1" t="n">
        <v>45213</v>
      </c>
      <c r="C420" s="1" t="n">
        <v>46204</v>
      </c>
      <c r="D420" t="inlineStr">
        <is>
          <t>GOTLANDS LÄN</t>
        </is>
      </c>
      <c r="E420" t="inlineStr">
        <is>
          <t>GOTLAND</t>
        </is>
      </c>
      <c r="G420" t="n">
        <v>8.9</v>
      </c>
      <c r="H420" t="n">
        <v>0</v>
      </c>
      <c r="I420" t="n">
        <v>0</v>
      </c>
      <c r="J420" t="n">
        <v>0</v>
      </c>
      <c r="K420" t="n">
        <v>0</v>
      </c>
      <c r="L420" t="n">
        <v>0</v>
      </c>
      <c r="M420" t="n">
        <v>0</v>
      </c>
      <c r="N420" t="n">
        <v>0</v>
      </c>
      <c r="O420" t="n">
        <v>0</v>
      </c>
      <c r="P420" t="n">
        <v>0</v>
      </c>
      <c r="Q420" t="n">
        <v>0</v>
      </c>
      <c r="R420" s="2" t="inlineStr"/>
    </row>
    <row r="421" ht="15" customHeight="1">
      <c r="A421" t="inlineStr">
        <is>
          <t>A 13910-2025</t>
        </is>
      </c>
      <c r="B421" s="1" t="n">
        <v>45737</v>
      </c>
      <c r="C421" s="1" t="n">
        <v>46204</v>
      </c>
      <c r="D421" t="inlineStr">
        <is>
          <t>GOTLANDS LÄN</t>
        </is>
      </c>
      <c r="E421" t="inlineStr">
        <is>
          <t>GOTLAND</t>
        </is>
      </c>
      <c r="F421" t="inlineStr">
        <is>
          <t>Kommuner</t>
        </is>
      </c>
      <c r="G421" t="n">
        <v>3.2</v>
      </c>
      <c r="H421" t="n">
        <v>0</v>
      </c>
      <c r="I421" t="n">
        <v>0</v>
      </c>
      <c r="J421" t="n">
        <v>0</v>
      </c>
      <c r="K421" t="n">
        <v>0</v>
      </c>
      <c r="L421" t="n">
        <v>0</v>
      </c>
      <c r="M421" t="n">
        <v>0</v>
      </c>
      <c r="N421" t="n">
        <v>0</v>
      </c>
      <c r="O421" t="n">
        <v>0</v>
      </c>
      <c r="P421" t="n">
        <v>0</v>
      </c>
      <c r="Q421" t="n">
        <v>0</v>
      </c>
      <c r="R421" s="2" t="inlineStr"/>
    </row>
    <row r="422" ht="15" customHeight="1">
      <c r="A422" t="inlineStr">
        <is>
          <t>A 12846-2025</t>
        </is>
      </c>
      <c r="B422" s="1" t="n">
        <v>45733</v>
      </c>
      <c r="C422" s="1" t="n">
        <v>46204</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45112-2024</t>
        </is>
      </c>
      <c r="B423" s="1" t="n">
        <v>45575</v>
      </c>
      <c r="C423" s="1" t="n">
        <v>46204</v>
      </c>
      <c r="D423" t="inlineStr">
        <is>
          <t>GOTLANDS LÄN</t>
        </is>
      </c>
      <c r="E423" t="inlineStr">
        <is>
          <t>GOTLAND</t>
        </is>
      </c>
      <c r="G423" t="n">
        <v>5.1</v>
      </c>
      <c r="H423" t="n">
        <v>0</v>
      </c>
      <c r="I423" t="n">
        <v>0</v>
      </c>
      <c r="J423" t="n">
        <v>0</v>
      </c>
      <c r="K423" t="n">
        <v>0</v>
      </c>
      <c r="L423" t="n">
        <v>0</v>
      </c>
      <c r="M423" t="n">
        <v>0</v>
      </c>
      <c r="N423" t="n">
        <v>0</v>
      </c>
      <c r="O423" t="n">
        <v>0</v>
      </c>
      <c r="P423" t="n">
        <v>0</v>
      </c>
      <c r="Q423" t="n">
        <v>0</v>
      </c>
      <c r="R423" s="2" t="inlineStr"/>
    </row>
    <row r="424" ht="15" customHeight="1">
      <c r="A424" t="inlineStr">
        <is>
          <t>A 48843-2024</t>
        </is>
      </c>
      <c r="B424" s="1" t="n">
        <v>45593</v>
      </c>
      <c r="C424" s="1" t="n">
        <v>46204</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35537-2025</t>
        </is>
      </c>
      <c r="B425" s="1" t="n">
        <v>45856</v>
      </c>
      <c r="C425" s="1" t="n">
        <v>46204</v>
      </c>
      <c r="D425" t="inlineStr">
        <is>
          <t>GOTLANDS LÄN</t>
        </is>
      </c>
      <c r="E425" t="inlineStr">
        <is>
          <t>GOTLAND</t>
        </is>
      </c>
      <c r="G425" t="n">
        <v>16.8</v>
      </c>
      <c r="H425" t="n">
        <v>0</v>
      </c>
      <c r="I425" t="n">
        <v>0</v>
      </c>
      <c r="J425" t="n">
        <v>0</v>
      </c>
      <c r="K425" t="n">
        <v>0</v>
      </c>
      <c r="L425" t="n">
        <v>0</v>
      </c>
      <c r="M425" t="n">
        <v>0</v>
      </c>
      <c r="N425" t="n">
        <v>0</v>
      </c>
      <c r="O425" t="n">
        <v>0</v>
      </c>
      <c r="P425" t="n">
        <v>0</v>
      </c>
      <c r="Q425" t="n">
        <v>0</v>
      </c>
      <c r="R425" s="2" t="inlineStr"/>
    </row>
    <row r="426" ht="15" customHeight="1">
      <c r="A426" t="inlineStr">
        <is>
          <t>A 10653-2023</t>
        </is>
      </c>
      <c r="B426" s="1" t="n">
        <v>44988</v>
      </c>
      <c r="C426" s="1" t="n">
        <v>46204</v>
      </c>
      <c r="D426" t="inlineStr">
        <is>
          <t>GOTLANDS LÄN</t>
        </is>
      </c>
      <c r="E426" t="inlineStr">
        <is>
          <t>GOTLAND</t>
        </is>
      </c>
      <c r="F426" t="inlineStr">
        <is>
          <t>Kyrkan</t>
        </is>
      </c>
      <c r="G426" t="n">
        <v>3</v>
      </c>
      <c r="H426" t="n">
        <v>0</v>
      </c>
      <c r="I426" t="n">
        <v>0</v>
      </c>
      <c r="J426" t="n">
        <v>0</v>
      </c>
      <c r="K426" t="n">
        <v>0</v>
      </c>
      <c r="L426" t="n">
        <v>0</v>
      </c>
      <c r="M426" t="n">
        <v>0</v>
      </c>
      <c r="N426" t="n">
        <v>0</v>
      </c>
      <c r="O426" t="n">
        <v>0</v>
      </c>
      <c r="P426" t="n">
        <v>0</v>
      </c>
      <c r="Q426" t="n">
        <v>0</v>
      </c>
      <c r="R426" s="2" t="inlineStr"/>
    </row>
    <row r="427" ht="15" customHeight="1">
      <c r="A427" t="inlineStr">
        <is>
          <t>A 20225-2025</t>
        </is>
      </c>
      <c r="B427" s="1" t="n">
        <v>45772</v>
      </c>
      <c r="C427" s="1" t="n">
        <v>46204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6959-2026</t>
        </is>
      </c>
      <c r="B428" s="1" t="n">
        <v>46057</v>
      </c>
      <c r="C428" s="1" t="n">
        <v>46204</v>
      </c>
      <c r="D428" t="inlineStr">
        <is>
          <t>GOTLANDS LÄN</t>
        </is>
      </c>
      <c r="E428" t="inlineStr">
        <is>
          <t>GOTLAND</t>
        </is>
      </c>
      <c r="F428" t="inlineStr">
        <is>
          <t>Kyrkan</t>
        </is>
      </c>
      <c r="G428" t="n">
        <v>1.2</v>
      </c>
      <c r="H428" t="n">
        <v>0</v>
      </c>
      <c r="I428" t="n">
        <v>0</v>
      </c>
      <c r="J428" t="n">
        <v>0</v>
      </c>
      <c r="K428" t="n">
        <v>0</v>
      </c>
      <c r="L428" t="n">
        <v>0</v>
      </c>
      <c r="M428" t="n">
        <v>0</v>
      </c>
      <c r="N428" t="n">
        <v>0</v>
      </c>
      <c r="O428" t="n">
        <v>0</v>
      </c>
      <c r="P428" t="n">
        <v>0</v>
      </c>
      <c r="Q428" t="n">
        <v>0</v>
      </c>
      <c r="R428" s="2" t="inlineStr"/>
    </row>
    <row r="429" ht="15" customHeight="1">
      <c r="A429" t="inlineStr">
        <is>
          <t>A 35512-2023</t>
        </is>
      </c>
      <c r="B429" s="1" t="n">
        <v>45147</v>
      </c>
      <c r="C429" s="1" t="n">
        <v>46204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29207-2025</t>
        </is>
      </c>
      <c r="B430" s="1" t="n">
        <v>45823</v>
      </c>
      <c r="C430" s="1" t="n">
        <v>46204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11874-2024</t>
        </is>
      </c>
      <c r="B431" s="1" t="n">
        <v>45376</v>
      </c>
      <c r="C431" s="1" t="n">
        <v>46204</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64831-2023</t>
        </is>
      </c>
      <c r="B432" s="1" t="n">
        <v>45282</v>
      </c>
      <c r="C432" s="1" t="n">
        <v>46204</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32379-2025</t>
        </is>
      </c>
      <c r="B433" s="1" t="n">
        <v>45837</v>
      </c>
      <c r="C433" s="1" t="n">
        <v>46204</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7638-2025</t>
        </is>
      </c>
      <c r="B434" s="1" t="n">
        <v>45705</v>
      </c>
      <c r="C434" s="1" t="n">
        <v>46204</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4377-2023</t>
        </is>
      </c>
      <c r="B435" s="1" t="n">
        <v>44955</v>
      </c>
      <c r="C435" s="1" t="n">
        <v>46204</v>
      </c>
      <c r="D435" t="inlineStr">
        <is>
          <t>GOTLANDS LÄN</t>
        </is>
      </c>
      <c r="E435" t="inlineStr">
        <is>
          <t>GOTLAND</t>
        </is>
      </c>
      <c r="F435" t="inlineStr">
        <is>
          <t>Kyrkan</t>
        </is>
      </c>
      <c r="G435" t="n">
        <v>0.6</v>
      </c>
      <c r="H435" t="n">
        <v>0</v>
      </c>
      <c r="I435" t="n">
        <v>0</v>
      </c>
      <c r="J435" t="n">
        <v>0</v>
      </c>
      <c r="K435" t="n">
        <v>0</v>
      </c>
      <c r="L435" t="n">
        <v>0</v>
      </c>
      <c r="M435" t="n">
        <v>0</v>
      </c>
      <c r="N435" t="n">
        <v>0</v>
      </c>
      <c r="O435" t="n">
        <v>0</v>
      </c>
      <c r="P435" t="n">
        <v>0</v>
      </c>
      <c r="Q435" t="n">
        <v>0</v>
      </c>
      <c r="R435" s="2" t="inlineStr"/>
    </row>
    <row r="436" ht="15" customHeight="1">
      <c r="A436" t="inlineStr">
        <is>
          <t>A 38165-2023</t>
        </is>
      </c>
      <c r="B436" s="1" t="n">
        <v>45161</v>
      </c>
      <c r="C436" s="1" t="n">
        <v>46204</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43901-2023</t>
        </is>
      </c>
      <c r="B437" s="1" t="n">
        <v>45187</v>
      </c>
      <c r="C437" s="1" t="n">
        <v>46204</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17532-2024</t>
        </is>
      </c>
      <c r="B438" s="1" t="n">
        <v>45415</v>
      </c>
      <c r="C438" s="1" t="n">
        <v>46204</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46396-2023</t>
        </is>
      </c>
      <c r="B439" s="1" t="n">
        <v>45197</v>
      </c>
      <c r="C439" s="1" t="n">
        <v>46204</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58132-2023</t>
        </is>
      </c>
      <c r="B440" s="1" t="n">
        <v>45250</v>
      </c>
      <c r="C440" s="1" t="n">
        <v>46204</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22899-2023</t>
        </is>
      </c>
      <c r="B441" s="1" t="n">
        <v>45072</v>
      </c>
      <c r="C441" s="1" t="n">
        <v>46204</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28285-2024</t>
        </is>
      </c>
      <c r="B442" s="1" t="n">
        <v>45477</v>
      </c>
      <c r="C442" s="1" t="n">
        <v>46204</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51963-2024</t>
        </is>
      </c>
      <c r="B443" s="1" t="n">
        <v>45607</v>
      </c>
      <c r="C443" s="1" t="n">
        <v>46204</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1734-2025</t>
        </is>
      </c>
      <c r="B444" s="1" t="n">
        <v>45671</v>
      </c>
      <c r="C444" s="1" t="n">
        <v>46204</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30365-2024</t>
        </is>
      </c>
      <c r="B445" s="1" t="n">
        <v>45491</v>
      </c>
      <c r="C445" s="1" t="n">
        <v>46204</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2674-2023</t>
        </is>
      </c>
      <c r="B446" s="1" t="n">
        <v>44944</v>
      </c>
      <c r="C446" s="1" t="n">
        <v>46204</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27164-2026</t>
        </is>
      </c>
      <c r="B447" s="1" t="n">
        <v>46188</v>
      </c>
      <c r="C447" s="1" t="n">
        <v>46204</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10655-2023</t>
        </is>
      </c>
      <c r="B448" s="1" t="n">
        <v>44988</v>
      </c>
      <c r="C448" s="1" t="n">
        <v>46204</v>
      </c>
      <c r="D448" t="inlineStr">
        <is>
          <t>GOTLANDS LÄN</t>
        </is>
      </c>
      <c r="E448" t="inlineStr">
        <is>
          <t>GOTLAND</t>
        </is>
      </c>
      <c r="F448" t="inlineStr">
        <is>
          <t>Kyrkan</t>
        </is>
      </c>
      <c r="G448" t="n">
        <v>2</v>
      </c>
      <c r="H448" t="n">
        <v>0</v>
      </c>
      <c r="I448" t="n">
        <v>0</v>
      </c>
      <c r="J448" t="n">
        <v>0</v>
      </c>
      <c r="K448" t="n">
        <v>0</v>
      </c>
      <c r="L448" t="n">
        <v>0</v>
      </c>
      <c r="M448" t="n">
        <v>0</v>
      </c>
      <c r="N448" t="n">
        <v>0</v>
      </c>
      <c r="O448" t="n">
        <v>0</v>
      </c>
      <c r="P448" t="n">
        <v>0</v>
      </c>
      <c r="Q448" t="n">
        <v>0</v>
      </c>
      <c r="R448" s="2" t="inlineStr"/>
    </row>
    <row r="449" ht="15" customHeight="1">
      <c r="A449" t="inlineStr">
        <is>
          <t>A 27341-2026</t>
        </is>
      </c>
      <c r="B449" s="1" t="n">
        <v>46188</v>
      </c>
      <c r="C449" s="1" t="n">
        <v>46204</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27346-2026</t>
        </is>
      </c>
      <c r="B450" s="1" t="n">
        <v>46188</v>
      </c>
      <c r="C450" s="1" t="n">
        <v>46204</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27354-2026</t>
        </is>
      </c>
      <c r="B451" s="1" t="n">
        <v>46184</v>
      </c>
      <c r="C451" s="1" t="n">
        <v>46204</v>
      </c>
      <c r="D451" t="inlineStr">
        <is>
          <t>GOTLANDS LÄN</t>
        </is>
      </c>
      <c r="E451" t="inlineStr">
        <is>
          <t>GOTLAND</t>
        </is>
      </c>
      <c r="G451" t="n">
        <v>0.9</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46204</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8484-2025</t>
        </is>
      </c>
      <c r="B453" s="1" t="n">
        <v>45709</v>
      </c>
      <c r="C453" s="1" t="n">
        <v>46204</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50744-2024</t>
        </is>
      </c>
      <c r="B454" s="1" t="n">
        <v>45602</v>
      </c>
      <c r="C454" s="1" t="n">
        <v>46204</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45244-2024</t>
        </is>
      </c>
      <c r="B455" s="1" t="n">
        <v>45576</v>
      </c>
      <c r="C455" s="1" t="n">
        <v>46204</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38787-2023</t>
        </is>
      </c>
      <c r="B456" s="1" t="n">
        <v>45163</v>
      </c>
      <c r="C456" s="1" t="n">
        <v>46204</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2714-2023</t>
        </is>
      </c>
      <c r="B457" s="1" t="n">
        <v>44944</v>
      </c>
      <c r="C457" s="1" t="n">
        <v>46204</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22897-2023</t>
        </is>
      </c>
      <c r="B458" s="1" t="n">
        <v>45072</v>
      </c>
      <c r="C458" s="1" t="n">
        <v>46204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1681-2023</t>
        </is>
      </c>
      <c r="B459" s="1" t="n">
        <v>44938</v>
      </c>
      <c r="C459" s="1" t="n">
        <v>46204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28012-2026</t>
        </is>
      </c>
      <c r="B460" s="1" t="n">
        <v>46195</v>
      </c>
      <c r="C460" s="1" t="n">
        <v>46204</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42338-2023</t>
        </is>
      </c>
      <c r="B461" s="1" t="n">
        <v>45180</v>
      </c>
      <c r="C461" s="1" t="n">
        <v>46204</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18918-2025</t>
        </is>
      </c>
      <c r="B462" s="1" t="n">
        <v>45764</v>
      </c>
      <c r="C462" s="1" t="n">
        <v>46204</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11013-2024</t>
        </is>
      </c>
      <c r="B463" s="1" t="n">
        <v>45370</v>
      </c>
      <c r="C463" s="1" t="n">
        <v>46204</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45084-2024</t>
        </is>
      </c>
      <c r="B464" s="1" t="n">
        <v>45575</v>
      </c>
      <c r="C464" s="1" t="n">
        <v>46204</v>
      </c>
      <c r="D464" t="inlineStr">
        <is>
          <t>GOTLANDS LÄN</t>
        </is>
      </c>
      <c r="E464" t="inlineStr">
        <is>
          <t>GOTLAND</t>
        </is>
      </c>
      <c r="G464" t="n">
        <v>6.8</v>
      </c>
      <c r="H464" t="n">
        <v>0</v>
      </c>
      <c r="I464" t="n">
        <v>0</v>
      </c>
      <c r="J464" t="n">
        <v>0</v>
      </c>
      <c r="K464" t="n">
        <v>0</v>
      </c>
      <c r="L464" t="n">
        <v>0</v>
      </c>
      <c r="M464" t="n">
        <v>0</v>
      </c>
      <c r="N464" t="n">
        <v>0</v>
      </c>
      <c r="O464" t="n">
        <v>0</v>
      </c>
      <c r="P464" t="n">
        <v>0</v>
      </c>
      <c r="Q464" t="n">
        <v>0</v>
      </c>
      <c r="R464" s="2" t="inlineStr"/>
    </row>
    <row r="465" ht="15" customHeight="1">
      <c r="A465" t="inlineStr">
        <is>
          <t>A 22275-2026</t>
        </is>
      </c>
      <c r="B465" s="1" t="n">
        <v>46154</v>
      </c>
      <c r="C465" s="1" t="n">
        <v>46204</v>
      </c>
      <c r="D465" t="inlineStr">
        <is>
          <t>GOTLANDS LÄN</t>
        </is>
      </c>
      <c r="E465" t="inlineStr">
        <is>
          <t>GOTLAND</t>
        </is>
      </c>
      <c r="G465" t="n">
        <v>3.7</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46204</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5386-2023</t>
        </is>
      </c>
      <c r="B467" s="1" t="n">
        <v>44959</v>
      </c>
      <c r="C467" s="1" t="n">
        <v>46204</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22348-2026</t>
        </is>
      </c>
      <c r="B468" s="1" t="n">
        <v>46154</v>
      </c>
      <c r="C468" s="1" t="n">
        <v>46204</v>
      </c>
      <c r="D468" t="inlineStr">
        <is>
          <t>GOTLANDS LÄN</t>
        </is>
      </c>
      <c r="E468" t="inlineStr">
        <is>
          <t>GOTLAND</t>
        </is>
      </c>
      <c r="G468" t="n">
        <v>3.3</v>
      </c>
      <c r="H468" t="n">
        <v>0</v>
      </c>
      <c r="I468" t="n">
        <v>0</v>
      </c>
      <c r="J468" t="n">
        <v>0</v>
      </c>
      <c r="K468" t="n">
        <v>0</v>
      </c>
      <c r="L468" t="n">
        <v>0</v>
      </c>
      <c r="M468" t="n">
        <v>0</v>
      </c>
      <c r="N468" t="n">
        <v>0</v>
      </c>
      <c r="O468" t="n">
        <v>0</v>
      </c>
      <c r="P468" t="n">
        <v>0</v>
      </c>
      <c r="Q468" t="n">
        <v>0</v>
      </c>
      <c r="R468" s="2" t="inlineStr"/>
    </row>
    <row r="469" ht="15" customHeight="1">
      <c r="A469" t="inlineStr">
        <is>
          <t>A 22351-2026</t>
        </is>
      </c>
      <c r="B469" s="1" t="n">
        <v>46154</v>
      </c>
      <c r="C469" s="1" t="n">
        <v>46204</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22281-2026</t>
        </is>
      </c>
      <c r="B470" s="1" t="n">
        <v>46154</v>
      </c>
      <c r="C470" s="1" t="n">
        <v>46204</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5884-2025</t>
        </is>
      </c>
      <c r="B471" s="1" t="n">
        <v>45695</v>
      </c>
      <c r="C471" s="1" t="n">
        <v>46204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5897-2025</t>
        </is>
      </c>
      <c r="B472" s="1" t="n">
        <v>45695</v>
      </c>
      <c r="C472" s="1" t="n">
        <v>46204</v>
      </c>
      <c r="D472" t="inlineStr">
        <is>
          <t>GOTLANDS LÄN</t>
        </is>
      </c>
      <c r="E472" t="inlineStr">
        <is>
          <t>GOTLAND</t>
        </is>
      </c>
      <c r="G472" t="n">
        <v>3.7</v>
      </c>
      <c r="H472" t="n">
        <v>0</v>
      </c>
      <c r="I472" t="n">
        <v>0</v>
      </c>
      <c r="J472" t="n">
        <v>0</v>
      </c>
      <c r="K472" t="n">
        <v>0</v>
      </c>
      <c r="L472" t="n">
        <v>0</v>
      </c>
      <c r="M472" t="n">
        <v>0</v>
      </c>
      <c r="N472" t="n">
        <v>0</v>
      </c>
      <c r="O472" t="n">
        <v>0</v>
      </c>
      <c r="P472" t="n">
        <v>0</v>
      </c>
      <c r="Q472" t="n">
        <v>0</v>
      </c>
      <c r="R472" s="2" t="inlineStr"/>
    </row>
    <row r="473" ht="15" customHeight="1">
      <c r="A473" t="inlineStr">
        <is>
          <t>A 28843-2026</t>
        </is>
      </c>
      <c r="B473" s="1" t="n">
        <v>46198</v>
      </c>
      <c r="C473" s="1" t="n">
        <v>46204</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60086-2022</t>
        </is>
      </c>
      <c r="B474" s="1" t="n">
        <v>44909</v>
      </c>
      <c r="C474" s="1" t="n">
        <v>46204</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22704-2023</t>
        </is>
      </c>
      <c r="B475" s="1" t="n">
        <v>45071</v>
      </c>
      <c r="C475" s="1" t="n">
        <v>46204</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28839-2026</t>
        </is>
      </c>
      <c r="B476" s="1" t="n">
        <v>46198</v>
      </c>
      <c r="C476" s="1" t="n">
        <v>46204</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46204</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9887-2025</t>
        </is>
      </c>
      <c r="B478" s="1" t="n">
        <v>45716</v>
      </c>
      <c r="C478" s="1" t="n">
        <v>46204</v>
      </c>
      <c r="D478" t="inlineStr">
        <is>
          <t>GOTLANDS LÄN</t>
        </is>
      </c>
      <c r="E478" t="inlineStr">
        <is>
          <t>GOTLAND</t>
        </is>
      </c>
      <c r="G478" t="n">
        <v>7.5</v>
      </c>
      <c r="H478" t="n">
        <v>0</v>
      </c>
      <c r="I478" t="n">
        <v>0</v>
      </c>
      <c r="J478" t="n">
        <v>0</v>
      </c>
      <c r="K478" t="n">
        <v>0</v>
      </c>
      <c r="L478" t="n">
        <v>0</v>
      </c>
      <c r="M478" t="n">
        <v>0</v>
      </c>
      <c r="N478" t="n">
        <v>0</v>
      </c>
      <c r="O478" t="n">
        <v>0</v>
      </c>
      <c r="P478" t="n">
        <v>0</v>
      </c>
      <c r="Q478" t="n">
        <v>0</v>
      </c>
      <c r="R478" s="2" t="inlineStr"/>
    </row>
    <row r="479" ht="15" customHeight="1">
      <c r="A479" t="inlineStr">
        <is>
          <t>A 12210-2024</t>
        </is>
      </c>
      <c r="B479" s="1" t="n">
        <v>45378</v>
      </c>
      <c r="C479" s="1" t="n">
        <v>46204</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46204</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22887-2026</t>
        </is>
      </c>
      <c r="B481" s="1" t="n">
        <v>46160</v>
      </c>
      <c r="C481" s="1" t="n">
        <v>46204</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23103-2026</t>
        </is>
      </c>
      <c r="B482" s="1" t="n">
        <v>46161</v>
      </c>
      <c r="C482" s="1" t="n">
        <v>46204</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31802-2024</t>
        </is>
      </c>
      <c r="B483" s="1" t="n">
        <v>45509</v>
      </c>
      <c r="C483" s="1" t="n">
        <v>46204</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20993-2023</t>
        </is>
      </c>
      <c r="B484" s="1" t="n">
        <v>45056</v>
      </c>
      <c r="C484" s="1" t="n">
        <v>46204</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29370-2026</t>
        </is>
      </c>
      <c r="B485" s="1" t="n">
        <v>46203</v>
      </c>
      <c r="C485" s="1" t="n">
        <v>46204</v>
      </c>
      <c r="D485" t="inlineStr">
        <is>
          <t>GOTLANDS LÄN</t>
        </is>
      </c>
      <c r="E485" t="inlineStr">
        <is>
          <t>GOTLAND</t>
        </is>
      </c>
      <c r="G485" t="n">
        <v>1.9</v>
      </c>
      <c r="H485" t="n">
        <v>0</v>
      </c>
      <c r="I485" t="n">
        <v>0</v>
      </c>
      <c r="J485" t="n">
        <v>0</v>
      </c>
      <c r="K485" t="n">
        <v>0</v>
      </c>
      <c r="L485" t="n">
        <v>0</v>
      </c>
      <c r="M485" t="n">
        <v>0</v>
      </c>
      <c r="N485" t="n">
        <v>0</v>
      </c>
      <c r="O485" t="n">
        <v>0</v>
      </c>
      <c r="P485" t="n">
        <v>0</v>
      </c>
      <c r="Q485" t="n">
        <v>0</v>
      </c>
      <c r="R485" s="2" t="inlineStr"/>
    </row>
    <row r="486" ht="15" customHeight="1">
      <c r="A486" t="inlineStr">
        <is>
          <t>A 4420-2025</t>
        </is>
      </c>
      <c r="B486" s="1" t="n">
        <v>45686</v>
      </c>
      <c r="C486" s="1" t="n">
        <v>46204</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35096-2025</t>
        </is>
      </c>
      <c r="B487" s="1" t="n">
        <v>45852</v>
      </c>
      <c r="C487" s="1" t="n">
        <v>46204</v>
      </c>
      <c r="D487" t="inlineStr">
        <is>
          <t>GOTLANDS LÄN</t>
        </is>
      </c>
      <c r="E487" t="inlineStr">
        <is>
          <t>GOTLAND</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14427-2024</t>
        </is>
      </c>
      <c r="B488" s="1" t="n">
        <v>45394</v>
      </c>
      <c r="C488" s="1" t="n">
        <v>46204</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49315-2024</t>
        </is>
      </c>
      <c r="B489" s="1" t="n">
        <v>45595</v>
      </c>
      <c r="C489" s="1" t="n">
        <v>46204</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46204</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64969-2023</t>
        </is>
      </c>
      <c r="B491" s="1" t="n">
        <v>45284</v>
      </c>
      <c r="C491" s="1" t="n">
        <v>46204</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18223-2025</t>
        </is>
      </c>
      <c r="B492" s="1" t="n">
        <v>45761</v>
      </c>
      <c r="C492" s="1" t="n">
        <v>46204</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46949-2024</t>
        </is>
      </c>
      <c r="B493" s="1" t="n">
        <v>45585</v>
      </c>
      <c r="C493" s="1" t="n">
        <v>46204</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46204</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46204</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46389-2021</t>
        </is>
      </c>
      <c r="B496" s="1" t="n">
        <v>44443</v>
      </c>
      <c r="C496" s="1" t="n">
        <v>46204</v>
      </c>
      <c r="D496" t="inlineStr">
        <is>
          <t>GOTLANDS LÄN</t>
        </is>
      </c>
      <c r="E496" t="inlineStr">
        <is>
          <t>GOTLAND</t>
        </is>
      </c>
      <c r="F496" t="inlineStr">
        <is>
          <t>Kyrkan</t>
        </is>
      </c>
      <c r="G496" t="n">
        <v>2.1</v>
      </c>
      <c r="H496" t="n">
        <v>0</v>
      </c>
      <c r="I496" t="n">
        <v>0</v>
      </c>
      <c r="J496" t="n">
        <v>0</v>
      </c>
      <c r="K496" t="n">
        <v>0</v>
      </c>
      <c r="L496" t="n">
        <v>0</v>
      </c>
      <c r="M496" t="n">
        <v>0</v>
      </c>
      <c r="N496" t="n">
        <v>0</v>
      </c>
      <c r="O496" t="n">
        <v>0</v>
      </c>
      <c r="P496" t="n">
        <v>0</v>
      </c>
      <c r="Q496" t="n">
        <v>0</v>
      </c>
      <c r="R496" s="2" t="inlineStr"/>
    </row>
    <row r="497" ht="15" customHeight="1">
      <c r="A497" t="inlineStr">
        <is>
          <t>A 44949-2023</t>
        </is>
      </c>
      <c r="B497" s="1" t="n">
        <v>45190</v>
      </c>
      <c r="C497" s="1" t="n">
        <v>46204</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17682-2024</t>
        </is>
      </c>
      <c r="B498" s="1" t="n">
        <v>45418</v>
      </c>
      <c r="C498" s="1" t="n">
        <v>46204</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61897-2024</t>
        </is>
      </c>
      <c r="B499" s="1" t="n">
        <v>45652</v>
      </c>
      <c r="C499" s="1" t="n">
        <v>46204</v>
      </c>
      <c r="D499" t="inlineStr">
        <is>
          <t>GOTLANDS LÄN</t>
        </is>
      </c>
      <c r="E499" t="inlineStr">
        <is>
          <t>GOTLAND</t>
        </is>
      </c>
      <c r="G499" t="n">
        <v>6.4</v>
      </c>
      <c r="H499" t="n">
        <v>0</v>
      </c>
      <c r="I499" t="n">
        <v>0</v>
      </c>
      <c r="J499" t="n">
        <v>0</v>
      </c>
      <c r="K499" t="n">
        <v>0</v>
      </c>
      <c r="L499" t="n">
        <v>0</v>
      </c>
      <c r="M499" t="n">
        <v>0</v>
      </c>
      <c r="N499" t="n">
        <v>0</v>
      </c>
      <c r="O499" t="n">
        <v>0</v>
      </c>
      <c r="P499" t="n">
        <v>0</v>
      </c>
      <c r="Q499" t="n">
        <v>0</v>
      </c>
      <c r="R499" s="2" t="inlineStr"/>
    </row>
    <row r="500" ht="15" customHeight="1">
      <c r="A500" t="inlineStr">
        <is>
          <t>A 12032-2025</t>
        </is>
      </c>
      <c r="B500" s="1" t="n">
        <v>45728</v>
      </c>
      <c r="C500" s="1" t="n">
        <v>46204</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21164-2024</t>
        </is>
      </c>
      <c r="B501" s="1" t="n">
        <v>45440</v>
      </c>
      <c r="C501" s="1" t="n">
        <v>46204</v>
      </c>
      <c r="D501" t="inlineStr">
        <is>
          <t>GOTLANDS LÄN</t>
        </is>
      </c>
      <c r="E501" t="inlineStr">
        <is>
          <t>GOTLAND</t>
        </is>
      </c>
      <c r="G501" t="n">
        <v>6.3</v>
      </c>
      <c r="H501" t="n">
        <v>0</v>
      </c>
      <c r="I501" t="n">
        <v>0</v>
      </c>
      <c r="J501" t="n">
        <v>0</v>
      </c>
      <c r="K501" t="n">
        <v>0</v>
      </c>
      <c r="L501" t="n">
        <v>0</v>
      </c>
      <c r="M501" t="n">
        <v>0</v>
      </c>
      <c r="N501" t="n">
        <v>0</v>
      </c>
      <c r="O501" t="n">
        <v>0</v>
      </c>
      <c r="P501" t="n">
        <v>0</v>
      </c>
      <c r="Q501" t="n">
        <v>0</v>
      </c>
      <c r="R501" s="2" t="inlineStr"/>
    </row>
    <row r="502" ht="15" customHeight="1">
      <c r="A502" t="inlineStr">
        <is>
          <t>A 17541-2024</t>
        </is>
      </c>
      <c r="B502" s="1" t="n">
        <v>45415</v>
      </c>
      <c r="C502" s="1" t="n">
        <v>46204</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21389-2025</t>
        </is>
      </c>
      <c r="B503" s="1" t="n">
        <v>45782</v>
      </c>
      <c r="C503" s="1" t="n">
        <v>46204</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21420-2024</t>
        </is>
      </c>
      <c r="B504" s="1" t="n">
        <v>45441</v>
      </c>
      <c r="C504" s="1" t="n">
        <v>46204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10656-2024</t>
        </is>
      </c>
      <c r="B505" s="1" t="n">
        <v>45368</v>
      </c>
      <c r="C505" s="1" t="n">
        <v>46204</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57356-2023</t>
        </is>
      </c>
      <c r="B506" s="1" t="n">
        <v>45240</v>
      </c>
      <c r="C506" s="1" t="n">
        <v>46204</v>
      </c>
      <c r="D506" t="inlineStr">
        <is>
          <t>GOTLANDS LÄN</t>
        </is>
      </c>
      <c r="E506" t="inlineStr">
        <is>
          <t>GOTLAND</t>
        </is>
      </c>
      <c r="G506" t="n">
        <v>6.4</v>
      </c>
      <c r="H506" t="n">
        <v>0</v>
      </c>
      <c r="I506" t="n">
        <v>0</v>
      </c>
      <c r="J506" t="n">
        <v>0</v>
      </c>
      <c r="K506" t="n">
        <v>0</v>
      </c>
      <c r="L506" t="n">
        <v>0</v>
      </c>
      <c r="M506" t="n">
        <v>0</v>
      </c>
      <c r="N506" t="n">
        <v>0</v>
      </c>
      <c r="O506" t="n">
        <v>0</v>
      </c>
      <c r="P506" t="n">
        <v>0</v>
      </c>
      <c r="Q506" t="n">
        <v>0</v>
      </c>
      <c r="R506" s="2" t="inlineStr"/>
    </row>
    <row r="507" ht="15" customHeight="1">
      <c r="A507" t="inlineStr">
        <is>
          <t>A 28506-2023</t>
        </is>
      </c>
      <c r="B507" s="1" t="n">
        <v>45103</v>
      </c>
      <c r="C507" s="1" t="n">
        <v>46204</v>
      </c>
      <c r="D507" t="inlineStr">
        <is>
          <t>GOTLANDS LÄN</t>
        </is>
      </c>
      <c r="E507" t="inlineStr">
        <is>
          <t>GOTLAND</t>
        </is>
      </c>
      <c r="G507" t="n">
        <v>3.2</v>
      </c>
      <c r="H507" t="n">
        <v>0</v>
      </c>
      <c r="I507" t="n">
        <v>0</v>
      </c>
      <c r="J507" t="n">
        <v>0</v>
      </c>
      <c r="K507" t="n">
        <v>0</v>
      </c>
      <c r="L507" t="n">
        <v>0</v>
      </c>
      <c r="M507" t="n">
        <v>0</v>
      </c>
      <c r="N507" t="n">
        <v>0</v>
      </c>
      <c r="O507" t="n">
        <v>0</v>
      </c>
      <c r="P507" t="n">
        <v>0</v>
      </c>
      <c r="Q507" t="n">
        <v>0</v>
      </c>
      <c r="R507" s="2" t="inlineStr"/>
    </row>
    <row r="508" ht="15" customHeight="1">
      <c r="A508" t="inlineStr">
        <is>
          <t>A 23188-2025</t>
        </is>
      </c>
      <c r="B508" s="1" t="n">
        <v>45791</v>
      </c>
      <c r="C508" s="1" t="n">
        <v>46204</v>
      </c>
      <c r="D508" t="inlineStr">
        <is>
          <t>GOTLANDS LÄN</t>
        </is>
      </c>
      <c r="E508" t="inlineStr">
        <is>
          <t>GOTLAND</t>
        </is>
      </c>
      <c r="G508" t="n">
        <v>6.2</v>
      </c>
      <c r="H508" t="n">
        <v>0</v>
      </c>
      <c r="I508" t="n">
        <v>0</v>
      </c>
      <c r="J508" t="n">
        <v>0</v>
      </c>
      <c r="K508" t="n">
        <v>0</v>
      </c>
      <c r="L508" t="n">
        <v>0</v>
      </c>
      <c r="M508" t="n">
        <v>0</v>
      </c>
      <c r="N508" t="n">
        <v>0</v>
      </c>
      <c r="O508" t="n">
        <v>0</v>
      </c>
      <c r="P508" t="n">
        <v>0</v>
      </c>
      <c r="Q508" t="n">
        <v>0</v>
      </c>
      <c r="R508" s="2" t="inlineStr"/>
    </row>
    <row r="509" ht="15" customHeight="1">
      <c r="A509" t="inlineStr">
        <is>
          <t>A 23698-2025</t>
        </is>
      </c>
      <c r="B509" s="1" t="n">
        <v>45793</v>
      </c>
      <c r="C509" s="1" t="n">
        <v>46204</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15073-2025</t>
        </is>
      </c>
      <c r="B510" s="1" t="n">
        <v>45743</v>
      </c>
      <c r="C510" s="1" t="n">
        <v>46204</v>
      </c>
      <c r="D510" t="inlineStr">
        <is>
          <t>GOTLANDS LÄN</t>
        </is>
      </c>
      <c r="E510" t="inlineStr">
        <is>
          <t>GOTLAND</t>
        </is>
      </c>
      <c r="G510" t="n">
        <v>12.1</v>
      </c>
      <c r="H510" t="n">
        <v>0</v>
      </c>
      <c r="I510" t="n">
        <v>0</v>
      </c>
      <c r="J510" t="n">
        <v>0</v>
      </c>
      <c r="K510" t="n">
        <v>0</v>
      </c>
      <c r="L510" t="n">
        <v>0</v>
      </c>
      <c r="M510" t="n">
        <v>0</v>
      </c>
      <c r="N510" t="n">
        <v>0</v>
      </c>
      <c r="O510" t="n">
        <v>0</v>
      </c>
      <c r="P510" t="n">
        <v>0</v>
      </c>
      <c r="Q510" t="n">
        <v>0</v>
      </c>
      <c r="R510" s="2" t="inlineStr"/>
    </row>
    <row r="511" ht="15" customHeight="1">
      <c r="A511" t="inlineStr">
        <is>
          <t>A 6749-2025</t>
        </is>
      </c>
      <c r="B511" s="1" t="n">
        <v>45700</v>
      </c>
      <c r="C511" s="1" t="n">
        <v>46204</v>
      </c>
      <c r="D511" t="inlineStr">
        <is>
          <t>GOTLANDS LÄN</t>
        </is>
      </c>
      <c r="E511" t="inlineStr">
        <is>
          <t>GOTLAND</t>
        </is>
      </c>
      <c r="G511" t="n">
        <v>4.5</v>
      </c>
      <c r="H511" t="n">
        <v>0</v>
      </c>
      <c r="I511" t="n">
        <v>0</v>
      </c>
      <c r="J511" t="n">
        <v>0</v>
      </c>
      <c r="K511" t="n">
        <v>0</v>
      </c>
      <c r="L511" t="n">
        <v>0</v>
      </c>
      <c r="M511" t="n">
        <v>0</v>
      </c>
      <c r="N511" t="n">
        <v>0</v>
      </c>
      <c r="O511" t="n">
        <v>0</v>
      </c>
      <c r="P511" t="n">
        <v>0</v>
      </c>
      <c r="Q511" t="n">
        <v>0</v>
      </c>
      <c r="R511" s="2" t="inlineStr"/>
    </row>
    <row r="512" ht="15" customHeight="1">
      <c r="A512" t="inlineStr">
        <is>
          <t>A 5462-2025</t>
        </is>
      </c>
      <c r="B512" s="1" t="n">
        <v>45693</v>
      </c>
      <c r="C512" s="1" t="n">
        <v>46204</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7850-2025</t>
        </is>
      </c>
      <c r="B513" s="1" t="n">
        <v>45706</v>
      </c>
      <c r="C513" s="1" t="n">
        <v>46204</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8444-2025</t>
        </is>
      </c>
      <c r="B514" s="1" t="n">
        <v>45709</v>
      </c>
      <c r="C514" s="1" t="n">
        <v>46204</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c r="A515" t="inlineStr">
        <is>
          <t>A 29196-2025</t>
        </is>
      </c>
      <c r="B515" s="1" t="n">
        <v>45822</v>
      </c>
      <c r="C515" s="1" t="n">
        <v>46204</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2026-07-01T00:58:47Z</dcterms:created>
  <dcterms:modified xmlns:dcterms="http://purl.org/dc/terms/" xmlns:xsi="http://www.w3.org/2001/XMLSchema-instance" xsi:type="dcterms:W3CDTF">2026-07-01T00:58:47Z</dcterms:modified>
</cp:coreProperties>
</file>