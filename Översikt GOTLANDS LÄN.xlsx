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46249</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46249</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46249</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46249</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46249</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46249</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46249</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46249</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46249</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46249</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46249</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46249</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46249</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46249</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46249</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46249</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46249</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46249</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46249</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46249</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46249</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46249</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46249</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46249</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46249</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46249</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46249</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46249</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46249</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46249</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46249</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46249</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46249</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46249</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46249</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46249</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46249</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46249</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46249</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46249</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46249</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46249</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46249</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46249</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46249</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6052-2024</t>
        </is>
      </c>
      <c r="B47" t="inlineStr">
        <is>
          <t>avverkningsanmälan</t>
        </is>
      </c>
      <c r="C47" t="inlineStr">
        <is>
          <t>Föryngringsavverkning</t>
        </is>
      </c>
      <c r="D47" s="1" t="n">
        <v>45336</v>
      </c>
      <c r="E47" s="1" t="n">
        <v>46249</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46249</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46249</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46249</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46249</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46249</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46249</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46249</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46249</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46249</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55649-2024</t>
        </is>
      </c>
      <c r="B57" t="inlineStr">
        <is>
          <t>avverkningsanmälan</t>
        </is>
      </c>
      <c r="C57" t="inlineStr">
        <is>
          <t>Föryngringsavverkning</t>
        </is>
      </c>
      <c r="D57" s="1" t="n">
        <v>45622</v>
      </c>
      <c r="E57" s="1" t="n">
        <v>46249</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46249</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46249</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46249</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46249</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46249</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46249</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46249</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7039-2023</t>
        </is>
      </c>
      <c r="B65" t="inlineStr">
        <is>
          <t>avverkningsanmälan</t>
        </is>
      </c>
      <c r="C65" t="inlineStr">
        <is>
          <t>Föryngringsavverkning</t>
        </is>
      </c>
      <c r="D65" s="1" t="n">
        <v>44968</v>
      </c>
      <c r="E65" s="1" t="n">
        <v>46249</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46249</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46249</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46249</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46249</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46249</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1971-2023</t>
        </is>
      </c>
      <c r="B71" t="inlineStr">
        <is>
          <t>avverkningsanmälan</t>
        </is>
      </c>
      <c r="C71" t="inlineStr">
        <is>
          <t>Föryngringsavverkning</t>
        </is>
      </c>
      <c r="D71" s="1" t="n">
        <v>44939</v>
      </c>
      <c r="E71" s="1" t="n">
        <v>46249</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7038-2023</t>
        </is>
      </c>
      <c r="B72" t="inlineStr">
        <is>
          <t>avverkningsanmälan</t>
        </is>
      </c>
      <c r="C72" t="inlineStr">
        <is>
          <t>Föryngringsavverkning</t>
        </is>
      </c>
      <c r="D72" s="1" t="n">
        <v>44968</v>
      </c>
      <c r="E72" s="1" t="n">
        <v>46249</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46249</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46249</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46249</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46249</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46249</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46249</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46249</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46249</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46249</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46249</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46249</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46249</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46249</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34142-2024</t>
        </is>
      </c>
      <c r="B86" t="inlineStr">
        <is>
          <t>avverkningsanmälan</t>
        </is>
      </c>
      <c r="C86" t="inlineStr">
        <is>
          <t>Föryngringsavverkning</t>
        </is>
      </c>
      <c r="D86" s="1" t="n">
        <v>45524</v>
      </c>
      <c r="E86" s="1" t="n">
        <v>46249</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35293-2025</t>
        </is>
      </c>
      <c r="B87" t="inlineStr">
        <is>
          <t>avverkningsanmälan</t>
        </is>
      </c>
      <c r="C87" t="inlineStr">
        <is>
          <t>Föryngringsavverkning</t>
        </is>
      </c>
      <c r="D87" s="1" t="n">
        <v>45854</v>
      </c>
      <c r="E87" s="1" t="n">
        <v>46249</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46249</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46249</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46249</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46249</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46249</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46249</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46249</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46249</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46249</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46249</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46249</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46249</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46249</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46249</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46249</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39425-2023</t>
        </is>
      </c>
      <c r="B103" t="inlineStr">
        <is>
          <t>avverkningsanmälan</t>
        </is>
      </c>
      <c r="C103" t="inlineStr">
        <is>
          <t>Avverkning för annat ändamål</t>
        </is>
      </c>
      <c r="D103" s="1" t="n">
        <v>45166</v>
      </c>
      <c r="E103" s="1" t="n">
        <v>46249</v>
      </c>
      <c r="F103" t="inlineStr">
        <is>
          <t>GOTLANDS LÄN</t>
        </is>
      </c>
      <c r="G103" t="inlineStr">
        <is>
          <t>GOTLAND</t>
        </is>
      </c>
      <c r="I103" t="n">
        <v>3.9</v>
      </c>
      <c r="J103" t="n">
        <v>1</v>
      </c>
      <c r="K103" t="n">
        <v>3</v>
      </c>
      <c r="L103" t="n">
        <v>0</v>
      </c>
      <c r="M103" t="n">
        <v>1</v>
      </c>
      <c r="N103" t="n">
        <v>1</v>
      </c>
      <c r="O103" t="n">
        <v>0</v>
      </c>
      <c r="P103" t="n">
        <v>0</v>
      </c>
      <c r="Q103" t="n">
        <v>2</v>
      </c>
      <c r="R103" t="n">
        <v>2</v>
      </c>
      <c r="S103" t="n">
        <v>5</v>
      </c>
      <c r="T103" t="n">
        <v>7</v>
      </c>
      <c r="U103" t="n">
        <v>7</v>
      </c>
      <c r="V103" s="2" t="inlineStr">
        <is>
          <t>Violgubbe
Knärot
Anisspindling
Rödgul trumpetsvamp
Svavelriska</t>
        </is>
      </c>
      <c r="W103">
        <f>HYPERLINK("https://klasma.github.io/Logging_0980/artfynd/A 39425-2023 artfynd.xlsx", "A 39425-2023")</f>
        <v/>
      </c>
      <c r="X103">
        <f>HYPERLINK("https://klasma.github.io/Logging_0980/kartor/A 39425-2023 karta.png", "A 39425-2023")</f>
        <v/>
      </c>
      <c r="Y103">
        <f>HYPERLINK("https://klasma.github.io/Logging_0980/kartor_geotiff/A 39425-2023 georefererad karta.tif", "A 39425-2023")</f>
        <v/>
      </c>
      <c r="Z103">
        <f>HYPERLINK("https://klasma.github.io/Logging_0980/knärot/A 39425-2023 karta knärot.png", "A 39425-2023")</f>
        <v/>
      </c>
      <c r="AA103">
        <f>HYPERLINK("https://klasma.github.io/Logging_0980/klagomål/A 39425-2023 FSC-klagomål.docx", "A 39425-2023")</f>
        <v/>
      </c>
      <c r="AB103">
        <f>HYPERLINK("https://klasma.github.io/Logging_0980/klagomålsmail/A 39425-2023 FSC-klagomål mail.docx", "A 39425-2023")</f>
        <v/>
      </c>
      <c r="AC103">
        <f>HYPERLINK("https://klasma.github.io/Logging_0980/tillsyn/A 39425-2023 tillsynsbegäran.docx", "A 39425-2023")</f>
        <v/>
      </c>
      <c r="AD103">
        <f>HYPERLINK("https://klasma.github.io/Logging_0980/tillsynsmail/A 39425-2023 tillsynsbegäran mail.docx", "A 39425-2023")</f>
        <v/>
      </c>
    </row>
    <row r="104" ht="15" customHeight="1">
      <c r="A104" t="inlineStr">
        <is>
          <t>S 1702-2020</t>
        </is>
      </c>
      <c r="B104" t="inlineStr">
        <is>
          <t>samrådsanmälan</t>
        </is>
      </c>
      <c r="C104" t="n">
        <v/>
      </c>
      <c r="D104" s="1" t="n">
        <v>44040</v>
      </c>
      <c r="E104" s="1" t="n">
        <v>46249</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46249</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46249</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46249</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46249</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61386-2023</t>
        </is>
      </c>
      <c r="B109" t="inlineStr">
        <is>
          <t>avverkningsanmälan</t>
        </is>
      </c>
      <c r="C109" t="inlineStr">
        <is>
          <t>Avverkning för annat ändamål</t>
        </is>
      </c>
      <c r="D109" s="1" t="n">
        <v>45264</v>
      </c>
      <c r="E109" s="1" t="n">
        <v>46249</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16997-2026</t>
        </is>
      </c>
      <c r="B110" t="inlineStr">
        <is>
          <t>avverkningsanmälan</t>
        </is>
      </c>
      <c r="C110" t="inlineStr">
        <is>
          <t>Föryngringsavverkning</t>
        </is>
      </c>
      <c r="D110" s="1" t="n">
        <v>46114</v>
      </c>
      <c r="E110" s="1" t="n">
        <v>46249</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46249</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46249</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46249</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46249</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46249</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2485-2025</t>
        </is>
      </c>
      <c r="B116" t="inlineStr">
        <is>
          <t>avverkningsanmälan</t>
        </is>
      </c>
      <c r="C116" t="inlineStr">
        <is>
          <t>Föryngringsavverkning</t>
        </is>
      </c>
      <c r="D116" s="1" t="n">
        <v>45673</v>
      </c>
      <c r="E116" s="1" t="n">
        <v>46249</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32550-2026</t>
        </is>
      </c>
      <c r="B117" t="inlineStr">
        <is>
          <t>avverkningsanmälan</t>
        </is>
      </c>
      <c r="C117" t="inlineStr">
        <is>
          <t>Föryngringsavverkning</t>
        </is>
      </c>
      <c r="D117" s="1" t="n">
        <v>46239</v>
      </c>
      <c r="E117" s="1" t="n">
        <v>46249</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6218-2026</t>
        </is>
      </c>
      <c r="B118" t="inlineStr">
        <is>
          <t>avverkningsanmälan</t>
        </is>
      </c>
      <c r="C118" t="inlineStr">
        <is>
          <t>Föryngringsavverkning</t>
        </is>
      </c>
      <c r="D118" s="1" t="n">
        <v>46055</v>
      </c>
      <c r="E118" s="1" t="n">
        <v>46249</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7625-2026</t>
        </is>
      </c>
      <c r="B119" t="inlineStr">
        <is>
          <t>avverkningsanmälan</t>
        </is>
      </c>
      <c r="C119" t="inlineStr">
        <is>
          <t>Föryngringsavverkning</t>
        </is>
      </c>
      <c r="D119" s="1" t="n">
        <v>46062</v>
      </c>
      <c r="E119" s="1" t="n">
        <v>46249</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12315-2024</t>
        </is>
      </c>
      <c r="B120" t="inlineStr">
        <is>
          <t>avverkningsanmälan</t>
        </is>
      </c>
      <c r="C120" t="inlineStr">
        <is>
          <t>Föryngringsavverkning</t>
        </is>
      </c>
      <c r="D120" s="1" t="n">
        <v>45378</v>
      </c>
      <c r="E120" s="1" t="n">
        <v>46249</v>
      </c>
      <c r="F120" t="inlineStr">
        <is>
          <t>GOTLANDS LÄN</t>
        </is>
      </c>
      <c r="G120" t="inlineStr">
        <is>
          <t>GOTLAND</t>
        </is>
      </c>
      <c r="I120" t="n">
        <v>6</v>
      </c>
      <c r="J120" t="n">
        <v>3</v>
      </c>
      <c r="K120" t="n">
        <v>1</v>
      </c>
      <c r="L120" t="n">
        <v>0</v>
      </c>
      <c r="M120" t="n">
        <v>0</v>
      </c>
      <c r="N120" t="n">
        <v>0</v>
      </c>
      <c r="O120" t="n">
        <v>0</v>
      </c>
      <c r="P120" t="n">
        <v>0</v>
      </c>
      <c r="Q120" t="n">
        <v>0</v>
      </c>
      <c r="R120" t="n">
        <v>0</v>
      </c>
      <c r="S120" t="n">
        <v>3</v>
      </c>
      <c r="T120" t="n">
        <v>3</v>
      </c>
      <c r="U120" t="n">
        <v>3</v>
      </c>
      <c r="V120" s="2" t="inlineStr">
        <is>
          <t>Tvåblad
Buskskvätta
Fläcknycklar</t>
        </is>
      </c>
      <c r="W120">
        <f>HYPERLINK("https://klasma.github.io/Logging_0980/artfynd/A 12315-2024 artfynd.xlsx", "A 12315-2024")</f>
        <v/>
      </c>
      <c r="X120">
        <f>HYPERLINK("https://klasma.github.io/Logging_0980/kartor/A 12315-2024 karta.png", "A 12315-2024")</f>
        <v/>
      </c>
      <c r="Y120">
        <f>HYPERLINK("https://klasma.github.io/Logging_0980/kartor_geotiff/A 12315-2024 georefererad karta.tif", "A 12315-2024")</f>
        <v/>
      </c>
      <c r="AA120">
        <f>HYPERLINK("https://klasma.github.io/Logging_0980/klagomål/A 12315-2024 FSC-klagomål.docx", "A 12315-2024")</f>
        <v/>
      </c>
      <c r="AB120">
        <f>HYPERLINK("https://klasma.github.io/Logging_0980/klagomålsmail/A 12315-2024 FSC-klagomål mail.docx", "A 12315-2024")</f>
        <v/>
      </c>
      <c r="AC120">
        <f>HYPERLINK("https://klasma.github.io/Logging_0980/tillsyn/A 12315-2024 tillsynsbegäran.docx", "A 12315-2024")</f>
        <v/>
      </c>
      <c r="AD120">
        <f>HYPERLINK("https://klasma.github.io/Logging_0980/tillsynsmail/A 12315-2024 tillsynsbegäran mail.docx", "A 12315-2024")</f>
        <v/>
      </c>
    </row>
    <row r="121" ht="15" customHeight="1">
      <c r="A121" t="inlineStr">
        <is>
          <t>A 65927-2021</t>
        </is>
      </c>
      <c r="B121" t="inlineStr">
        <is>
          <t>avverkningsanmälan</t>
        </is>
      </c>
      <c r="C121" t="inlineStr">
        <is>
          <t>Föryngringsavverkning</t>
        </is>
      </c>
      <c r="D121" s="1" t="n">
        <v>44516</v>
      </c>
      <c r="E121" s="1" t="n">
        <v>46249</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49411-2023</t>
        </is>
      </c>
      <c r="B122" t="inlineStr">
        <is>
          <t>avverkningsanmälan</t>
        </is>
      </c>
      <c r="C122" t="inlineStr">
        <is>
          <t>Föryngringsavverkning</t>
        </is>
      </c>
      <c r="D122" s="1" t="n">
        <v>45205</v>
      </c>
      <c r="E122" s="1" t="n">
        <v>46249</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61561-2023</t>
        </is>
      </c>
      <c r="B123" t="inlineStr">
        <is>
          <t>avverkningsanmälan</t>
        </is>
      </c>
      <c r="C123" t="inlineStr">
        <is>
          <t>Föryngringsavverkning</t>
        </is>
      </c>
      <c r="D123" s="1" t="n">
        <v>45265</v>
      </c>
      <c r="E123" s="1" t="n">
        <v>46249</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19322-2026</t>
        </is>
      </c>
      <c r="B124" t="inlineStr">
        <is>
          <t>avverkningsanmälan</t>
        </is>
      </c>
      <c r="C124" t="inlineStr">
        <is>
          <t>Avverkning för annat ändamål</t>
        </is>
      </c>
      <c r="D124" s="1" t="n">
        <v>46129</v>
      </c>
      <c r="E124" s="1" t="n">
        <v>46249</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2476-2025</t>
        </is>
      </c>
      <c r="B125" t="inlineStr">
        <is>
          <t>avverkningsanmälan</t>
        </is>
      </c>
      <c r="C125" t="inlineStr">
        <is>
          <t>Föryngringsavverkning</t>
        </is>
      </c>
      <c r="D125" s="1" t="n">
        <v>45673</v>
      </c>
      <c r="E125" s="1" t="n">
        <v>46249</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46249</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53552-2021</t>
        </is>
      </c>
      <c r="B127" t="inlineStr">
        <is>
          <t>avverkningsanmälan</t>
        </is>
      </c>
      <c r="C127" t="inlineStr">
        <is>
          <t>Föryngringsavverkning</t>
        </is>
      </c>
      <c r="D127" s="1" t="n">
        <v>44468</v>
      </c>
      <c r="E127" s="1" t="n">
        <v>46249</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34312-2024</t>
        </is>
      </c>
      <c r="B128" t="inlineStr">
        <is>
          <t>avverkningsanmälan</t>
        </is>
      </c>
      <c r="C128" t="inlineStr">
        <is>
          <t>Föryngringsavverkning</t>
        </is>
      </c>
      <c r="D128" s="1" t="n">
        <v>45524</v>
      </c>
      <c r="E128" s="1" t="n">
        <v>46249</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63576-2021</t>
        </is>
      </c>
      <c r="B129" t="inlineStr">
        <is>
          <t>avverkningsanmälan</t>
        </is>
      </c>
      <c r="C129" t="inlineStr">
        <is>
          <t>Föryngringsavverkning</t>
        </is>
      </c>
      <c r="D129" s="1" t="n">
        <v>44508</v>
      </c>
      <c r="E129" s="1" t="n">
        <v>46249</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35574-2024</t>
        </is>
      </c>
      <c r="B130" t="inlineStr">
        <is>
          <t>avverkningsanmälan</t>
        </is>
      </c>
      <c r="C130" t="inlineStr">
        <is>
          <t>Föryngringsavverkning</t>
        </is>
      </c>
      <c r="D130" s="1" t="n">
        <v>45531</v>
      </c>
      <c r="E130" s="1" t="n">
        <v>46249</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17982-2023</t>
        </is>
      </c>
      <c r="B131" t="inlineStr">
        <is>
          <t>avverkningsanmälan</t>
        </is>
      </c>
      <c r="C131" t="inlineStr">
        <is>
          <t>Avverkning för att bevara och utveckla /försöksver</t>
        </is>
      </c>
      <c r="D131" s="1" t="n">
        <v>45040</v>
      </c>
      <c r="E131" s="1" t="n">
        <v>46249</v>
      </c>
      <c r="F131" t="inlineStr">
        <is>
          <t>GOTLANDS LÄN</t>
        </is>
      </c>
      <c r="G131" t="inlineStr">
        <is>
          <t>GOTLAND</t>
        </is>
      </c>
      <c r="I131" t="n">
        <v>2.2</v>
      </c>
      <c r="J131" t="n">
        <v>0</v>
      </c>
      <c r="K131" t="n">
        <v>0</v>
      </c>
      <c r="L131" t="n">
        <v>2</v>
      </c>
      <c r="M131" t="n">
        <v>0</v>
      </c>
      <c r="N131" t="n">
        <v>1</v>
      </c>
      <c r="O131" t="n">
        <v>0</v>
      </c>
      <c r="P131" t="n">
        <v>0</v>
      </c>
      <c r="Q131" t="n">
        <v>3</v>
      </c>
      <c r="R131" t="n">
        <v>1</v>
      </c>
      <c r="S131" t="n">
        <v>3</v>
      </c>
      <c r="T131" t="n">
        <v>3</v>
      </c>
      <c r="U131" t="n">
        <v>3</v>
      </c>
      <c r="V131" s="2" t="inlineStr">
        <is>
          <t>Lundalm
Krusfrö
Ängsskära</t>
        </is>
      </c>
      <c r="W131">
        <f>HYPERLINK("https://klasma.github.io/Logging_0980/artfynd/A 17982-2023 artfynd.xlsx", "A 17982-2023")</f>
        <v/>
      </c>
      <c r="X131">
        <f>HYPERLINK("https://klasma.github.io/Logging_0980/kartor/A 17982-2023 karta.png", "A 17982-2023")</f>
        <v/>
      </c>
      <c r="Y131">
        <f>HYPERLINK("https://klasma.github.io/Logging_0980/kartor_geotiff/A 17982-2023 georefererad karta.tif", "A 17982-2023")</f>
        <v/>
      </c>
      <c r="AA131">
        <f>HYPERLINK("https://klasma.github.io/Logging_0980/klagomål/A 17982-2023 FSC-klagomål.docx", "A 17982-2023")</f>
        <v/>
      </c>
      <c r="AB131">
        <f>HYPERLINK("https://klasma.github.io/Logging_0980/klagomålsmail/A 17982-2023 FSC-klagomål mail.docx", "A 17982-2023")</f>
        <v/>
      </c>
      <c r="AC131">
        <f>HYPERLINK("https://klasma.github.io/Logging_0980/tillsyn/A 17982-2023 tillsynsbegäran.docx", "A 17982-2023")</f>
        <v/>
      </c>
      <c r="AD131">
        <f>HYPERLINK("https://klasma.github.io/Logging_0980/tillsynsmail/A 17982-2023 tillsynsbegäran mail.docx", "A 17982-2023")</f>
        <v/>
      </c>
    </row>
    <row r="132" ht="15" customHeight="1">
      <c r="A132" t="inlineStr">
        <is>
          <t>A 10440-2024</t>
        </is>
      </c>
      <c r="B132" t="inlineStr">
        <is>
          <t>avverkningsanmälan</t>
        </is>
      </c>
      <c r="C132" t="inlineStr">
        <is>
          <t>Föryngringsavverkning</t>
        </is>
      </c>
      <c r="D132" s="1" t="n">
        <v>45366</v>
      </c>
      <c r="E132" s="1" t="n">
        <v>46249</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54357-2024</t>
        </is>
      </c>
      <c r="B133" t="inlineStr">
        <is>
          <t>avverkningsanmälan</t>
        </is>
      </c>
      <c r="C133" t="inlineStr">
        <is>
          <t>Föryngringsavverkning</t>
        </is>
      </c>
      <c r="D133" s="1" t="n">
        <v>45617</v>
      </c>
      <c r="E133" s="1" t="n">
        <v>46249</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13499-2022</t>
        </is>
      </c>
      <c r="B134" t="inlineStr">
        <is>
          <t>avverkningsanmälan</t>
        </is>
      </c>
      <c r="C134" t="inlineStr">
        <is>
          <t>Föryngringsavverkning</t>
        </is>
      </c>
      <c r="D134" s="1" t="n">
        <v>44647</v>
      </c>
      <c r="E134" s="1" t="n">
        <v>46249</v>
      </c>
      <c r="F134" t="inlineStr">
        <is>
          <t>GOTLANDS LÄN</t>
        </is>
      </c>
      <c r="G134" t="inlineStr">
        <is>
          <t>GOTLAND</t>
        </is>
      </c>
      <c r="I134" t="n">
        <v>6.8</v>
      </c>
      <c r="J134" t="n">
        <v>3</v>
      </c>
      <c r="K134" t="n">
        <v>0</v>
      </c>
      <c r="L134" t="n">
        <v>0</v>
      </c>
      <c r="M134" t="n">
        <v>0</v>
      </c>
      <c r="N134" t="n">
        <v>0</v>
      </c>
      <c r="O134" t="n">
        <v>0</v>
      </c>
      <c r="P134" t="n">
        <v>0</v>
      </c>
      <c r="Q134" t="n">
        <v>0</v>
      </c>
      <c r="R134" t="n">
        <v>0</v>
      </c>
      <c r="S134" t="n">
        <v>3</v>
      </c>
      <c r="T134" t="n">
        <v>3</v>
      </c>
      <c r="U134" t="n">
        <v>2</v>
      </c>
      <c r="V134" s="2" t="inlineStr">
        <is>
          <t>Blåsippa
Spillkråka
Sankt pers nycklar</t>
        </is>
      </c>
      <c r="W134">
        <f>HYPERLINK("https://klasma.github.io/Logging_0980/artfynd/A 13499-2022 artfynd.xlsx", "A 13499-2022")</f>
        <v/>
      </c>
      <c r="X134">
        <f>HYPERLINK("https://klasma.github.io/Logging_0980/kartor/A 13499-2022 karta.png", "A 13499-2022")</f>
        <v/>
      </c>
      <c r="Y134">
        <f>HYPERLINK("https://klasma.github.io/Logging_0980/kartor_geotiff/A 13499-2022 georefererad karta.tif", "A 13499-2022")</f>
        <v/>
      </c>
      <c r="AA134">
        <f>HYPERLINK("https://klasma.github.io/Logging_0980/klagomål/A 13499-2022 FSC-klagomål.docx", "A 13499-2022")</f>
        <v/>
      </c>
      <c r="AB134">
        <f>HYPERLINK("https://klasma.github.io/Logging_0980/klagomålsmail/A 13499-2022 FSC-klagomål mail.docx", "A 13499-2022")</f>
        <v/>
      </c>
      <c r="AC134">
        <f>HYPERLINK("https://klasma.github.io/Logging_0980/tillsyn/A 13499-2022 tillsynsbegäran.docx", "A 13499-2022")</f>
        <v/>
      </c>
      <c r="AD134">
        <f>HYPERLINK("https://klasma.github.io/Logging_0980/tillsynsmail/A 13499-2022 tillsynsbegäran mail.docx", "A 13499-2022")</f>
        <v/>
      </c>
      <c r="AE134">
        <f>HYPERLINK("https://klasma.github.io/Logging_0980/fåglar/A 13499-2022 prioriterade fågelarter.docx", "A 13499-2022")</f>
        <v/>
      </c>
    </row>
    <row r="135" ht="15" customHeight="1">
      <c r="A135" t="inlineStr">
        <is>
          <t>A 17975-2024</t>
        </is>
      </c>
      <c r="B135" t="inlineStr">
        <is>
          <t>avverkningsanmälan</t>
        </is>
      </c>
      <c r="C135" t="inlineStr">
        <is>
          <t>Föryngringsavverkning</t>
        </is>
      </c>
      <c r="D135" s="1" t="n">
        <v>45419</v>
      </c>
      <c r="E135" s="1" t="n">
        <v>46249</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46249</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43219-2023</t>
        </is>
      </c>
      <c r="B137" t="inlineStr">
        <is>
          <t>avverkningsanmälan</t>
        </is>
      </c>
      <c r="C137" t="inlineStr">
        <is>
          <t>Föryngringsavverkning</t>
        </is>
      </c>
      <c r="D137" s="1" t="n">
        <v>45183</v>
      </c>
      <c r="E137" s="1" t="n">
        <v>46249</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5909-2025</t>
        </is>
      </c>
      <c r="B138" t="inlineStr">
        <is>
          <t>avverkningsanmälan</t>
        </is>
      </c>
      <c r="C138" t="inlineStr">
        <is>
          <t>Föryngringsavverkning</t>
        </is>
      </c>
      <c r="D138" s="1" t="n">
        <v>45695</v>
      </c>
      <c r="E138" s="1" t="n">
        <v>46249</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46249</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49314-2024</t>
        </is>
      </c>
      <c r="B140" t="inlineStr">
        <is>
          <t>avverkningsanmälan</t>
        </is>
      </c>
      <c r="C140" t="inlineStr">
        <is>
          <t>Föryngringsavverkning</t>
        </is>
      </c>
      <c r="D140" s="1" t="n">
        <v>45595</v>
      </c>
      <c r="E140" s="1" t="n">
        <v>46249</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60665-2021</t>
        </is>
      </c>
      <c r="B141" t="inlineStr">
        <is>
          <t>avverkningsanmälan</t>
        </is>
      </c>
      <c r="C141" t="inlineStr">
        <is>
          <t>Föryngringsavverkning</t>
        </is>
      </c>
      <c r="D141" s="1" t="n">
        <v>44496</v>
      </c>
      <c r="E141" s="1" t="n">
        <v>46249</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46249</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26077-2024</t>
        </is>
      </c>
      <c r="B143" t="inlineStr">
        <is>
          <t>avverkningsanmälan</t>
        </is>
      </c>
      <c r="C143" t="inlineStr">
        <is>
          <t>Avverkning för annat ändamål</t>
        </is>
      </c>
      <c r="D143" s="1" t="n">
        <v>45467</v>
      </c>
      <c r="E143" s="1" t="n">
        <v>46249</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11708-2026</t>
        </is>
      </c>
      <c r="B144" t="inlineStr">
        <is>
          <t>avverkningsanmälan</t>
        </is>
      </c>
      <c r="C144" t="inlineStr">
        <is>
          <t>Avverkning för annat ändamål</t>
        </is>
      </c>
      <c r="D144" s="1" t="n">
        <v>46084</v>
      </c>
      <c r="E144" s="1" t="n">
        <v>46249</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28261-2024</t>
        </is>
      </c>
      <c r="B145" t="inlineStr">
        <is>
          <t>avverkningsanmälan</t>
        </is>
      </c>
      <c r="C145" t="inlineStr">
        <is>
          <t>Avverkning för annat ändamål</t>
        </is>
      </c>
      <c r="D145" s="1" t="n">
        <v>45477</v>
      </c>
      <c r="E145" s="1" t="n">
        <v>46249</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33011-2025</t>
        </is>
      </c>
      <c r="B146" t="inlineStr">
        <is>
          <t>avverkningsanmälan</t>
        </is>
      </c>
      <c r="C146" t="inlineStr">
        <is>
          <t>Föryngringsavverkning</t>
        </is>
      </c>
      <c r="D146" s="1" t="n">
        <v>45840</v>
      </c>
      <c r="E146" s="1" t="n">
        <v>46249</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46249</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1010-2024</t>
        </is>
      </c>
      <c r="B148" t="inlineStr">
        <is>
          <t>avverkningsanmälan</t>
        </is>
      </c>
      <c r="C148" t="inlineStr">
        <is>
          <t>Föryngringsavverkning</t>
        </is>
      </c>
      <c r="D148" s="1" t="n">
        <v>45301</v>
      </c>
      <c r="E148" s="1" t="n">
        <v>46249</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28276-2024</t>
        </is>
      </c>
      <c r="B149" t="inlineStr">
        <is>
          <t>avverkningsanmälan</t>
        </is>
      </c>
      <c r="C149" t="inlineStr">
        <is>
          <t>Avverkning för annat ändamål</t>
        </is>
      </c>
      <c r="D149" s="1" t="n">
        <v>45477</v>
      </c>
      <c r="E149" s="1" t="n">
        <v>46249</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46249</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27589-2023</t>
        </is>
      </c>
      <c r="B151" t="inlineStr">
        <is>
          <t>avverkningsanmälan</t>
        </is>
      </c>
      <c r="C151" t="inlineStr">
        <is>
          <t>Avverkning för annat ändamål</t>
        </is>
      </c>
      <c r="D151" s="1" t="n">
        <v>45097</v>
      </c>
      <c r="E151" s="1" t="n">
        <v>46249</v>
      </c>
      <c r="F151" t="inlineStr">
        <is>
          <t>GOTLANDS LÄN</t>
        </is>
      </c>
      <c r="G151" t="inlineStr">
        <is>
          <t>GOTLAND</t>
        </is>
      </c>
      <c r="I151" t="n">
        <v>5.4</v>
      </c>
      <c r="J151" t="n">
        <v>0</v>
      </c>
      <c r="K151" t="n">
        <v>1</v>
      </c>
      <c r="L151" t="n">
        <v>0</v>
      </c>
      <c r="M151" t="n">
        <v>0</v>
      </c>
      <c r="N151" t="n">
        <v>1</v>
      </c>
      <c r="O151" t="n">
        <v>0</v>
      </c>
      <c r="P151" t="n">
        <v>0</v>
      </c>
      <c r="Q151" t="n">
        <v>1</v>
      </c>
      <c r="R151" t="n">
        <v>1</v>
      </c>
      <c r="S151" t="n">
        <v>2</v>
      </c>
      <c r="T151" t="n">
        <v>2</v>
      </c>
      <c r="U151" t="n">
        <v>2</v>
      </c>
      <c r="V151" s="2" t="inlineStr">
        <is>
          <t>Skogsalm
Underviol</t>
        </is>
      </c>
      <c r="W151">
        <f>HYPERLINK("https://klasma.github.io/Logging_0980/artfynd/A 27589-2023 artfynd.xlsx", "A 27589-2023")</f>
        <v/>
      </c>
      <c r="X151">
        <f>HYPERLINK("https://klasma.github.io/Logging_0980/kartor/A 27589-2023 karta.png", "A 27589-2023")</f>
        <v/>
      </c>
      <c r="Y151">
        <f>HYPERLINK("https://klasma.github.io/Logging_0980/kartor_geotiff/A 27589-2023 georefererad karta.tif", "A 27589-2023")</f>
        <v/>
      </c>
      <c r="AA151">
        <f>HYPERLINK("https://klasma.github.io/Logging_0980/klagomål/A 27589-2023 FSC-klagomål.docx", "A 27589-2023")</f>
        <v/>
      </c>
      <c r="AB151">
        <f>HYPERLINK("https://klasma.github.io/Logging_0980/klagomålsmail/A 27589-2023 FSC-klagomål mail.docx", "A 27589-2023")</f>
        <v/>
      </c>
      <c r="AC151">
        <f>HYPERLINK("https://klasma.github.io/Logging_0980/tillsyn/A 27589-2023 tillsynsbegäran.docx", "A 27589-2023")</f>
        <v/>
      </c>
      <c r="AD151">
        <f>HYPERLINK("https://klasma.github.io/Logging_0980/tillsynsmail/A 27589-2023 tillsynsbegäran mail.docx", "A 27589-2023")</f>
        <v/>
      </c>
    </row>
    <row r="152" ht="15" customHeight="1">
      <c r="A152" t="inlineStr">
        <is>
          <t>A 30470-2026</t>
        </is>
      </c>
      <c r="B152" t="inlineStr">
        <is>
          <t>avverkningsanmälan</t>
        </is>
      </c>
      <c r="C152" t="inlineStr">
        <is>
          <t>Föryngringsavverkning</t>
        </is>
      </c>
      <c r="D152" s="1" t="n">
        <v>46209</v>
      </c>
      <c r="E152" s="1" t="n">
        <v>46249</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8036-2022</t>
        </is>
      </c>
      <c r="B153" t="inlineStr">
        <is>
          <t>avverkningsanmälan</t>
        </is>
      </c>
      <c r="C153" t="inlineStr">
        <is>
          <t>Föryngringsavverkning</t>
        </is>
      </c>
      <c r="D153" s="1" t="n">
        <v>44609</v>
      </c>
      <c r="E153" s="1" t="n">
        <v>46249</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46249</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27621-2026</t>
        </is>
      </c>
      <c r="B155" t="inlineStr">
        <is>
          <t>avverkningsanmälan</t>
        </is>
      </c>
      <c r="C155" t="inlineStr">
        <is>
          <t>Föryngringsavverkning</t>
        </is>
      </c>
      <c r="D155" s="1" t="n">
        <v>46190</v>
      </c>
      <c r="E155" s="1" t="n">
        <v>46249</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46249</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46249</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46249</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46249</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12379-2024</t>
        </is>
      </c>
      <c r="B160" t="inlineStr">
        <is>
          <t>avverkningsanmälan</t>
        </is>
      </c>
      <c r="C160" t="inlineStr">
        <is>
          <t>Föryngringsavverkning</t>
        </is>
      </c>
      <c r="D160" s="1" t="n">
        <v>45379</v>
      </c>
      <c r="E160" s="1" t="n">
        <v>46249</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17354-2022</t>
        </is>
      </c>
      <c r="B161" t="inlineStr">
        <is>
          <t>avverkningsanmälan</t>
        </is>
      </c>
      <c r="C161" t="inlineStr">
        <is>
          <t>Avverkning för annat ändamål</t>
        </is>
      </c>
      <c r="D161" s="1" t="n">
        <v>44678</v>
      </c>
      <c r="E161" s="1" t="n">
        <v>46249</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46189-2022</t>
        </is>
      </c>
      <c r="B162" t="inlineStr">
        <is>
          <t>avverkningsanmälan</t>
        </is>
      </c>
      <c r="C162" t="inlineStr">
        <is>
          <t>Avverkning för annat ändamål</t>
        </is>
      </c>
      <c r="D162" s="1" t="n">
        <v>44847</v>
      </c>
      <c r="E162" s="1" t="n">
        <v>46249</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1066-2024</t>
        </is>
      </c>
      <c r="B163" t="inlineStr">
        <is>
          <t>avverkningsanmälan</t>
        </is>
      </c>
      <c r="C163" t="inlineStr">
        <is>
          <t>Föryngringsavverkning</t>
        </is>
      </c>
      <c r="D163" s="1" t="n">
        <v>45302</v>
      </c>
      <c r="E163" s="1" t="n">
        <v>46249</v>
      </c>
      <c r="F163" t="inlineStr">
        <is>
          <t>GOTLANDS LÄN</t>
        </is>
      </c>
      <c r="G163" t="inlineStr">
        <is>
          <t>GOTLAND</t>
        </is>
      </c>
      <c r="I163" t="n">
        <v>1.4</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1066-2024 artfynd.xlsx", "A 1066-2024")</f>
        <v/>
      </c>
      <c r="X163">
        <f>HYPERLINK("https://klasma.github.io/Logging_0980/kartor/A 1066-2024 karta.png", "A 1066-2024")</f>
        <v/>
      </c>
      <c r="Y163">
        <f>HYPERLINK("https://klasma.github.io/Logging_0980/kartor_geotiff/A 1066-2024 georefererad karta.tif", "A 1066-2024")</f>
        <v/>
      </c>
      <c r="AA163">
        <f>HYPERLINK("https://klasma.github.io/Logging_0980/klagomål/A 1066-2024 FSC-klagomål.docx", "A 1066-2024")</f>
        <v/>
      </c>
      <c r="AB163">
        <f>HYPERLINK("https://klasma.github.io/Logging_0980/klagomålsmail/A 1066-2024 FSC-klagomål mail.docx", "A 1066-2024")</f>
        <v/>
      </c>
      <c r="AC163">
        <f>HYPERLINK("https://klasma.github.io/Logging_0980/tillsyn/A 1066-2024 tillsynsbegäran.docx", "A 1066-2024")</f>
        <v/>
      </c>
      <c r="AD163">
        <f>HYPERLINK("https://klasma.github.io/Logging_0980/tillsynsmail/A 1066-2024 tillsynsbegäran mail.docx", "A 1066-2024")</f>
        <v/>
      </c>
    </row>
    <row r="164" ht="15" customHeight="1">
      <c r="A164" t="inlineStr">
        <is>
          <t>A 30489-2025</t>
        </is>
      </c>
      <c r="B164" t="inlineStr">
        <is>
          <t>avverkningsanmälan</t>
        </is>
      </c>
      <c r="C164" t="inlineStr">
        <is>
          <t>Föryngringsavverkning</t>
        </is>
      </c>
      <c r="D164" s="1" t="n">
        <v>45830</v>
      </c>
      <c r="E164" s="1" t="n">
        <v>46249</v>
      </c>
      <c r="F164" t="inlineStr">
        <is>
          <t>GOTLANDS LÄN</t>
        </is>
      </c>
      <c r="G164" t="inlineStr">
        <is>
          <t>GOTLAND</t>
        </is>
      </c>
      <c r="I164" t="n">
        <v>4.6</v>
      </c>
      <c r="J164" t="n">
        <v>0</v>
      </c>
      <c r="K164" t="n">
        <v>0</v>
      </c>
      <c r="L164" t="n">
        <v>1</v>
      </c>
      <c r="M164" t="n">
        <v>0</v>
      </c>
      <c r="N164" t="n">
        <v>0</v>
      </c>
      <c r="O164" t="n">
        <v>0</v>
      </c>
      <c r="P164" t="n">
        <v>0</v>
      </c>
      <c r="Q164" t="n">
        <v>1</v>
      </c>
      <c r="R164" t="n">
        <v>0</v>
      </c>
      <c r="S164" t="n">
        <v>1</v>
      </c>
      <c r="T164" t="n">
        <v>1</v>
      </c>
      <c r="U164" t="n">
        <v>0</v>
      </c>
      <c r="V164" s="2" t="inlineStr">
        <is>
          <t>Skarp dropptaggsvamp</t>
        </is>
      </c>
      <c r="W164">
        <f>HYPERLINK("https://klasma.github.io/Logging_0980/artfynd/A 30489-2025 artfynd.xlsx", "A 30489-2025")</f>
        <v/>
      </c>
      <c r="X164">
        <f>HYPERLINK("https://klasma.github.io/Logging_0980/kartor/A 30489-2025 karta.png", "A 30489-2025")</f>
        <v/>
      </c>
      <c r="Y164">
        <f>HYPERLINK("https://klasma.github.io/Logging_0980/kartor_geotiff/A 30489-2025 georefererad karta.tif", "A 30489-2025")</f>
        <v/>
      </c>
      <c r="AA164">
        <f>HYPERLINK("https://klasma.github.io/Logging_0980/klagomål/A 30489-2025 FSC-klagomål.docx", "A 30489-2025")</f>
        <v/>
      </c>
      <c r="AB164">
        <f>HYPERLINK("https://klasma.github.io/Logging_0980/klagomålsmail/A 30489-2025 FSC-klagomål mail.docx", "A 30489-2025")</f>
        <v/>
      </c>
      <c r="AC164">
        <f>HYPERLINK("https://klasma.github.io/Logging_0980/tillsyn/A 30489-2025 tillsynsbegäran.docx", "A 30489-2025")</f>
        <v/>
      </c>
      <c r="AD164">
        <f>HYPERLINK("https://klasma.github.io/Logging_0980/tillsynsmail/A 30489-2025 tillsynsbegäran mail.docx", "A 30489-2025")</f>
        <v/>
      </c>
    </row>
    <row r="165" ht="15" customHeight="1">
      <c r="A165" t="inlineStr">
        <is>
          <t>A 27593-2023</t>
        </is>
      </c>
      <c r="B165" t="inlineStr">
        <is>
          <t>avverkningsanmälan</t>
        </is>
      </c>
      <c r="C165" t="inlineStr">
        <is>
          <t>Avverkning för annat ändamål</t>
        </is>
      </c>
      <c r="D165" s="1" t="n">
        <v>45097</v>
      </c>
      <c r="E165" s="1" t="n">
        <v>46249</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10218-2025</t>
        </is>
      </c>
      <c r="B166" t="inlineStr">
        <is>
          <t>avverkningsanmälan</t>
        </is>
      </c>
      <c r="C166" t="inlineStr">
        <is>
          <t>Föryngringsavverkning</t>
        </is>
      </c>
      <c r="D166" s="1" t="n">
        <v>45720</v>
      </c>
      <c r="E166" s="1" t="n">
        <v>46249</v>
      </c>
      <c r="F166" t="inlineStr">
        <is>
          <t>GOTLANDS LÄN</t>
        </is>
      </c>
      <c r="G166" t="inlineStr">
        <is>
          <t>GOTLAND</t>
        </is>
      </c>
      <c r="I166" t="n">
        <v>8.1</v>
      </c>
      <c r="J166" t="n">
        <v>0</v>
      </c>
      <c r="K166" t="n">
        <v>1</v>
      </c>
      <c r="L166" t="n">
        <v>0</v>
      </c>
      <c r="M166" t="n">
        <v>0</v>
      </c>
      <c r="N166" t="n">
        <v>0</v>
      </c>
      <c r="O166" t="n">
        <v>0</v>
      </c>
      <c r="P166" t="n">
        <v>0</v>
      </c>
      <c r="Q166" t="n">
        <v>0</v>
      </c>
      <c r="R166" t="n">
        <v>0</v>
      </c>
      <c r="S166" t="n">
        <v>1</v>
      </c>
      <c r="T166" t="n">
        <v>1</v>
      </c>
      <c r="U166" t="n">
        <v>1</v>
      </c>
      <c r="V166" s="2" t="inlineStr">
        <is>
          <t>Kalktallört</t>
        </is>
      </c>
      <c r="W166">
        <f>HYPERLINK("https://klasma.github.io/Logging_0980/artfynd/A 10218-2025 artfynd.xlsx", "A 10218-2025")</f>
        <v/>
      </c>
      <c r="X166">
        <f>HYPERLINK("https://klasma.github.io/Logging_0980/kartor/A 10218-2025 karta.png", "A 10218-2025")</f>
        <v/>
      </c>
      <c r="Y166">
        <f>HYPERLINK("https://klasma.github.io/Logging_0980/kartor_geotiff/A 10218-2025 georefererad karta.tif", "A 10218-2025")</f>
        <v/>
      </c>
      <c r="AA166">
        <f>HYPERLINK("https://klasma.github.io/Logging_0980/klagomål/A 10218-2025 FSC-klagomål.docx", "A 10218-2025")</f>
        <v/>
      </c>
      <c r="AB166">
        <f>HYPERLINK("https://klasma.github.io/Logging_0980/klagomålsmail/A 10218-2025 FSC-klagomål mail.docx", "A 10218-2025")</f>
        <v/>
      </c>
      <c r="AC166">
        <f>HYPERLINK("https://klasma.github.io/Logging_0980/tillsyn/A 10218-2025 tillsynsbegäran.docx", "A 10218-2025")</f>
        <v/>
      </c>
      <c r="AD166">
        <f>HYPERLINK("https://klasma.github.io/Logging_0980/tillsynsmail/A 10218-2025 tillsynsbegäran mail.docx", "A 10218-2025")</f>
        <v/>
      </c>
    </row>
    <row r="167" ht="15" customHeight="1">
      <c r="A167" t="inlineStr">
        <is>
          <t>A 25977-2024</t>
        </is>
      </c>
      <c r="B167" t="inlineStr">
        <is>
          <t>avverkningsanmälan</t>
        </is>
      </c>
      <c r="C167" t="inlineStr">
        <is>
          <t>Föryngringsavverkning</t>
        </is>
      </c>
      <c r="D167" s="1" t="n">
        <v>45467</v>
      </c>
      <c r="E167" s="1" t="n">
        <v>46249</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5751-2024</t>
        </is>
      </c>
      <c r="B168" t="inlineStr">
        <is>
          <t>avverkningsanmälan</t>
        </is>
      </c>
      <c r="C168" t="inlineStr">
        <is>
          <t>Avverkning för att bevara och utveckla /försöksver</t>
        </is>
      </c>
      <c r="D168" s="1" t="n">
        <v>45335</v>
      </c>
      <c r="E168" s="1" t="n">
        <v>46249</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1</v>
      </c>
      <c r="V168" s="2" t="inlineStr">
        <is>
          <t>Svinrot</t>
        </is>
      </c>
      <c r="W168">
        <f>HYPERLINK("https://klasma.github.io/Logging_0980/artfynd/A 5751-2024 artfynd.xlsx", "A 5751-2024")</f>
        <v/>
      </c>
      <c r="X168">
        <f>HYPERLINK("https://klasma.github.io/Logging_0980/kartor/A 5751-2024 karta.png", "A 5751-2024")</f>
        <v/>
      </c>
      <c r="Y168">
        <f>HYPERLINK("https://klasma.github.io/Logging_0980/kartor_geotiff/A 5751-2024 georefererad karta.tif", "A 5751-2024")</f>
        <v/>
      </c>
      <c r="AA168">
        <f>HYPERLINK("https://klasma.github.io/Logging_0980/klagomål/A 5751-2024 FSC-klagomål.docx", "A 5751-2024")</f>
        <v/>
      </c>
      <c r="AB168">
        <f>HYPERLINK("https://klasma.github.io/Logging_0980/klagomålsmail/A 5751-2024 FSC-klagomål mail.docx", "A 5751-2024")</f>
        <v/>
      </c>
      <c r="AC168">
        <f>HYPERLINK("https://klasma.github.io/Logging_0980/tillsyn/A 5751-2024 tillsynsbegäran.docx", "A 5751-2024")</f>
        <v/>
      </c>
      <c r="AD168">
        <f>HYPERLINK("https://klasma.github.io/Logging_0980/tillsynsmail/A 5751-2024 tillsynsbegäran mail.docx", "A 5751-2024")</f>
        <v/>
      </c>
    </row>
    <row r="169" ht="15" customHeight="1">
      <c r="A169" t="inlineStr">
        <is>
          <t>A 13482-2026</t>
        </is>
      </c>
      <c r="B169" t="inlineStr">
        <is>
          <t>avverkningsanmälan</t>
        </is>
      </c>
      <c r="C169" t="inlineStr">
        <is>
          <t>Föryngringsavverkning</t>
        </is>
      </c>
      <c r="D169" s="1" t="n">
        <v>46094</v>
      </c>
      <c r="E169" s="1" t="n">
        <v>46249</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4568-2025</t>
        </is>
      </c>
      <c r="B170" t="inlineStr">
        <is>
          <t>avverkningsanmälan</t>
        </is>
      </c>
      <c r="C170" t="inlineStr">
        <is>
          <t>Föryngringsavverkning</t>
        </is>
      </c>
      <c r="D170" s="1" t="n">
        <v>45687</v>
      </c>
      <c r="E170" s="1" t="n">
        <v>46249</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1</v>
      </c>
      <c r="U170" t="n">
        <v>1</v>
      </c>
      <c r="V170" s="2" t="inlineStr">
        <is>
          <t>Backfryle</t>
        </is>
      </c>
      <c r="W170">
        <f>HYPERLINK("https://klasma.github.io/Logging_0980/artfynd/A 4568-2025 artfynd.xlsx", "A 4568-2025")</f>
        <v/>
      </c>
      <c r="X170">
        <f>HYPERLINK("https://klasma.github.io/Logging_0980/kartor/A 4568-2025 karta.png", "A 4568-2025")</f>
        <v/>
      </c>
      <c r="Y170">
        <f>HYPERLINK("https://klasma.github.io/Logging_0980/kartor_geotiff/A 4568-2025 georefererad karta.tif", "A 4568-2025")</f>
        <v/>
      </c>
      <c r="AA170">
        <f>HYPERLINK("https://klasma.github.io/Logging_0980/klagomål/A 4568-2025 FSC-klagomål.docx", "A 4568-2025")</f>
        <v/>
      </c>
      <c r="AB170">
        <f>HYPERLINK("https://klasma.github.io/Logging_0980/klagomålsmail/A 4568-2025 FSC-klagomål mail.docx", "A 4568-2025")</f>
        <v/>
      </c>
      <c r="AC170">
        <f>HYPERLINK("https://klasma.github.io/Logging_0980/tillsyn/A 4568-2025 tillsynsbegäran.docx", "A 4568-2025")</f>
        <v/>
      </c>
      <c r="AD170">
        <f>HYPERLINK("https://klasma.github.io/Logging_0980/tillsynsmail/A 4568-2025 tillsynsbegäran mail.docx", "A 4568-2025")</f>
        <v/>
      </c>
    </row>
    <row r="171" ht="15" customHeight="1">
      <c r="A171" t="inlineStr">
        <is>
          <t>A 61796-2022</t>
        </is>
      </c>
      <c r="B171" t="inlineStr">
        <is>
          <t>avverkningsanmälan</t>
        </is>
      </c>
      <c r="C171" t="inlineStr">
        <is>
          <t>Föryngringsavverkning</t>
        </is>
      </c>
      <c r="D171" s="1" t="n">
        <v>44917</v>
      </c>
      <c r="E171" s="1" t="n">
        <v>46249</v>
      </c>
      <c r="F171" t="inlineStr">
        <is>
          <t>GOTLANDS LÄN</t>
        </is>
      </c>
      <c r="G171" t="inlineStr">
        <is>
          <t>GOTLAND</t>
        </is>
      </c>
      <c r="I171" t="n">
        <v>1.5</v>
      </c>
      <c r="J171" t="n">
        <v>1</v>
      </c>
      <c r="K171" t="n">
        <v>0</v>
      </c>
      <c r="L171" t="n">
        <v>0</v>
      </c>
      <c r="M171" t="n">
        <v>0</v>
      </c>
      <c r="N171" t="n">
        <v>0</v>
      </c>
      <c r="O171" t="n">
        <v>0</v>
      </c>
      <c r="P171" t="n">
        <v>0</v>
      </c>
      <c r="Q171" t="n">
        <v>0</v>
      </c>
      <c r="R171" t="n">
        <v>0</v>
      </c>
      <c r="S171" t="n">
        <v>1</v>
      </c>
      <c r="T171" t="n">
        <v>1</v>
      </c>
      <c r="U171" t="n">
        <v>1</v>
      </c>
      <c r="V171" s="2" t="inlineStr">
        <is>
          <t>Skogsduva</t>
        </is>
      </c>
      <c r="W171">
        <f>HYPERLINK("https://klasma.github.io/Logging_0980/artfynd/A 61796-2022 artfynd.xlsx", "A 61796-2022")</f>
        <v/>
      </c>
      <c r="X171">
        <f>HYPERLINK("https://klasma.github.io/Logging_0980/kartor/A 61796-2022 karta.png", "A 61796-2022")</f>
        <v/>
      </c>
      <c r="Y171">
        <f>HYPERLINK("https://klasma.github.io/Logging_0980/kartor_geotiff/A 61796-2022 georefererad karta.tif", "A 61796-2022")</f>
        <v/>
      </c>
      <c r="AA171">
        <f>HYPERLINK("https://klasma.github.io/Logging_0980/klagomål/A 61796-2022 FSC-klagomål.docx", "A 61796-2022")</f>
        <v/>
      </c>
      <c r="AB171">
        <f>HYPERLINK("https://klasma.github.io/Logging_0980/klagomålsmail/A 61796-2022 FSC-klagomål mail.docx", "A 61796-2022")</f>
        <v/>
      </c>
      <c r="AC171">
        <f>HYPERLINK("https://klasma.github.io/Logging_0980/tillsyn/A 61796-2022 tillsynsbegäran.docx", "A 61796-2022")</f>
        <v/>
      </c>
      <c r="AD171">
        <f>HYPERLINK("https://klasma.github.io/Logging_0980/tillsynsmail/A 61796-2022 tillsynsbegäran mail.docx", "A 61796-2022")</f>
        <v/>
      </c>
    </row>
    <row r="172" ht="15" customHeight="1">
      <c r="A172" t="inlineStr">
        <is>
          <t>A 4662-2026</t>
        </is>
      </c>
      <c r="B172" t="inlineStr">
        <is>
          <t>avverkningsanmälan</t>
        </is>
      </c>
      <c r="C172" t="inlineStr">
        <is>
          <t>Föryngringsavverkning</t>
        </is>
      </c>
      <c r="D172" s="1" t="n">
        <v>46048</v>
      </c>
      <c r="E172" s="1" t="n">
        <v>46249</v>
      </c>
      <c r="F172" t="inlineStr">
        <is>
          <t>GOTLANDS LÄN</t>
        </is>
      </c>
      <c r="G172" t="inlineStr">
        <is>
          <t>GOTLAND</t>
        </is>
      </c>
      <c r="I172" t="n">
        <v>7.6</v>
      </c>
      <c r="J172" t="n">
        <v>0</v>
      </c>
      <c r="K172" t="n">
        <v>0</v>
      </c>
      <c r="L172" t="n">
        <v>0</v>
      </c>
      <c r="M172" t="n">
        <v>1</v>
      </c>
      <c r="N172" t="n">
        <v>0</v>
      </c>
      <c r="O172" t="n">
        <v>0</v>
      </c>
      <c r="P172" t="n">
        <v>0</v>
      </c>
      <c r="Q172" t="n">
        <v>1</v>
      </c>
      <c r="R172" t="n">
        <v>1</v>
      </c>
      <c r="S172" t="n">
        <v>1</v>
      </c>
      <c r="T172" t="n">
        <v>1</v>
      </c>
      <c r="U172" t="n">
        <v>0</v>
      </c>
      <c r="V172" s="2" t="inlineStr">
        <is>
          <t>Strandviol</t>
        </is>
      </c>
      <c r="W172">
        <f>HYPERLINK("https://klasma.github.io/Logging_0980/artfynd/A 4662-2026 artfynd.xlsx", "A 4662-2026")</f>
        <v/>
      </c>
      <c r="X172">
        <f>HYPERLINK("https://klasma.github.io/Logging_0980/kartor/A 4662-2026 karta.png", "A 4662-2026")</f>
        <v/>
      </c>
      <c r="Y172">
        <f>HYPERLINK("https://klasma.github.io/Logging_0980/kartor_geotiff/A 4662-2026 georefererad karta.tif", "A 4662-2026")</f>
        <v/>
      </c>
      <c r="AA172">
        <f>HYPERLINK("https://klasma.github.io/Logging_0980/klagomål/A 4662-2026 FSC-klagomål.docx", "A 4662-2026")</f>
        <v/>
      </c>
      <c r="AB172">
        <f>HYPERLINK("https://klasma.github.io/Logging_0980/klagomålsmail/A 4662-2026 FSC-klagomål mail.docx", "A 4662-2026")</f>
        <v/>
      </c>
      <c r="AC172">
        <f>HYPERLINK("https://klasma.github.io/Logging_0980/tillsyn/A 4662-2026 tillsynsbegäran.docx", "A 4662-2026")</f>
        <v/>
      </c>
      <c r="AD172">
        <f>HYPERLINK("https://klasma.github.io/Logging_0980/tillsynsmail/A 4662-2026 tillsynsbegäran mail.docx", "A 4662-2026")</f>
        <v/>
      </c>
    </row>
    <row r="173" ht="15" customHeight="1">
      <c r="A173" t="inlineStr">
        <is>
          <t>A 29809-2022</t>
        </is>
      </c>
      <c r="B173" t="inlineStr">
        <is>
          <t>avverkningsanmälan</t>
        </is>
      </c>
      <c r="C173" t="inlineStr">
        <is>
          <t>Föryngringsavverkning</t>
        </is>
      </c>
      <c r="D173" s="1" t="n">
        <v>44755</v>
      </c>
      <c r="E173" s="1" t="n">
        <v>46249</v>
      </c>
      <c r="F173" t="inlineStr">
        <is>
          <t>GOTLANDS LÄN</t>
        </is>
      </c>
      <c r="G173" t="inlineStr">
        <is>
          <t>GOTLAND</t>
        </is>
      </c>
      <c r="I173" t="n">
        <v>11.5</v>
      </c>
      <c r="J173" t="n">
        <v>1</v>
      </c>
      <c r="K173" t="n">
        <v>0</v>
      </c>
      <c r="L173" t="n">
        <v>1</v>
      </c>
      <c r="M173" t="n">
        <v>0</v>
      </c>
      <c r="N173" t="n">
        <v>0</v>
      </c>
      <c r="O173" t="n">
        <v>0</v>
      </c>
      <c r="P173" t="n">
        <v>0</v>
      </c>
      <c r="Q173" t="n">
        <v>1</v>
      </c>
      <c r="R173" t="n">
        <v>0</v>
      </c>
      <c r="S173" t="n">
        <v>1</v>
      </c>
      <c r="T173" t="n">
        <v>1</v>
      </c>
      <c r="U173" t="n">
        <v>1</v>
      </c>
      <c r="V173" s="2" t="inlineStr">
        <is>
          <t>Dårgräsfjäril</t>
        </is>
      </c>
      <c r="W173">
        <f>HYPERLINK("https://klasma.github.io/Logging_0980/artfynd/A 29809-2022 artfynd.xlsx", "A 29809-2022")</f>
        <v/>
      </c>
      <c r="X173">
        <f>HYPERLINK("https://klasma.github.io/Logging_0980/kartor/A 29809-2022 karta.png", "A 29809-2022")</f>
        <v/>
      </c>
      <c r="Y173">
        <f>HYPERLINK("https://klasma.github.io/Logging_0980/kartor_geotiff/A 29809-2022 georefererad karta.tif", "A 29809-2022")</f>
        <v/>
      </c>
      <c r="AA173">
        <f>HYPERLINK("https://klasma.github.io/Logging_0980/klagomål/A 29809-2022 FSC-klagomål.docx", "A 29809-2022")</f>
        <v/>
      </c>
      <c r="AB173">
        <f>HYPERLINK("https://klasma.github.io/Logging_0980/klagomålsmail/A 29809-2022 FSC-klagomål mail.docx", "A 29809-2022")</f>
        <v/>
      </c>
      <c r="AC173">
        <f>HYPERLINK("https://klasma.github.io/Logging_0980/tillsyn/A 29809-2022 tillsynsbegäran.docx", "A 29809-2022")</f>
        <v/>
      </c>
      <c r="AD173">
        <f>HYPERLINK("https://klasma.github.io/Logging_0980/tillsynsmail/A 29809-2022 tillsynsbegäran mail.docx", "A 29809-2022")</f>
        <v/>
      </c>
    </row>
    <row r="174" ht="15" customHeight="1">
      <c r="A174" t="inlineStr">
        <is>
          <t>A 15637-2024</t>
        </is>
      </c>
      <c r="B174" t="inlineStr">
        <is>
          <t>avverkningsanmälan</t>
        </is>
      </c>
      <c r="C174" t="inlineStr">
        <is>
          <t>Föryngringsavverkning</t>
        </is>
      </c>
      <c r="D174" s="1" t="n">
        <v>45403</v>
      </c>
      <c r="E174" s="1" t="n">
        <v>46249</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46249</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17854-2026</t>
        </is>
      </c>
      <c r="B176" t="inlineStr">
        <is>
          <t>avverkningsanmälan</t>
        </is>
      </c>
      <c r="C176" t="inlineStr">
        <is>
          <t>Föryngringsavverkning</t>
        </is>
      </c>
      <c r="D176" s="1" t="n">
        <v>46121</v>
      </c>
      <c r="E176" s="1" t="n">
        <v>46249</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63229-2021</t>
        </is>
      </c>
      <c r="B177" t="inlineStr">
        <is>
          <t>avverkningsanmälan</t>
        </is>
      </c>
      <c r="C177" t="inlineStr">
        <is>
          <t>Föryngringsavverkning</t>
        </is>
      </c>
      <c r="D177" s="1" t="n">
        <v>44508</v>
      </c>
      <c r="E177" s="1" t="n">
        <v>46249</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22782-2023</t>
        </is>
      </c>
      <c r="B178" t="inlineStr">
        <is>
          <t>avverkningsanmälan</t>
        </is>
      </c>
      <c r="C178" t="inlineStr">
        <is>
          <t>Föryngringsavverkning</t>
        </is>
      </c>
      <c r="D178" s="1" t="n">
        <v>45072</v>
      </c>
      <c r="E178" s="1" t="n">
        <v>46249</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27602-2023</t>
        </is>
      </c>
      <c r="B179" t="inlineStr">
        <is>
          <t>avverkningsanmälan</t>
        </is>
      </c>
      <c r="C179" t="inlineStr">
        <is>
          <t>Avverkning för annat ändamål</t>
        </is>
      </c>
      <c r="D179" s="1" t="n">
        <v>45097</v>
      </c>
      <c r="E179" s="1" t="n">
        <v>46249</v>
      </c>
      <c r="F179" t="inlineStr">
        <is>
          <t>GOTLANDS LÄN</t>
        </is>
      </c>
      <c r="G179" t="inlineStr">
        <is>
          <t>GOTLAND</t>
        </is>
      </c>
      <c r="I179" t="n">
        <v>2.7</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HYPERLINK("https://klasma.github.io/Logging_0980/artfynd/A 27602-2023 artfynd.xlsx", "A 27602-2023")</f>
        <v/>
      </c>
      <c r="X179">
        <f>HYPERLINK("https://klasma.github.io/Logging_0980/kartor/A 27602-2023 karta.png", "A 27602-2023")</f>
        <v/>
      </c>
      <c r="Y179">
        <f>HYPERLINK("https://klasma.github.io/Logging_0980/kartor_geotiff/A 27602-2023 georefererad karta.tif", "A 27602-2023")</f>
        <v/>
      </c>
      <c r="AA179">
        <f>HYPERLINK("https://klasma.github.io/Logging_0980/klagomål/A 27602-2023 FSC-klagomål.docx", "A 27602-2023")</f>
        <v/>
      </c>
      <c r="AB179">
        <f>HYPERLINK("https://klasma.github.io/Logging_0980/klagomålsmail/A 27602-2023 FSC-klagomål mail.docx", "A 27602-2023")</f>
        <v/>
      </c>
      <c r="AC179">
        <f>HYPERLINK("https://klasma.github.io/Logging_0980/tillsyn/A 27602-2023 tillsynsbegäran.docx", "A 27602-2023")</f>
        <v/>
      </c>
      <c r="AD179">
        <f>HYPERLINK("https://klasma.github.io/Logging_0980/tillsynsmail/A 27602-2023 tillsynsbegäran mail.docx", "A 27602-2023")</f>
        <v/>
      </c>
    </row>
    <row r="180" ht="15" customHeight="1">
      <c r="A180" t="inlineStr">
        <is>
          <t>A 22883-2024</t>
        </is>
      </c>
      <c r="B180" t="inlineStr">
        <is>
          <t>avverkningsanmälan</t>
        </is>
      </c>
      <c r="C180" t="inlineStr">
        <is>
          <t>Föryngringsavverkning</t>
        </is>
      </c>
      <c r="D180" s="1" t="n">
        <v>45448</v>
      </c>
      <c r="E180" s="1" t="n">
        <v>46249</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10995-2023</t>
        </is>
      </c>
      <c r="B181" t="inlineStr">
        <is>
          <t>avverkningsanmälan</t>
        </is>
      </c>
      <c r="C181" t="inlineStr">
        <is>
          <t>Föryngringsavverkning</t>
        </is>
      </c>
      <c r="D181" s="1" t="n">
        <v>44986</v>
      </c>
      <c r="E181" s="1" t="n">
        <v>46249</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46249</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46249</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57534-2022</t>
        </is>
      </c>
      <c r="B184" t="inlineStr">
        <is>
          <t>avverkningsanmälan</t>
        </is>
      </c>
      <c r="C184" t="inlineStr">
        <is>
          <t>Föryngringsavverkning</t>
        </is>
      </c>
      <c r="D184" s="1" t="n">
        <v>44896</v>
      </c>
      <c r="E184" s="1" t="n">
        <v>46249</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Myskmadra</t>
        </is>
      </c>
      <c r="W184">
        <f>HYPERLINK("https://klasma.github.io/Logging_0980/artfynd/A 57534-2022 artfynd.xlsx", "A 57534-2022")</f>
        <v/>
      </c>
      <c r="X184">
        <f>HYPERLINK("https://klasma.github.io/Logging_0980/kartor/A 57534-2022 karta.png", "A 57534-2022")</f>
        <v/>
      </c>
      <c r="Y184">
        <f>HYPERLINK("https://klasma.github.io/Logging_0980/kartor_geotiff/A 57534-2022 georefererad karta.tif", "A 57534-2022")</f>
        <v/>
      </c>
      <c r="AA184">
        <f>HYPERLINK("https://klasma.github.io/Logging_0980/klagomål/A 57534-2022 FSC-klagomål.docx", "A 57534-2022")</f>
        <v/>
      </c>
      <c r="AB184">
        <f>HYPERLINK("https://klasma.github.io/Logging_0980/klagomålsmail/A 57534-2022 FSC-klagomål mail.docx", "A 57534-2022")</f>
        <v/>
      </c>
      <c r="AC184">
        <f>HYPERLINK("https://klasma.github.io/Logging_0980/tillsyn/A 57534-2022 tillsynsbegäran.docx", "A 57534-2022")</f>
        <v/>
      </c>
      <c r="AD184">
        <f>HYPERLINK("https://klasma.github.io/Logging_0980/tillsynsmail/A 57534-2022 tillsynsbegäran mail.docx", "A 57534-2022")</f>
        <v/>
      </c>
    </row>
    <row r="185" ht="15" customHeight="1">
      <c r="A185" t="inlineStr">
        <is>
          <t>A 49693-2023</t>
        </is>
      </c>
      <c r="B185" t="inlineStr">
        <is>
          <t>avverkningsanmälan</t>
        </is>
      </c>
      <c r="C185" t="inlineStr">
        <is>
          <t>Föryngringsavverkning</t>
        </is>
      </c>
      <c r="D185" s="1" t="n">
        <v>45212</v>
      </c>
      <c r="E185" s="1" t="n">
        <v>46249</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24245-2022</t>
        </is>
      </c>
      <c r="B186" t="inlineStr">
        <is>
          <t>avverkningsanmälan</t>
        </is>
      </c>
      <c r="C186" t="inlineStr">
        <is>
          <t>Föryngringsavverkning</t>
        </is>
      </c>
      <c r="D186" s="1" t="n">
        <v>44725</v>
      </c>
      <c r="E186" s="1" t="n">
        <v>46249</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69112-2021</t>
        </is>
      </c>
      <c r="B187" t="inlineStr">
        <is>
          <t>avverkningsanmälan</t>
        </is>
      </c>
      <c r="C187" t="inlineStr">
        <is>
          <t>Avverkning för annat ändamål</t>
        </is>
      </c>
      <c r="D187" s="1" t="n">
        <v>44530</v>
      </c>
      <c r="E187" s="1" t="n">
        <v>46249</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447-2023</t>
        </is>
      </c>
      <c r="B188" t="inlineStr">
        <is>
          <t>avverkningsanmälan</t>
        </is>
      </c>
      <c r="C188" t="inlineStr">
        <is>
          <t>Föryngringsavverkning</t>
        </is>
      </c>
      <c r="D188" s="1" t="n">
        <v>44929</v>
      </c>
      <c r="E188" s="1" t="n">
        <v>46249</v>
      </c>
      <c r="F188" t="inlineStr">
        <is>
          <t>GOTLANDS LÄN</t>
        </is>
      </c>
      <c r="G188" t="inlineStr">
        <is>
          <t>GOTLAND</t>
        </is>
      </c>
      <c r="I188" t="n">
        <v>5.1</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447-2023 artfynd.xlsx", "A 447-2023")</f>
        <v/>
      </c>
      <c r="X188">
        <f>HYPERLINK("https://klasma.github.io/Logging_0980/kartor/A 447-2023 karta.png", "A 447-2023")</f>
        <v/>
      </c>
      <c r="Y188">
        <f>HYPERLINK("https://klasma.github.io/Logging_0980/kartor_geotiff/A 447-2023 georefererad karta.tif", "A 447-2023")</f>
        <v/>
      </c>
      <c r="AA188">
        <f>HYPERLINK("https://klasma.github.io/Logging_0980/klagomål/A 447-2023 FSC-klagomål.docx", "A 447-2023")</f>
        <v/>
      </c>
      <c r="AB188">
        <f>HYPERLINK("https://klasma.github.io/Logging_0980/klagomålsmail/A 447-2023 FSC-klagomål mail.docx", "A 447-2023")</f>
        <v/>
      </c>
      <c r="AC188">
        <f>HYPERLINK("https://klasma.github.io/Logging_0980/tillsyn/A 447-2023 tillsynsbegäran.docx", "A 447-2023")</f>
        <v/>
      </c>
      <c r="AD188">
        <f>HYPERLINK("https://klasma.github.io/Logging_0980/tillsynsmail/A 447-2023 tillsynsbegäran mail.docx", "A 447-2023")</f>
        <v/>
      </c>
    </row>
    <row r="189" ht="15" customHeight="1">
      <c r="A189" t="inlineStr">
        <is>
          <t>A 49847-2023</t>
        </is>
      </c>
      <c r="B189" t="inlineStr">
        <is>
          <t>avverkningsanmälan</t>
        </is>
      </c>
      <c r="C189" t="inlineStr">
        <is>
          <t>Föryngringsavverkning</t>
        </is>
      </c>
      <c r="D189" s="1" t="n">
        <v>45212</v>
      </c>
      <c r="E189" s="1" t="n">
        <v>46249</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947-2023</t>
        </is>
      </c>
      <c r="B190" t="inlineStr">
        <is>
          <t>avverkningsanmälan</t>
        </is>
      </c>
      <c r="C190" t="inlineStr">
        <is>
          <t>Föryngringsavverkning</t>
        </is>
      </c>
      <c r="D190" s="1" t="n">
        <v>44934</v>
      </c>
      <c r="E190" s="1" t="n">
        <v>46249</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56115-2023</t>
        </is>
      </c>
      <c r="B191" t="inlineStr">
        <is>
          <t>avverkningsanmälan</t>
        </is>
      </c>
      <c r="C191" t="inlineStr">
        <is>
          <t>Avverkning för annat ändamål</t>
        </is>
      </c>
      <c r="D191" s="1" t="n">
        <v>45236</v>
      </c>
      <c r="E191" s="1" t="n">
        <v>46249</v>
      </c>
      <c r="F191" t="inlineStr">
        <is>
          <t>GOTLANDS LÄN</t>
        </is>
      </c>
      <c r="G191" t="inlineStr">
        <is>
          <t>GOTLAND</t>
        </is>
      </c>
      <c r="I191" t="n">
        <v>2</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HYPERLINK("https://klasma.github.io/Logging_0980/artfynd/A 56115-2023 artfynd.xlsx", "A 56115-2023")</f>
        <v/>
      </c>
      <c r="X191">
        <f>HYPERLINK("https://klasma.github.io/Logging_0980/kartor/A 56115-2023 karta.png", "A 56115-2023")</f>
        <v/>
      </c>
      <c r="Y191">
        <f>HYPERLINK("https://klasma.github.io/Logging_0980/kartor_geotiff/A 56115-2023 georefererad karta.tif", "A 56115-2023")</f>
        <v/>
      </c>
      <c r="AA191">
        <f>HYPERLINK("https://klasma.github.io/Logging_0980/klagomål/A 56115-2023 FSC-klagomål.docx", "A 56115-2023")</f>
        <v/>
      </c>
      <c r="AB191">
        <f>HYPERLINK("https://klasma.github.io/Logging_0980/klagomålsmail/A 56115-2023 FSC-klagomål mail.docx", "A 56115-2023")</f>
        <v/>
      </c>
      <c r="AC191">
        <f>HYPERLINK("https://klasma.github.io/Logging_0980/tillsyn/A 56115-2023 tillsynsbegäran.docx", "A 56115-2023")</f>
        <v/>
      </c>
      <c r="AD191">
        <f>HYPERLINK("https://klasma.github.io/Logging_0980/tillsynsmail/A 56115-2023 tillsynsbegäran mail.docx", "A 56115-2023")</f>
        <v/>
      </c>
    </row>
    <row r="192" ht="15" customHeight="1">
      <c r="A192" t="inlineStr">
        <is>
          <t>A 21396-2026</t>
        </is>
      </c>
      <c r="B192" t="inlineStr">
        <is>
          <t>avverkningsanmälan</t>
        </is>
      </c>
      <c r="C192" t="inlineStr">
        <is>
          <t>Föryngringsavverkning</t>
        </is>
      </c>
      <c r="D192" s="1" t="n">
        <v>46148</v>
      </c>
      <c r="E192" s="1" t="n">
        <v>46249</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49304-2024</t>
        </is>
      </c>
      <c r="B193" t="inlineStr">
        <is>
          <t>avverkningsanmälan</t>
        </is>
      </c>
      <c r="C193" t="inlineStr">
        <is>
          <t>Föryngringsavverkning</t>
        </is>
      </c>
      <c r="D193" s="1" t="n">
        <v>45595</v>
      </c>
      <c r="E193" s="1" t="n">
        <v>46249</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46545-2024</t>
        </is>
      </c>
      <c r="B194" t="inlineStr">
        <is>
          <t>avverkningsanmälan</t>
        </is>
      </c>
      <c r="C194" t="inlineStr">
        <is>
          <t>Föryngringsavverkning</t>
        </is>
      </c>
      <c r="D194" s="1" t="n">
        <v>45582</v>
      </c>
      <c r="E194" s="1" t="n">
        <v>46249</v>
      </c>
      <c r="F194" t="inlineStr">
        <is>
          <t>GOTLANDS LÄN</t>
        </is>
      </c>
      <c r="G194" t="inlineStr">
        <is>
          <t>GOTLAND</t>
        </is>
      </c>
      <c r="I194" t="n">
        <v>1.2</v>
      </c>
      <c r="J194" t="n">
        <v>0</v>
      </c>
      <c r="K194" t="n">
        <v>0</v>
      </c>
      <c r="L194" t="n">
        <v>0</v>
      </c>
      <c r="M194" t="n">
        <v>1</v>
      </c>
      <c r="N194" t="n">
        <v>0</v>
      </c>
      <c r="O194" t="n">
        <v>0</v>
      </c>
      <c r="P194" t="n">
        <v>0</v>
      </c>
      <c r="Q194" t="n">
        <v>1</v>
      </c>
      <c r="R194" t="n">
        <v>1</v>
      </c>
      <c r="S194" t="n">
        <v>1</v>
      </c>
      <c r="T194" t="n">
        <v>1</v>
      </c>
      <c r="U194" t="n">
        <v>1</v>
      </c>
      <c r="V194" s="2" t="inlineStr">
        <is>
          <t>Källnate</t>
        </is>
      </c>
      <c r="W194">
        <f>HYPERLINK("https://klasma.github.io/Logging_0980/artfynd/A 46545-2024 artfynd.xlsx", "A 46545-2024")</f>
        <v/>
      </c>
      <c r="X194">
        <f>HYPERLINK("https://klasma.github.io/Logging_0980/kartor/A 46545-2024 karta.png", "A 46545-2024")</f>
        <v/>
      </c>
      <c r="Y194">
        <f>HYPERLINK("https://klasma.github.io/Logging_0980/kartor_geotiff/A 46545-2024 georefererad karta.tif", "A 46545-2024")</f>
        <v/>
      </c>
      <c r="AA194">
        <f>HYPERLINK("https://klasma.github.io/Logging_0980/klagomål/A 46545-2024 FSC-klagomål.docx", "A 46545-2024")</f>
        <v/>
      </c>
      <c r="AB194">
        <f>HYPERLINK("https://klasma.github.io/Logging_0980/klagomålsmail/A 46545-2024 FSC-klagomål mail.docx", "A 46545-2024")</f>
        <v/>
      </c>
      <c r="AC194">
        <f>HYPERLINK("https://klasma.github.io/Logging_0980/tillsyn/A 46545-2024 tillsynsbegäran.docx", "A 46545-2024")</f>
        <v/>
      </c>
      <c r="AD194">
        <f>HYPERLINK("https://klasma.github.io/Logging_0980/tillsynsmail/A 46545-2024 tillsynsbegäran mail.docx", "A 46545-2024")</f>
        <v/>
      </c>
    </row>
    <row r="195" ht="15" customHeight="1">
      <c r="A195" t="inlineStr">
        <is>
          <t>A 62915-2021</t>
        </is>
      </c>
      <c r="B195" t="inlineStr">
        <is>
          <t>avverkningsanmälan</t>
        </is>
      </c>
      <c r="C195" t="inlineStr">
        <is>
          <t>Föryngringsavverkning</t>
        </is>
      </c>
      <c r="D195" s="1" t="n">
        <v>44504</v>
      </c>
      <c r="E195" s="1" t="n">
        <v>46249</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1477-2024</t>
        </is>
      </c>
      <c r="B196" t="inlineStr">
        <is>
          <t>avverkningsanmälan</t>
        </is>
      </c>
      <c r="C196" t="inlineStr">
        <is>
          <t>Föryngringsavverkning</t>
        </is>
      </c>
      <c r="D196" s="1" t="n">
        <v>45305</v>
      </c>
      <c r="E196" s="1" t="n">
        <v>46249</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46249</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7637-2025</t>
        </is>
      </c>
      <c r="B198" t="inlineStr">
        <is>
          <t>avverkningsanmälan</t>
        </is>
      </c>
      <c r="C198" t="inlineStr">
        <is>
          <t>Föryngringsavverkning</t>
        </is>
      </c>
      <c r="D198" s="1" t="n">
        <v>45705</v>
      </c>
      <c r="E198" s="1" t="n">
        <v>46249</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t="n">
        <v>1</v>
      </c>
      <c r="V198" s="2" t="inlineStr">
        <is>
          <t>Skogsalm</t>
        </is>
      </c>
      <c r="W198">
        <f>HYPERLINK("https://klasma.github.io/Logging_0980/artfynd/A 7637-2025 artfynd.xlsx", "A 7637-2025")</f>
        <v/>
      </c>
      <c r="X198">
        <f>HYPERLINK("https://klasma.github.io/Logging_0980/kartor/A 7637-2025 karta.png", "A 7637-2025")</f>
        <v/>
      </c>
      <c r="Y198">
        <f>HYPERLINK("https://klasma.github.io/Logging_0980/kartor_geotiff/A 7637-2025 georefererad karta.tif", "A 7637-2025")</f>
        <v/>
      </c>
      <c r="AA198">
        <f>HYPERLINK("https://klasma.github.io/Logging_0980/klagomål/A 7637-2025 FSC-klagomål.docx", "A 7637-2025")</f>
        <v/>
      </c>
      <c r="AB198">
        <f>HYPERLINK("https://klasma.github.io/Logging_0980/klagomålsmail/A 7637-2025 FSC-klagomål mail.docx", "A 7637-2025")</f>
        <v/>
      </c>
      <c r="AC198">
        <f>HYPERLINK("https://klasma.github.io/Logging_0980/tillsyn/A 7637-2025 tillsynsbegäran.docx", "A 7637-2025")</f>
        <v/>
      </c>
      <c r="AD198">
        <f>HYPERLINK("https://klasma.github.io/Logging_0980/tillsynsmail/A 7637-2025 tillsynsbegäran mail.docx", "A 7637-2025")</f>
        <v/>
      </c>
    </row>
    <row r="199" ht="15" customHeight="1">
      <c r="A199" t="inlineStr">
        <is>
          <t>A 11982-2026</t>
        </is>
      </c>
      <c r="B199" t="inlineStr">
        <is>
          <t>avverkningsanmälan</t>
        </is>
      </c>
      <c r="C199" t="inlineStr">
        <is>
          <t>Föryngringsavverkning</t>
        </is>
      </c>
      <c r="D199" s="1" t="n">
        <v>46085</v>
      </c>
      <c r="E199" s="1" t="n">
        <v>46249</v>
      </c>
      <c r="F199" t="inlineStr">
        <is>
          <t>GOTLANDS LÄN</t>
        </is>
      </c>
      <c r="G199" t="inlineStr">
        <is>
          <t>GOTLAND</t>
        </is>
      </c>
      <c r="I199" t="n">
        <v>2.2</v>
      </c>
      <c r="J199" t="n">
        <v>0</v>
      </c>
      <c r="K199" t="n">
        <v>0</v>
      </c>
      <c r="L199" t="n">
        <v>1</v>
      </c>
      <c r="M199" t="n">
        <v>0</v>
      </c>
      <c r="N199" t="n">
        <v>0</v>
      </c>
      <c r="O199" t="n">
        <v>0</v>
      </c>
      <c r="P199" t="n">
        <v>0</v>
      </c>
      <c r="Q199" t="n">
        <v>1</v>
      </c>
      <c r="R199" t="n">
        <v>0</v>
      </c>
      <c r="S199" t="n">
        <v>1</v>
      </c>
      <c r="T199" t="n">
        <v>1</v>
      </c>
      <c r="U199" t="n">
        <v>0</v>
      </c>
      <c r="V199" s="2" t="inlineStr">
        <is>
          <t>Småtörel</t>
        </is>
      </c>
      <c r="W199">
        <f>HYPERLINK("https://klasma.github.io/Logging_0980/artfynd/A 11982-2026 artfynd.xlsx", "A 11982-2026")</f>
        <v/>
      </c>
      <c r="X199">
        <f>HYPERLINK("https://klasma.github.io/Logging_0980/kartor/A 11982-2026 karta.png", "A 11982-2026")</f>
        <v/>
      </c>
      <c r="Y199">
        <f>HYPERLINK("https://klasma.github.io/Logging_0980/kartor_geotiff/A 11982-2026 georefererad karta.tif", "A 11982-2026")</f>
        <v/>
      </c>
      <c r="AA199">
        <f>HYPERLINK("https://klasma.github.io/Logging_0980/klagomål/A 11982-2026 FSC-klagomål.docx", "A 11982-2026")</f>
        <v/>
      </c>
      <c r="AB199">
        <f>HYPERLINK("https://klasma.github.io/Logging_0980/klagomålsmail/A 11982-2026 FSC-klagomål mail.docx", "A 11982-2026")</f>
        <v/>
      </c>
      <c r="AC199">
        <f>HYPERLINK("https://klasma.github.io/Logging_0980/tillsyn/A 11982-2026 tillsynsbegäran.docx", "A 11982-2026")</f>
        <v/>
      </c>
      <c r="AD199">
        <f>HYPERLINK("https://klasma.github.io/Logging_0980/tillsynsmail/A 11982-2026 tillsynsbegäran mail.docx", "A 11982-2026")</f>
        <v/>
      </c>
    </row>
    <row r="200" ht="15" customHeight="1">
      <c r="A200" t="inlineStr">
        <is>
          <t>A 5863-2026</t>
        </is>
      </c>
      <c r="B200" t="inlineStr">
        <is>
          <t>avverkningsanmälan</t>
        </is>
      </c>
      <c r="C200" t="inlineStr">
        <is>
          <t>Föryngringsavverkning</t>
        </is>
      </c>
      <c r="D200" s="1" t="n">
        <v>46052</v>
      </c>
      <c r="E200" s="1" t="n">
        <v>46249</v>
      </c>
      <c r="F200" t="inlineStr">
        <is>
          <t>GOTLANDS LÄN</t>
        </is>
      </c>
      <c r="G200" t="inlineStr">
        <is>
          <t>GOTLAND</t>
        </is>
      </c>
      <c r="I200" t="n">
        <v>1.8</v>
      </c>
      <c r="J200" t="n">
        <v>1</v>
      </c>
      <c r="K200" t="n">
        <v>0</v>
      </c>
      <c r="L200" t="n">
        <v>1</v>
      </c>
      <c r="M200" t="n">
        <v>0</v>
      </c>
      <c r="N200" t="n">
        <v>0</v>
      </c>
      <c r="O200" t="n">
        <v>0</v>
      </c>
      <c r="P200" t="n">
        <v>0</v>
      </c>
      <c r="Q200" t="n">
        <v>1</v>
      </c>
      <c r="R200" t="n">
        <v>0</v>
      </c>
      <c r="S200" t="n">
        <v>1</v>
      </c>
      <c r="T200" t="n">
        <v>33</v>
      </c>
      <c r="U200" t="n">
        <v>23</v>
      </c>
      <c r="V200" s="2" t="inlineStr">
        <is>
          <t>Dårgräsfjäril</t>
        </is>
      </c>
      <c r="W200">
        <f>HYPERLINK("https://klasma.github.io/Logging_0980/artfynd/A 5863-2026 artfynd.xlsx", "A 5863-2026")</f>
        <v/>
      </c>
      <c r="X200">
        <f>HYPERLINK("https://klasma.github.io/Logging_0980/kartor/A 5863-2026 karta.png", "A 5863-2026")</f>
        <v/>
      </c>
      <c r="Y200">
        <f>HYPERLINK("https://klasma.github.io/Logging_0980/kartor_geotiff/A 5863-2026 georefererad karta.tif", "A 5863-2026")</f>
        <v/>
      </c>
      <c r="AA200">
        <f>HYPERLINK("https://klasma.github.io/Logging_0980/klagomål/A 5863-2026 FSC-klagomål.docx", "A 5863-2026")</f>
        <v/>
      </c>
      <c r="AB200">
        <f>HYPERLINK("https://klasma.github.io/Logging_0980/klagomålsmail/A 5863-2026 FSC-klagomål mail.docx", "A 5863-2026")</f>
        <v/>
      </c>
      <c r="AC200">
        <f>HYPERLINK("https://klasma.github.io/Logging_0980/tillsyn/A 5863-2026 tillsynsbegäran.docx", "A 5863-2026")</f>
        <v/>
      </c>
      <c r="AD200">
        <f>HYPERLINK("https://klasma.github.io/Logging_0980/tillsynsmail/A 5863-2026 tillsynsbegäran mail.docx", "A 5863-2026")</f>
        <v/>
      </c>
    </row>
    <row r="201" ht="15" customHeight="1">
      <c r="A201" t="inlineStr">
        <is>
          <t>A 6303-2024</t>
        </is>
      </c>
      <c r="B201" t="inlineStr">
        <is>
          <t>avverkningsanmälan</t>
        </is>
      </c>
      <c r="C201" t="inlineStr">
        <is>
          <t>Föryngringsavverkning</t>
        </is>
      </c>
      <c r="D201" s="1" t="n">
        <v>45338</v>
      </c>
      <c r="E201" s="1" t="n">
        <v>46249</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Strävlosta</t>
        </is>
      </c>
      <c r="W201">
        <f>HYPERLINK("https://klasma.github.io/Logging_0980/artfynd/A 6303-2024 artfynd.xlsx", "A 6303-2024")</f>
        <v/>
      </c>
      <c r="X201">
        <f>HYPERLINK("https://klasma.github.io/Logging_0980/kartor/A 6303-2024 karta.png", "A 6303-2024")</f>
        <v/>
      </c>
      <c r="Y201">
        <f>HYPERLINK("https://klasma.github.io/Logging_0980/kartor_geotiff/A 6303-2024 georefererad karta.tif", "A 6303-2024")</f>
        <v/>
      </c>
      <c r="AA201">
        <f>HYPERLINK("https://klasma.github.io/Logging_0980/klagomål/A 6303-2024 FSC-klagomål.docx", "A 6303-2024")</f>
        <v/>
      </c>
      <c r="AB201">
        <f>HYPERLINK("https://klasma.github.io/Logging_0980/klagomålsmail/A 6303-2024 FSC-klagomål mail.docx", "A 6303-2024")</f>
        <v/>
      </c>
      <c r="AC201">
        <f>HYPERLINK("https://klasma.github.io/Logging_0980/tillsyn/A 6303-2024 tillsynsbegäran.docx", "A 6303-2024")</f>
        <v/>
      </c>
      <c r="AD201">
        <f>HYPERLINK("https://klasma.github.io/Logging_0980/tillsynsmail/A 6303-2024 tillsynsbegäran mail.docx", "A 6303-2024")</f>
        <v/>
      </c>
    </row>
    <row r="202" ht="15" customHeight="1">
      <c r="A202" t="inlineStr">
        <is>
          <t>A 18036-2026</t>
        </is>
      </c>
      <c r="B202" t="inlineStr">
        <is>
          <t>avverkningsanmälan</t>
        </is>
      </c>
      <c r="C202" t="inlineStr">
        <is>
          <t>Föryngringsavverkning</t>
        </is>
      </c>
      <c r="D202" s="1" t="n">
        <v>46125</v>
      </c>
      <c r="E202" s="1" t="n">
        <v>46249</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46249</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27343-2026</t>
        </is>
      </c>
      <c r="B204" t="inlineStr">
        <is>
          <t>avverkningsanmälan</t>
        </is>
      </c>
      <c r="C204" t="inlineStr">
        <is>
          <t>Föryngringsavverkning</t>
        </is>
      </c>
      <c r="D204" s="1" t="n">
        <v>46188</v>
      </c>
      <c r="E204" s="1" t="n">
        <v>46249</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40294-2022</t>
        </is>
      </c>
      <c r="B205" t="inlineStr">
        <is>
          <t>avverkningsanmälan</t>
        </is>
      </c>
      <c r="C205" t="inlineStr">
        <is>
          <t>Föryngringsavverkning</t>
        </is>
      </c>
      <c r="D205" s="1" t="n">
        <v>44821</v>
      </c>
      <c r="E205" s="1" t="n">
        <v>46249</v>
      </c>
      <c r="F205" t="inlineStr">
        <is>
          <t>GOTLANDS LÄN</t>
        </is>
      </c>
      <c r="G205" t="inlineStr">
        <is>
          <t>GOTLAND</t>
        </is>
      </c>
      <c r="I205" t="n">
        <v>1.6</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HYPERLINK("https://klasma.github.io/Logging_0980/artfynd/A 40294-2022 artfynd.xlsx", "A 40294-2022")</f>
        <v/>
      </c>
      <c r="X205">
        <f>HYPERLINK("https://klasma.github.io/Logging_0980/kartor/A 40294-2022 karta.png", "A 40294-2022")</f>
        <v/>
      </c>
      <c r="Y205">
        <f>HYPERLINK("https://klasma.github.io/Logging_0980/kartor_geotiff/A 40294-2022 georefererad karta.tif", "A 40294-2022")</f>
        <v/>
      </c>
      <c r="AA205">
        <f>HYPERLINK("https://klasma.github.io/Logging_0980/klagomål/A 40294-2022 FSC-klagomål.docx", "A 40294-2022")</f>
        <v/>
      </c>
      <c r="AB205">
        <f>HYPERLINK("https://klasma.github.io/Logging_0980/klagomålsmail/A 40294-2022 FSC-klagomål mail.docx", "A 40294-2022")</f>
        <v/>
      </c>
      <c r="AC205">
        <f>HYPERLINK("https://klasma.github.io/Logging_0980/tillsyn/A 40294-2022 tillsynsbegäran.docx", "A 40294-2022")</f>
        <v/>
      </c>
      <c r="AD205">
        <f>HYPERLINK("https://klasma.github.io/Logging_0980/tillsynsmail/A 40294-2022 tillsynsbegäran mail.docx", "A 40294-2022")</f>
        <v/>
      </c>
    </row>
    <row r="206" ht="15" customHeight="1">
      <c r="A206" t="inlineStr">
        <is>
          <t>A 34809-2024</t>
        </is>
      </c>
      <c r="B206" t="inlineStr">
        <is>
          <t>avverkningsanmälan</t>
        </is>
      </c>
      <c r="C206" t="inlineStr">
        <is>
          <t>Föryngringsavverkning</t>
        </is>
      </c>
      <c r="D206" s="1" t="n">
        <v>45526</v>
      </c>
      <c r="E206" s="1" t="n">
        <v>46249</v>
      </c>
      <c r="F206" t="inlineStr">
        <is>
          <t>GOTLANDS LÄN</t>
        </is>
      </c>
      <c r="G206" t="inlineStr">
        <is>
          <t>GOTLAND</t>
        </is>
      </c>
      <c r="I206" t="n">
        <v>9.9</v>
      </c>
      <c r="J206" t="n">
        <v>1</v>
      </c>
      <c r="K206" t="n">
        <v>0</v>
      </c>
      <c r="L206" t="n">
        <v>1</v>
      </c>
      <c r="M206" t="n">
        <v>0</v>
      </c>
      <c r="N206" t="n">
        <v>0</v>
      </c>
      <c r="O206" t="n">
        <v>0</v>
      </c>
      <c r="P206" t="n">
        <v>0</v>
      </c>
      <c r="Q206" t="n">
        <v>1</v>
      </c>
      <c r="R206" t="n">
        <v>0</v>
      </c>
      <c r="S206" t="n">
        <v>1</v>
      </c>
      <c r="T206" t="n">
        <v>2</v>
      </c>
      <c r="U206" t="n">
        <v>1</v>
      </c>
      <c r="V206" s="2" t="inlineStr">
        <is>
          <t>Brun ögontröst</t>
        </is>
      </c>
      <c r="W206">
        <f>HYPERLINK("https://klasma.github.io/Logging_0980/artfynd/A 34809-2024 artfynd.xlsx", "A 34809-2024")</f>
        <v/>
      </c>
      <c r="X206">
        <f>HYPERLINK("https://klasma.github.io/Logging_0980/kartor/A 34809-2024 karta.png", "A 34809-2024")</f>
        <v/>
      </c>
      <c r="Y206">
        <f>HYPERLINK("https://klasma.github.io/Logging_0980/kartor_geotiff/A 34809-2024 georefererad karta.tif", "A 34809-2024")</f>
        <v/>
      </c>
      <c r="AA206">
        <f>HYPERLINK("https://klasma.github.io/Logging_0980/klagomål/A 34809-2024 FSC-klagomål.docx", "A 34809-2024")</f>
        <v/>
      </c>
      <c r="AB206">
        <f>HYPERLINK("https://klasma.github.io/Logging_0980/klagomålsmail/A 34809-2024 FSC-klagomål mail.docx", "A 34809-2024")</f>
        <v/>
      </c>
      <c r="AC206">
        <f>HYPERLINK("https://klasma.github.io/Logging_0980/tillsyn/A 34809-2024 tillsynsbegäran.docx", "A 34809-2024")</f>
        <v/>
      </c>
      <c r="AD206">
        <f>HYPERLINK("https://klasma.github.io/Logging_0980/tillsynsmail/A 34809-2024 tillsynsbegäran mail.docx", "A 34809-2024")</f>
        <v/>
      </c>
    </row>
    <row r="207" ht="15" customHeight="1">
      <c r="A207" t="inlineStr">
        <is>
          <t>A 34141-2024</t>
        </is>
      </c>
      <c r="B207" t="inlineStr">
        <is>
          <t>avverkningsanmälan</t>
        </is>
      </c>
      <c r="C207" t="inlineStr">
        <is>
          <t>Föryngringsavverkning</t>
        </is>
      </c>
      <c r="D207" s="1" t="n">
        <v>45524</v>
      </c>
      <c r="E207" s="1" t="n">
        <v>46249</v>
      </c>
      <c r="F207" t="inlineStr">
        <is>
          <t>GOTLANDS LÄN</t>
        </is>
      </c>
      <c r="G207" t="inlineStr">
        <is>
          <t>GOTLAND</t>
        </is>
      </c>
      <c r="I207" t="n">
        <v>0.9</v>
      </c>
      <c r="J207" t="n">
        <v>0</v>
      </c>
      <c r="K207" t="n">
        <v>1</v>
      </c>
      <c r="L207" t="n">
        <v>0</v>
      </c>
      <c r="M207" t="n">
        <v>0</v>
      </c>
      <c r="N207" t="n">
        <v>0</v>
      </c>
      <c r="O207" t="n">
        <v>0</v>
      </c>
      <c r="P207" t="n">
        <v>0</v>
      </c>
      <c r="Q207" t="n">
        <v>0</v>
      </c>
      <c r="R207" t="n">
        <v>0</v>
      </c>
      <c r="S207" t="n">
        <v>1</v>
      </c>
      <c r="T207" t="n">
        <v>1</v>
      </c>
      <c r="U207" t="n">
        <v>1</v>
      </c>
      <c r="V207" s="2" t="inlineStr">
        <is>
          <t>Strävlosta</t>
        </is>
      </c>
      <c r="W207">
        <f>HYPERLINK("https://klasma.github.io/Logging_0980/artfynd/A 34141-2024 artfynd.xlsx", "A 34141-2024")</f>
        <v/>
      </c>
      <c r="X207">
        <f>HYPERLINK("https://klasma.github.io/Logging_0980/kartor/A 34141-2024 karta.png", "A 34141-2024")</f>
        <v/>
      </c>
      <c r="Y207">
        <f>HYPERLINK("https://klasma.github.io/Logging_0980/kartor_geotiff/A 34141-2024 georefererad karta.tif", "A 34141-2024")</f>
        <v/>
      </c>
      <c r="AA207">
        <f>HYPERLINK("https://klasma.github.io/Logging_0980/klagomål/A 34141-2024 FSC-klagomål.docx", "A 34141-2024")</f>
        <v/>
      </c>
      <c r="AB207">
        <f>HYPERLINK("https://klasma.github.io/Logging_0980/klagomålsmail/A 34141-2024 FSC-klagomål mail.docx", "A 34141-2024")</f>
        <v/>
      </c>
      <c r="AC207">
        <f>HYPERLINK("https://klasma.github.io/Logging_0980/tillsyn/A 34141-2024 tillsynsbegäran.docx", "A 34141-2024")</f>
        <v/>
      </c>
      <c r="AD207">
        <f>HYPERLINK("https://klasma.github.io/Logging_0980/tillsynsmail/A 34141-2024 tillsynsbegäran mail.docx", "A 34141-2024")</f>
        <v/>
      </c>
    </row>
    <row r="208" ht="15" customHeight="1">
      <c r="A208" t="inlineStr">
        <is>
          <t>A 64700-2021</t>
        </is>
      </c>
      <c r="B208" t="inlineStr">
        <is>
          <t>avverkningsanmälan</t>
        </is>
      </c>
      <c r="C208" t="inlineStr">
        <is>
          <t>Avverkning för att bevara och utveckla /försöksver</t>
        </is>
      </c>
      <c r="D208" s="1" t="n">
        <v>44511</v>
      </c>
      <c r="E208" s="1" t="n">
        <v>46249</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9862-2024</t>
        </is>
      </c>
      <c r="B209" t="inlineStr">
        <is>
          <t>avverkningsanmälan</t>
        </is>
      </c>
      <c r="C209" t="inlineStr">
        <is>
          <t>Föryngringsavverkning</t>
        </is>
      </c>
      <c r="D209" s="1" t="n">
        <v>45363</v>
      </c>
      <c r="E209" s="1" t="n">
        <v>46249</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30104-2025</t>
        </is>
      </c>
      <c r="B210" t="inlineStr">
        <is>
          <t>avverkningsanmälan</t>
        </is>
      </c>
      <c r="C210" t="inlineStr">
        <is>
          <t>Föryngringsavverkning</t>
        </is>
      </c>
      <c r="D210" s="1" t="n">
        <v>45826</v>
      </c>
      <c r="E210" s="1" t="n">
        <v>46249</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30176-2026</t>
        </is>
      </c>
      <c r="B211" t="inlineStr">
        <is>
          <t>avverkningsanmälan</t>
        </is>
      </c>
      <c r="C211" t="inlineStr">
        <is>
          <t>Avverkning för annat ändamål</t>
        </is>
      </c>
      <c r="D211" s="1" t="n">
        <v>46203</v>
      </c>
      <c r="E211" s="1" t="n">
        <v>46249</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46249</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46249</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46249</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46249</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46249</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46249</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46249</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46249</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46249</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46249</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46249</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46249</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46249</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46249</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46249</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46249</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46249</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46249</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46249</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46249</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46249</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46249</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22031-2024</t>
        </is>
      </c>
      <c r="B234" t="inlineStr">
        <is>
          <t>avverkningsanmälan</t>
        </is>
      </c>
      <c r="C234" t="inlineStr">
        <is>
          <t>Föryngringsavverkning</t>
        </is>
      </c>
      <c r="D234" s="1" t="n">
        <v>45443</v>
      </c>
      <c r="E234" s="1" t="n">
        <v>46249</v>
      </c>
      <c r="F234" t="inlineStr">
        <is>
          <t>GOTLANDS LÄN</t>
        </is>
      </c>
      <c r="G234" t="inlineStr">
        <is>
          <t>GOTLAND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44919-2022</t>
        </is>
      </c>
      <c r="B235" t="inlineStr">
        <is>
          <t>avverkningsanmälan</t>
        </is>
      </c>
      <c r="C235" t="inlineStr">
        <is>
          <t>Föryngringsavverkning</t>
        </is>
      </c>
      <c r="D235" s="1" t="n">
        <v>44841</v>
      </c>
      <c r="E235" s="1" t="n">
        <v>46249</v>
      </c>
      <c r="F235" t="inlineStr">
        <is>
          <t>GOTLANDS LÄN</t>
        </is>
      </c>
      <c r="G235" t="inlineStr">
        <is>
          <t>GOTLAND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46249</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6108-2025</t>
        </is>
      </c>
      <c r="B237" t="inlineStr">
        <is>
          <t>avverkningsanmälan</t>
        </is>
      </c>
      <c r="C237" t="inlineStr">
        <is>
          <t>Föryngringsavverkning</t>
        </is>
      </c>
      <c r="D237" s="1" t="n">
        <v>45698</v>
      </c>
      <c r="E237" s="1" t="n">
        <v>46249</v>
      </c>
      <c r="F237" t="inlineStr">
        <is>
          <t>GOTLANDS LÄN</t>
        </is>
      </c>
      <c r="G237" t="inlineStr">
        <is>
          <t>GOTLAND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21142-2025</t>
        </is>
      </c>
      <c r="B238" t="inlineStr">
        <is>
          <t>avverkningsanmälan</t>
        </is>
      </c>
      <c r="C238" t="inlineStr">
        <is>
          <t>Föryngringsavverkning</t>
        </is>
      </c>
      <c r="D238" s="1" t="n">
        <v>45779</v>
      </c>
      <c r="E238" s="1" t="n">
        <v>46249</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17343-2025</t>
        </is>
      </c>
      <c r="B239" t="inlineStr">
        <is>
          <t>avverkningsanmälan</t>
        </is>
      </c>
      <c r="C239" t="inlineStr">
        <is>
          <t>Föryngringsavverkning</t>
        </is>
      </c>
      <c r="D239" s="1" t="n">
        <v>45756</v>
      </c>
      <c r="E239" s="1" t="n">
        <v>46249</v>
      </c>
      <c r="F239" t="inlineStr">
        <is>
          <t>GOTLANDS LÄN</t>
        </is>
      </c>
      <c r="G239" t="inlineStr">
        <is>
          <t>GOTLAND</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46249</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18938-2025</t>
        </is>
      </c>
      <c r="B241" t="inlineStr">
        <is>
          <t>avverkningsanmälan</t>
        </is>
      </c>
      <c r="C241" t="inlineStr">
        <is>
          <t>Föryngringsavverkning</t>
        </is>
      </c>
      <c r="D241" s="1" t="n">
        <v>45764</v>
      </c>
      <c r="E241" s="1" t="n">
        <v>46249</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20307-2025</t>
        </is>
      </c>
      <c r="B242" t="inlineStr">
        <is>
          <t>avverkningsanmälan</t>
        </is>
      </c>
      <c r="C242" t="inlineStr">
        <is>
          <t>Föryngringsavverkning</t>
        </is>
      </c>
      <c r="D242" s="1" t="n">
        <v>45774</v>
      </c>
      <c r="E242" s="1" t="n">
        <v>46249</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13498-2022</t>
        </is>
      </c>
      <c r="B243" t="inlineStr">
        <is>
          <t>avverkningsanmälan</t>
        </is>
      </c>
      <c r="C243" t="inlineStr">
        <is>
          <t>Föryngringsavverkning</t>
        </is>
      </c>
      <c r="D243" s="1" t="n">
        <v>44647</v>
      </c>
      <c r="E243" s="1" t="n">
        <v>46249</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13500-2022</t>
        </is>
      </c>
      <c r="B244" t="inlineStr">
        <is>
          <t>avverkningsanmälan</t>
        </is>
      </c>
      <c r="C244" t="inlineStr">
        <is>
          <t>Föryngringsavverkning</t>
        </is>
      </c>
      <c r="D244" s="1" t="n">
        <v>44647</v>
      </c>
      <c r="E244" s="1" t="n">
        <v>46249</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46249</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46249</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42338-2023</t>
        </is>
      </c>
      <c r="B247" t="inlineStr">
        <is>
          <t>avverkningsanmälan</t>
        </is>
      </c>
      <c r="C247" t="inlineStr">
        <is>
          <t>Föryngringsavverkning</t>
        </is>
      </c>
      <c r="D247" s="1" t="n">
        <v>45180</v>
      </c>
      <c r="E247" s="1" t="n">
        <v>46249</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46249</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17682-2024</t>
        </is>
      </c>
      <c r="B249" t="inlineStr">
        <is>
          <t>avverkningsanmälan</t>
        </is>
      </c>
      <c r="C249" t="inlineStr">
        <is>
          <t>Föryngringsavverkning</t>
        </is>
      </c>
      <c r="D249" s="1" t="n">
        <v>45418</v>
      </c>
      <c r="E249" s="1" t="n">
        <v>46249</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57522-2022</t>
        </is>
      </c>
      <c r="B250" t="inlineStr">
        <is>
          <t>avverkningsanmälan</t>
        </is>
      </c>
      <c r="C250" t="inlineStr">
        <is>
          <t>Föryngringsavverkning</t>
        </is>
      </c>
      <c r="D250" s="1" t="n">
        <v>44896</v>
      </c>
      <c r="E250" s="1" t="n">
        <v>46249</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57219-2021</t>
        </is>
      </c>
      <c r="B251" t="inlineStr">
        <is>
          <t>avverkningsanmälan</t>
        </is>
      </c>
      <c r="C251" t="inlineStr">
        <is>
          <t>Föryngringsavverkning</t>
        </is>
      </c>
      <c r="D251" s="1" t="n">
        <v>44483</v>
      </c>
      <c r="E251" s="1" t="n">
        <v>46249</v>
      </c>
      <c r="F251" t="inlineStr">
        <is>
          <t>GOTLANDS LÄN</t>
        </is>
      </c>
      <c r="G251" t="inlineStr">
        <is>
          <t>GOTLAND</t>
        </is>
      </c>
      <c r="H251" t="inlineStr">
        <is>
          <t>Kyrkan</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46249</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46249</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35141-2025</t>
        </is>
      </c>
      <c r="B254" t="inlineStr">
        <is>
          <t>avverkningsanmälan</t>
        </is>
      </c>
      <c r="C254" t="inlineStr">
        <is>
          <t>Föryngringsavverkning</t>
        </is>
      </c>
      <c r="D254" s="1" t="n">
        <v>45852</v>
      </c>
      <c r="E254" s="1" t="n">
        <v>46249</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30282-2022</t>
        </is>
      </c>
      <c r="B255" t="inlineStr">
        <is>
          <t>avverkningsanmälan</t>
        </is>
      </c>
      <c r="C255" t="inlineStr">
        <is>
          <t>Föryngringsavverkning</t>
        </is>
      </c>
      <c r="D255" s="1" t="n">
        <v>44760</v>
      </c>
      <c r="E255" s="1" t="n">
        <v>46249</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35142-2025</t>
        </is>
      </c>
      <c r="B256" t="inlineStr">
        <is>
          <t>avverkningsanmälan</t>
        </is>
      </c>
      <c r="C256" t="inlineStr">
        <is>
          <t>Föryngringsavverkning</t>
        </is>
      </c>
      <c r="D256" s="1" t="n">
        <v>45852</v>
      </c>
      <c r="E256" s="1" t="n">
        <v>46249</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46249</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40373-2025</t>
        </is>
      </c>
      <c r="B258" t="inlineStr">
        <is>
          <t>avverkningsanmälan</t>
        </is>
      </c>
      <c r="C258" t="inlineStr">
        <is>
          <t>Föryngringsavverkning</t>
        </is>
      </c>
      <c r="D258" s="1" t="n">
        <v>45895</v>
      </c>
      <c r="E258" s="1" t="n">
        <v>46249</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46249</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40372-2025</t>
        </is>
      </c>
      <c r="B260" t="inlineStr">
        <is>
          <t>avverkningsanmälan</t>
        </is>
      </c>
      <c r="C260" t="inlineStr">
        <is>
          <t>Föryngringsavverkning</t>
        </is>
      </c>
      <c r="D260" s="1" t="n">
        <v>45895</v>
      </c>
      <c r="E260" s="1" t="n">
        <v>46249</v>
      </c>
      <c r="F260" t="inlineStr">
        <is>
          <t>GOTLANDS LÄN</t>
        </is>
      </c>
      <c r="G260" t="inlineStr">
        <is>
          <t>GOTLAND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46249</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46249</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58780-2024</t>
        </is>
      </c>
      <c r="B263" t="inlineStr">
        <is>
          <t>avverkningsanmälan</t>
        </is>
      </c>
      <c r="C263" t="inlineStr">
        <is>
          <t>Föryngringsavverkning</t>
        </is>
      </c>
      <c r="D263" s="1" t="n">
        <v>45635</v>
      </c>
      <c r="E263" s="1" t="n">
        <v>46249</v>
      </c>
      <c r="F263" t="inlineStr">
        <is>
          <t>GOTLANDS LÄN</t>
        </is>
      </c>
      <c r="G263" t="inlineStr">
        <is>
          <t>GOTLAND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33876-2024</t>
        </is>
      </c>
      <c r="B264" t="inlineStr">
        <is>
          <t>avverkningsanmälan</t>
        </is>
      </c>
      <c r="C264" t="inlineStr">
        <is>
          <t>Föryngringsavverkning</t>
        </is>
      </c>
      <c r="D264" s="1" t="n">
        <v>45521</v>
      </c>
      <c r="E264" s="1" t="n">
        <v>46249</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43951-2025</t>
        </is>
      </c>
      <c r="B265" t="inlineStr">
        <is>
          <t>avverkningsanmälan</t>
        </is>
      </c>
      <c r="C265" t="inlineStr">
        <is>
          <t>Föryngringsavverkning</t>
        </is>
      </c>
      <c r="D265" s="1" t="n">
        <v>45915</v>
      </c>
      <c r="E265" s="1" t="n">
        <v>46249</v>
      </c>
      <c r="F265" t="inlineStr">
        <is>
          <t>GOTLANDS LÄN</t>
        </is>
      </c>
      <c r="G265" t="inlineStr">
        <is>
          <t>GOTLAND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28285-2024</t>
        </is>
      </c>
      <c r="B266" t="inlineStr">
        <is>
          <t>avverkningsanmälan</t>
        </is>
      </c>
      <c r="C266" t="inlineStr">
        <is>
          <t>Avverkning för annat ändamål</t>
        </is>
      </c>
      <c r="D266" s="1" t="n">
        <v>45477</v>
      </c>
      <c r="E266" s="1" t="n">
        <v>46249</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11424-2026</t>
        </is>
      </c>
      <c r="B267" t="inlineStr">
        <is>
          <t>avverkningsanmälan</t>
        </is>
      </c>
      <c r="C267" t="inlineStr">
        <is>
          <t>Föryngringsavverkning</t>
        </is>
      </c>
      <c r="D267" s="1" t="n">
        <v>46083</v>
      </c>
      <c r="E267" s="1" t="n">
        <v>46249</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46249</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26391-2025</t>
        </is>
      </c>
      <c r="B269" t="inlineStr">
        <is>
          <t>avverkningsanmälan</t>
        </is>
      </c>
      <c r="C269" t="inlineStr">
        <is>
          <t>Avverkning för annat ändamål</t>
        </is>
      </c>
      <c r="D269" s="1" t="n">
        <v>45806</v>
      </c>
      <c r="E269" s="1" t="n">
        <v>46249</v>
      </c>
      <c r="F269" t="inlineStr">
        <is>
          <t>GOTLANDS LÄN</t>
        </is>
      </c>
      <c r="G269" t="inlineStr">
        <is>
          <t>GOTLAND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3067-2026</t>
        </is>
      </c>
      <c r="B270" t="inlineStr">
        <is>
          <t>avverkningsanmälan</t>
        </is>
      </c>
      <c r="C270" t="inlineStr">
        <is>
          <t>Föryngringsavverkning</t>
        </is>
      </c>
      <c r="D270" s="1" t="n">
        <v>46040</v>
      </c>
      <c r="E270" s="1" t="n">
        <v>46249</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46249</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46249</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42201-2023</t>
        </is>
      </c>
      <c r="B273" t="inlineStr">
        <is>
          <t>avverkningsanmälan</t>
        </is>
      </c>
      <c r="C273" t="inlineStr">
        <is>
          <t>Föryngringsavverkning</t>
        </is>
      </c>
      <c r="D273" s="1" t="n">
        <v>45179</v>
      </c>
      <c r="E273" s="1" t="n">
        <v>46249</v>
      </c>
      <c r="F273" t="inlineStr">
        <is>
          <t>GOTLANDS LÄN</t>
        </is>
      </c>
      <c r="G273" t="inlineStr">
        <is>
          <t>GOTLAND</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46249</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873-2024</t>
        </is>
      </c>
      <c r="B275" t="inlineStr">
        <is>
          <t>avverkningsanmälan</t>
        </is>
      </c>
      <c r="C275" t="inlineStr">
        <is>
          <t>Avverkning för annat ändamål</t>
        </is>
      </c>
      <c r="D275" s="1" t="n">
        <v>45301</v>
      </c>
      <c r="E275" s="1" t="n">
        <v>46249</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22275-2023</t>
        </is>
      </c>
      <c r="B276" t="inlineStr">
        <is>
          <t>avverkningsanmälan</t>
        </is>
      </c>
      <c r="C276" t="inlineStr">
        <is>
          <t>Föryngringsavverkning</t>
        </is>
      </c>
      <c r="D276" s="1" t="n">
        <v>45070</v>
      </c>
      <c r="E276" s="1" t="n">
        <v>46249</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46249</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47578-2025</t>
        </is>
      </c>
      <c r="B278" t="inlineStr">
        <is>
          <t>avverkningsanmälan</t>
        </is>
      </c>
      <c r="C278" t="inlineStr">
        <is>
          <t>Avverkning för annat ändamål</t>
        </is>
      </c>
      <c r="D278" s="1" t="n">
        <v>45931</v>
      </c>
      <c r="E278" s="1" t="n">
        <v>46249</v>
      </c>
      <c r="F278" t="inlineStr">
        <is>
          <t>GOTLANDS LÄN</t>
        </is>
      </c>
      <c r="G278" t="inlineStr">
        <is>
          <t>GOTLAND</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14797-2024</t>
        </is>
      </c>
      <c r="B279" t="inlineStr">
        <is>
          <t>avverkningsanmälan</t>
        </is>
      </c>
      <c r="C279" t="inlineStr">
        <is>
          <t>Föryngringsavverkning</t>
        </is>
      </c>
      <c r="D279" s="1" t="n">
        <v>45397</v>
      </c>
      <c r="E279" s="1" t="n">
        <v>46249</v>
      </c>
      <c r="F279" t="inlineStr">
        <is>
          <t>GOTLANDS LÄN</t>
        </is>
      </c>
      <c r="G279" t="inlineStr">
        <is>
          <t>GOTLAND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46249</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49730-2025</t>
        </is>
      </c>
      <c r="B281" t="inlineStr">
        <is>
          <t>avverkningsanmälan</t>
        </is>
      </c>
      <c r="C281" t="inlineStr">
        <is>
          <t>Föryngringsavverkning</t>
        </is>
      </c>
      <c r="D281" s="1" t="n">
        <v>45939</v>
      </c>
      <c r="E281" s="1" t="n">
        <v>46249</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61596-2023</t>
        </is>
      </c>
      <c r="B282" t="inlineStr">
        <is>
          <t>avverkningsanmälan</t>
        </is>
      </c>
      <c r="C282" t="inlineStr">
        <is>
          <t>Föryngringsavverkning</t>
        </is>
      </c>
      <c r="D282" s="1" t="n">
        <v>45265</v>
      </c>
      <c r="E282" s="1" t="n">
        <v>46249</v>
      </c>
      <c r="F282" t="inlineStr">
        <is>
          <t>GOTLANDS LÄN</t>
        </is>
      </c>
      <c r="G282" t="inlineStr">
        <is>
          <t>GOTLAND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49690-2025</t>
        </is>
      </c>
      <c r="B283" t="inlineStr">
        <is>
          <t>avverkningsanmälan</t>
        </is>
      </c>
      <c r="C283" t="inlineStr">
        <is>
          <t>Föryngringsavverkning</t>
        </is>
      </c>
      <c r="D283" s="1" t="n">
        <v>45939</v>
      </c>
      <c r="E283" s="1" t="n">
        <v>46249</v>
      </c>
      <c r="F283" t="inlineStr">
        <is>
          <t>GOTLANDS LÄN</t>
        </is>
      </c>
      <c r="G283" t="inlineStr">
        <is>
          <t>GOTLAND</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46249</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7837-2024</t>
        </is>
      </c>
      <c r="B285" t="inlineStr">
        <is>
          <t>avverkningsanmälan</t>
        </is>
      </c>
      <c r="C285" t="inlineStr">
        <is>
          <t>Föryngringsavverkning</t>
        </is>
      </c>
      <c r="D285" s="1" t="n">
        <v>45349</v>
      </c>
      <c r="E285" s="1" t="n">
        <v>46249</v>
      </c>
      <c r="F285" t="inlineStr">
        <is>
          <t>GOTLANDS LÄN</t>
        </is>
      </c>
      <c r="G285" t="inlineStr">
        <is>
          <t>GOTLAND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14638-2025</t>
        </is>
      </c>
      <c r="B286" t="inlineStr">
        <is>
          <t>avverkningsanmälan</t>
        </is>
      </c>
      <c r="C286" t="inlineStr">
        <is>
          <t>Avverkning för annat ändamål</t>
        </is>
      </c>
      <c r="D286" s="1" t="n">
        <v>45742</v>
      </c>
      <c r="E286" s="1" t="n">
        <v>46249</v>
      </c>
      <c r="F286" t="inlineStr">
        <is>
          <t>GOTLANDS LÄN</t>
        </is>
      </c>
      <c r="G286" t="inlineStr">
        <is>
          <t>GOTLAND</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60675-2021</t>
        </is>
      </c>
      <c r="B287" t="inlineStr">
        <is>
          <t>avverkningsanmälan</t>
        </is>
      </c>
      <c r="C287" t="inlineStr">
        <is>
          <t>Föryngringsavverkning</t>
        </is>
      </c>
      <c r="D287" s="1" t="n">
        <v>44496</v>
      </c>
      <c r="E287" s="1" t="n">
        <v>46249</v>
      </c>
      <c r="F287" t="inlineStr">
        <is>
          <t>GOTLANDS LÄN</t>
        </is>
      </c>
      <c r="G287" t="inlineStr">
        <is>
          <t>GOTLAND</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37728-2024</t>
        </is>
      </c>
      <c r="B288" t="inlineStr">
        <is>
          <t>avverkningsanmälan</t>
        </is>
      </c>
      <c r="C288" t="inlineStr">
        <is>
          <t>Föryngringsavverkning</t>
        </is>
      </c>
      <c r="D288" s="1" t="n">
        <v>45541</v>
      </c>
      <c r="E288" s="1" t="n">
        <v>46249</v>
      </c>
      <c r="F288" t="inlineStr">
        <is>
          <t>GOTLANDS LÄN</t>
        </is>
      </c>
      <c r="G288" t="inlineStr">
        <is>
          <t>GOTLAND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63000-2025</t>
        </is>
      </c>
      <c r="B289" t="inlineStr">
        <is>
          <t>avverkningsanmälan</t>
        </is>
      </c>
      <c r="C289" t="inlineStr">
        <is>
          <t>Föryngringsavverkning</t>
        </is>
      </c>
      <c r="D289" s="1" t="n">
        <v>46009</v>
      </c>
      <c r="E289" s="1" t="n">
        <v>46249</v>
      </c>
      <c r="F289" t="inlineStr">
        <is>
          <t>GOTLANDS LÄN</t>
        </is>
      </c>
      <c r="G289" t="inlineStr">
        <is>
          <t>GOTLAND</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13486-2026</t>
        </is>
      </c>
      <c r="B290" t="inlineStr">
        <is>
          <t>avverkningsanmälan</t>
        </is>
      </c>
      <c r="C290" t="inlineStr">
        <is>
          <t>Föryngringsavverkning</t>
        </is>
      </c>
      <c r="D290" s="1" t="n">
        <v>46094</v>
      </c>
      <c r="E290" s="1" t="n">
        <v>46249</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62751-2025</t>
        </is>
      </c>
      <c r="B291" t="inlineStr">
        <is>
          <t>avverkningsanmälan</t>
        </is>
      </c>
      <c r="C291" t="inlineStr">
        <is>
          <t>Föryngringsavverkning</t>
        </is>
      </c>
      <c r="D291" s="1" t="n">
        <v>46008</v>
      </c>
      <c r="E291" s="1" t="n">
        <v>46249</v>
      </c>
      <c r="F291" t="inlineStr">
        <is>
          <t>GOTLANDS LÄN</t>
        </is>
      </c>
      <c r="G291" t="inlineStr">
        <is>
          <t>GOTLAND</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46249</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54074-2022</t>
        </is>
      </c>
      <c r="B293" t="inlineStr">
        <is>
          <t>avverkningsanmälan</t>
        </is>
      </c>
      <c r="C293" t="inlineStr">
        <is>
          <t>Föryngringsavverkning</t>
        </is>
      </c>
      <c r="D293" s="1" t="n">
        <v>44881</v>
      </c>
      <c r="E293" s="1" t="n">
        <v>46249</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65249-2023</t>
        </is>
      </c>
      <c r="B294" t="inlineStr">
        <is>
          <t>avverkningsanmälan</t>
        </is>
      </c>
      <c r="C294" t="inlineStr">
        <is>
          <t>Föryngringsavverkning</t>
        </is>
      </c>
      <c r="D294" s="1" t="n">
        <v>45290</v>
      </c>
      <c r="E294" s="1" t="n">
        <v>46249</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35512-2023</t>
        </is>
      </c>
      <c r="B295" t="inlineStr">
        <is>
          <t>avverkningsanmälan</t>
        </is>
      </c>
      <c r="C295" t="inlineStr">
        <is>
          <t>Föryngringsavverkning</t>
        </is>
      </c>
      <c r="D295" s="1" t="n">
        <v>45147</v>
      </c>
      <c r="E295" s="1" t="n">
        <v>46249</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5905-2024</t>
        </is>
      </c>
      <c r="B296" t="inlineStr">
        <is>
          <t>avverkningsanmälan</t>
        </is>
      </c>
      <c r="C296" t="inlineStr">
        <is>
          <t>Föryngringsavverkning</t>
        </is>
      </c>
      <c r="D296" s="1" t="n">
        <v>45335</v>
      </c>
      <c r="E296" s="1" t="n">
        <v>46249</v>
      </c>
      <c r="F296" t="inlineStr">
        <is>
          <t>GOTLANDS LÄN</t>
        </is>
      </c>
      <c r="G296" t="inlineStr">
        <is>
          <t>GOTLAND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1291-2023</t>
        </is>
      </c>
      <c r="B297" t="inlineStr">
        <is>
          <t>avverkningsanmälan</t>
        </is>
      </c>
      <c r="C297" t="inlineStr">
        <is>
          <t>Föryngringsavverkning</t>
        </is>
      </c>
      <c r="D297" s="1" t="n">
        <v>44936</v>
      </c>
      <c r="E297" s="1" t="n">
        <v>46249</v>
      </c>
      <c r="F297" t="inlineStr">
        <is>
          <t>GOTLANDS LÄN</t>
        </is>
      </c>
      <c r="G297" t="inlineStr">
        <is>
          <t>GOTLAND</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57652-2023</t>
        </is>
      </c>
      <c r="B298" t="inlineStr">
        <is>
          <t>avverkningsanmälan</t>
        </is>
      </c>
      <c r="C298" t="inlineStr">
        <is>
          <t>Avverkning för annat ändamål</t>
        </is>
      </c>
      <c r="D298" s="1" t="n">
        <v>45246</v>
      </c>
      <c r="E298" s="1" t="n">
        <v>46249</v>
      </c>
      <c r="F298" t="inlineStr">
        <is>
          <t>GOTLANDS LÄN</t>
        </is>
      </c>
      <c r="G298" t="inlineStr">
        <is>
          <t>GOTLAND</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49315-2024</t>
        </is>
      </c>
      <c r="B299" t="inlineStr">
        <is>
          <t>avverkningsanmälan</t>
        </is>
      </c>
      <c r="C299" t="inlineStr">
        <is>
          <t>Avverkning för annat ändamål</t>
        </is>
      </c>
      <c r="D299" s="1" t="n">
        <v>45595</v>
      </c>
      <c r="E299" s="1" t="n">
        <v>46249</v>
      </c>
      <c r="F299" t="inlineStr">
        <is>
          <t>GOTLANDS LÄN</t>
        </is>
      </c>
      <c r="G299" t="inlineStr">
        <is>
          <t>GOTLAND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46249</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8484-2025</t>
        </is>
      </c>
      <c r="B301" t="inlineStr">
        <is>
          <t>avverkningsanmälan</t>
        </is>
      </c>
      <c r="C301" t="inlineStr">
        <is>
          <t>Avverkning för annat ändamål</t>
        </is>
      </c>
      <c r="D301" s="1" t="n">
        <v>45709</v>
      </c>
      <c r="E301" s="1" t="n">
        <v>46249</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7636-2025</t>
        </is>
      </c>
      <c r="B302" t="inlineStr">
        <is>
          <t>avverkningsanmälan</t>
        </is>
      </c>
      <c r="C302" t="inlineStr">
        <is>
          <t>Föryngringsavverkning</t>
        </is>
      </c>
      <c r="D302" s="1" t="n">
        <v>45705</v>
      </c>
      <c r="E302" s="1" t="n">
        <v>46249</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7639-2025</t>
        </is>
      </c>
      <c r="B303" t="inlineStr">
        <is>
          <t>avverkningsanmälan</t>
        </is>
      </c>
      <c r="C303" t="inlineStr">
        <is>
          <t>Föryngringsavverkning</t>
        </is>
      </c>
      <c r="D303" s="1" t="n">
        <v>45705</v>
      </c>
      <c r="E303" s="1" t="n">
        <v>46249</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17780-2022</t>
        </is>
      </c>
      <c r="B304" t="inlineStr">
        <is>
          <t>avverkningsanmälan</t>
        </is>
      </c>
      <c r="C304" t="inlineStr">
        <is>
          <t>Föryngringsavverkning</t>
        </is>
      </c>
      <c r="D304" s="1" t="n">
        <v>44682</v>
      </c>
      <c r="E304" s="1" t="n">
        <v>46249</v>
      </c>
      <c r="F304" t="inlineStr">
        <is>
          <t>GOTLANDS LÄN</t>
        </is>
      </c>
      <c r="G304" t="inlineStr">
        <is>
          <t>GOTLAND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20356-2022</t>
        </is>
      </c>
      <c r="B305" t="inlineStr">
        <is>
          <t>avverkningsanmälan</t>
        </is>
      </c>
      <c r="C305" t="inlineStr">
        <is>
          <t>Avverkning för annat ändamål</t>
        </is>
      </c>
      <c r="D305" s="1" t="n">
        <v>44699</v>
      </c>
      <c r="E305" s="1" t="n">
        <v>46249</v>
      </c>
      <c r="F305" t="inlineStr">
        <is>
          <t>GOTLANDS LÄN</t>
        </is>
      </c>
      <c r="G305" t="inlineStr">
        <is>
          <t>GOTLAND</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48734-2022</t>
        </is>
      </c>
      <c r="B306" t="inlineStr">
        <is>
          <t>avverkningsanmälan</t>
        </is>
      </c>
      <c r="C306" t="inlineStr">
        <is>
          <t>Föryngringsavverkning</t>
        </is>
      </c>
      <c r="D306" s="1" t="n">
        <v>44855</v>
      </c>
      <c r="E306" s="1" t="n">
        <v>46249</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59986-2022</t>
        </is>
      </c>
      <c r="B307" t="inlineStr">
        <is>
          <t>avverkningsanmälan</t>
        </is>
      </c>
      <c r="C307" t="inlineStr">
        <is>
          <t>Avverkning för annat ändamål</t>
        </is>
      </c>
      <c r="D307" s="1" t="n">
        <v>44909</v>
      </c>
      <c r="E307" s="1" t="n">
        <v>46249</v>
      </c>
      <c r="F307" t="inlineStr">
        <is>
          <t>GOTLANDS LÄN</t>
        </is>
      </c>
      <c r="G307" t="inlineStr">
        <is>
          <t>GOTLAND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57685-2022</t>
        </is>
      </c>
      <c r="B308" t="inlineStr">
        <is>
          <t>avverkningsanmälan</t>
        </is>
      </c>
      <c r="C308" t="inlineStr">
        <is>
          <t>Föryngringsavverkning</t>
        </is>
      </c>
      <c r="D308" s="1" t="n">
        <v>44897</v>
      </c>
      <c r="E308" s="1" t="n">
        <v>46249</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16993-2026</t>
        </is>
      </c>
      <c r="B309" t="inlineStr">
        <is>
          <t>avverkningsanmälan</t>
        </is>
      </c>
      <c r="C309" t="inlineStr">
        <is>
          <t>Föryngringsavverkning</t>
        </is>
      </c>
      <c r="D309" s="1" t="n">
        <v>46114</v>
      </c>
      <c r="E309" s="1" t="n">
        <v>46249</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30815-2023</t>
        </is>
      </c>
      <c r="B310" t="inlineStr">
        <is>
          <t>avverkningsanmälan</t>
        </is>
      </c>
      <c r="C310" t="inlineStr">
        <is>
          <t>Avverkning för annat ändamål</t>
        </is>
      </c>
      <c r="D310" s="1" t="n">
        <v>45112</v>
      </c>
      <c r="E310" s="1" t="n">
        <v>46249</v>
      </c>
      <c r="F310" t="inlineStr">
        <is>
          <t>GOTLANDS LÄN</t>
        </is>
      </c>
      <c r="G310" t="inlineStr">
        <is>
          <t>GOTLAND</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56799-2025</t>
        </is>
      </c>
      <c r="B311" t="inlineStr">
        <is>
          <t>avverkningsanmälan</t>
        </is>
      </c>
      <c r="C311" t="inlineStr">
        <is>
          <t>Föryngringsavverkning</t>
        </is>
      </c>
      <c r="D311" s="1" t="n">
        <v>45978</v>
      </c>
      <c r="E311" s="1" t="n">
        <v>46249</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11874-2024</t>
        </is>
      </c>
      <c r="B312" t="inlineStr">
        <is>
          <t>avverkningsanmälan</t>
        </is>
      </c>
      <c r="C312" t="inlineStr">
        <is>
          <t>Föryngringsavverkning</t>
        </is>
      </c>
      <c r="D312" s="1" t="n">
        <v>45376</v>
      </c>
      <c r="E312" s="1" t="n">
        <v>46249</v>
      </c>
      <c r="F312" t="inlineStr">
        <is>
          <t>GOTLANDS LÄN</t>
        </is>
      </c>
      <c r="G312" t="inlineStr">
        <is>
          <t>GOTLAND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7034-2023</t>
        </is>
      </c>
      <c r="B313" t="inlineStr">
        <is>
          <t>avverkningsanmälan</t>
        </is>
      </c>
      <c r="C313" t="inlineStr">
        <is>
          <t>Föryngringsavverkning</t>
        </is>
      </c>
      <c r="D313" s="1" t="n">
        <v>44968</v>
      </c>
      <c r="E313" s="1" t="n">
        <v>46249</v>
      </c>
      <c r="F313" t="inlineStr">
        <is>
          <t>GOTLANDS LÄN</t>
        </is>
      </c>
      <c r="G313" t="inlineStr">
        <is>
          <t>GOTLAND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23516-2023</t>
        </is>
      </c>
      <c r="B314" t="inlineStr">
        <is>
          <t>avverkningsanmälan</t>
        </is>
      </c>
      <c r="C314" t="inlineStr">
        <is>
          <t>Föryngringsavverkning</t>
        </is>
      </c>
      <c r="D314" s="1" t="n">
        <v>45076</v>
      </c>
      <c r="E314" s="1" t="n">
        <v>46249</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42041-2024</t>
        </is>
      </c>
      <c r="B315" t="inlineStr">
        <is>
          <t>avverkningsanmälan</t>
        </is>
      </c>
      <c r="C315" t="inlineStr">
        <is>
          <t>Föryngringsavverkning</t>
        </is>
      </c>
      <c r="D315" s="1" t="n">
        <v>45561</v>
      </c>
      <c r="E315" s="1" t="n">
        <v>46249</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64660-2023</t>
        </is>
      </c>
      <c r="B316" t="inlineStr">
        <is>
          <t>avverkningsanmälan</t>
        </is>
      </c>
      <c r="C316" t="inlineStr">
        <is>
          <t>Föryngringsavverkning</t>
        </is>
      </c>
      <c r="D316" s="1" t="n">
        <v>45281</v>
      </c>
      <c r="E316" s="1" t="n">
        <v>46249</v>
      </c>
      <c r="F316" t="inlineStr">
        <is>
          <t>GOTLANDS LÄN</t>
        </is>
      </c>
      <c r="G316" t="inlineStr">
        <is>
          <t>GOTLAND</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61694-2023</t>
        </is>
      </c>
      <c r="B317" t="inlineStr">
        <is>
          <t>avverkningsanmälan</t>
        </is>
      </c>
      <c r="C317" t="inlineStr">
        <is>
          <t>Föryngringsavverkning</t>
        </is>
      </c>
      <c r="D317" s="1" t="n">
        <v>45264</v>
      </c>
      <c r="E317" s="1" t="n">
        <v>46249</v>
      </c>
      <c r="F317" t="inlineStr">
        <is>
          <t>GOTLANDS LÄN</t>
        </is>
      </c>
      <c r="G317" t="inlineStr">
        <is>
          <t>GOTLAND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63763-2023</t>
        </is>
      </c>
      <c r="B318" t="inlineStr">
        <is>
          <t>avverkningsanmälan</t>
        </is>
      </c>
      <c r="C318" t="inlineStr">
        <is>
          <t>Föryngringsavverkning</t>
        </is>
      </c>
      <c r="D318" s="1" t="n">
        <v>45278</v>
      </c>
      <c r="E318" s="1" t="n">
        <v>46249</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64555-2023</t>
        </is>
      </c>
      <c r="B319" t="inlineStr">
        <is>
          <t>avverkningsanmälan</t>
        </is>
      </c>
      <c r="C319" t="inlineStr">
        <is>
          <t>Avverkning för annat ändamål</t>
        </is>
      </c>
      <c r="D319" s="1" t="n">
        <v>45281</v>
      </c>
      <c r="E319" s="1" t="n">
        <v>46249</v>
      </c>
      <c r="F319" t="inlineStr">
        <is>
          <t>GOTLANDS LÄN</t>
        </is>
      </c>
      <c r="G319" t="inlineStr">
        <is>
          <t>GOTLAND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64831-2023</t>
        </is>
      </c>
      <c r="B320" t="inlineStr">
        <is>
          <t>avverkningsanmälan</t>
        </is>
      </c>
      <c r="C320" t="inlineStr">
        <is>
          <t>Föryngringsavverkning</t>
        </is>
      </c>
      <c r="D320" s="1" t="n">
        <v>45282</v>
      </c>
      <c r="E320" s="1" t="n">
        <v>46249</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62836-2025</t>
        </is>
      </c>
      <c r="B321" t="inlineStr">
        <is>
          <t>avverkningsanmälan</t>
        </is>
      </c>
      <c r="C321" t="inlineStr">
        <is>
          <t>Föryngringsavverkning</t>
        </is>
      </c>
      <c r="D321" s="1" t="n">
        <v>46008</v>
      </c>
      <c r="E321" s="1" t="n">
        <v>46249</v>
      </c>
      <c r="F321" t="inlineStr">
        <is>
          <t>GOTLANDS LÄN</t>
        </is>
      </c>
      <c r="G321" t="inlineStr">
        <is>
          <t>GOTLAND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46249</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1734-2025</t>
        </is>
      </c>
      <c r="B323" t="inlineStr">
        <is>
          <t>avverkningsanmälan</t>
        </is>
      </c>
      <c r="C323" t="inlineStr">
        <is>
          <t>Föryngringsavverkning</t>
        </is>
      </c>
      <c r="D323" s="1" t="n">
        <v>45671</v>
      </c>
      <c r="E323" s="1" t="n">
        <v>46249</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46249</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46249</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46249</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18804-2026</t>
        </is>
      </c>
      <c r="B327" t="inlineStr">
        <is>
          <t>avverkningsanmälan</t>
        </is>
      </c>
      <c r="C327" t="inlineStr">
        <is>
          <t>Föryngringsavverkning</t>
        </is>
      </c>
      <c r="D327" s="1" t="n">
        <v>46128</v>
      </c>
      <c r="E327" s="1" t="n">
        <v>46249</v>
      </c>
      <c r="F327" t="inlineStr">
        <is>
          <t>GOTLANDS LÄN</t>
        </is>
      </c>
      <c r="G327" t="inlineStr">
        <is>
          <t>GOTLAND</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46249</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46249</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46249</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46249</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4377-2023</t>
        </is>
      </c>
      <c r="B332" t="inlineStr">
        <is>
          <t>avverkningsanmälan</t>
        </is>
      </c>
      <c r="C332" t="inlineStr">
        <is>
          <t>Föryngringsavverkning</t>
        </is>
      </c>
      <c r="D332" s="1" t="n">
        <v>44955</v>
      </c>
      <c r="E332" s="1" t="n">
        <v>46249</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4387-2023</t>
        </is>
      </c>
      <c r="B333" t="inlineStr">
        <is>
          <t>avverkningsanmälan</t>
        </is>
      </c>
      <c r="C333" t="inlineStr">
        <is>
          <t>Föryngringsavverkning</t>
        </is>
      </c>
      <c r="D333" s="1" t="n">
        <v>44955</v>
      </c>
      <c r="E333" s="1" t="n">
        <v>46249</v>
      </c>
      <c r="F333" t="inlineStr">
        <is>
          <t>GOTLANDS LÄN</t>
        </is>
      </c>
      <c r="G333" t="inlineStr">
        <is>
          <t>GOTLAND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50744-2024</t>
        </is>
      </c>
      <c r="B334" t="inlineStr">
        <is>
          <t>avverkningsanmälan</t>
        </is>
      </c>
      <c r="C334" t="inlineStr">
        <is>
          <t>Föryngringsavverkning</t>
        </is>
      </c>
      <c r="D334" s="1" t="n">
        <v>45602</v>
      </c>
      <c r="E334" s="1" t="n">
        <v>46249</v>
      </c>
      <c r="F334" t="inlineStr">
        <is>
          <t>GOTLANDS LÄN</t>
        </is>
      </c>
      <c r="G334" t="inlineStr">
        <is>
          <t>GOTLAND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39479-2022</t>
        </is>
      </c>
      <c r="B335" t="inlineStr">
        <is>
          <t>avverkningsanmälan</t>
        </is>
      </c>
      <c r="C335" t="inlineStr">
        <is>
          <t>Föryngringsavverkning</t>
        </is>
      </c>
      <c r="D335" s="1" t="n">
        <v>44818</v>
      </c>
      <c r="E335" s="1" t="n">
        <v>46249</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51963-2024</t>
        </is>
      </c>
      <c r="B336" t="inlineStr">
        <is>
          <t>avverkningsanmälan</t>
        </is>
      </c>
      <c r="C336" t="inlineStr">
        <is>
          <t>Föryngringsavverkning</t>
        </is>
      </c>
      <c r="D336" s="1" t="n">
        <v>45607</v>
      </c>
      <c r="E336" s="1" t="n">
        <v>46249</v>
      </c>
      <c r="F336" t="inlineStr">
        <is>
          <t>GOTLANDS LÄN</t>
        </is>
      </c>
      <c r="G336" t="inlineStr">
        <is>
          <t>GOTLAND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811-2023</t>
        </is>
      </c>
      <c r="B337" t="inlineStr">
        <is>
          <t>avverkningsanmälan</t>
        </is>
      </c>
      <c r="C337" t="inlineStr">
        <is>
          <t>Föryngringsavverkning</t>
        </is>
      </c>
      <c r="D337" s="1" t="n">
        <v>44931</v>
      </c>
      <c r="E337" s="1" t="n">
        <v>46249</v>
      </c>
      <c r="F337" t="inlineStr">
        <is>
          <t>GOTLANDS LÄN</t>
        </is>
      </c>
      <c r="G337" t="inlineStr">
        <is>
          <t>GOTLAND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26467-2025</t>
        </is>
      </c>
      <c r="B338" t="inlineStr">
        <is>
          <t>avverkningsanmälan</t>
        </is>
      </c>
      <c r="C338" t="inlineStr">
        <is>
          <t>Föryngringsavverkning</t>
        </is>
      </c>
      <c r="D338" s="1" t="n">
        <v>45807</v>
      </c>
      <c r="E338" s="1" t="n">
        <v>46249</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46389-2021</t>
        </is>
      </c>
      <c r="B339" t="inlineStr">
        <is>
          <t>avverkningsanmälan</t>
        </is>
      </c>
      <c r="C339" t="inlineStr">
        <is>
          <t>Föryngringsavverkning</t>
        </is>
      </c>
      <c r="D339" s="1" t="n">
        <v>44443</v>
      </c>
      <c r="E339" s="1" t="n">
        <v>46249</v>
      </c>
      <c r="F339" t="inlineStr">
        <is>
          <t>GOTLANDS LÄN</t>
        </is>
      </c>
      <c r="G339" t="inlineStr">
        <is>
          <t>GOTLAND</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46249</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29207-2025</t>
        </is>
      </c>
      <c r="B341" t="inlineStr">
        <is>
          <t>avverkningsanmälan</t>
        </is>
      </c>
      <c r="C341" t="inlineStr">
        <is>
          <t>Föryngringsavverkning</t>
        </is>
      </c>
      <c r="D341" s="1" t="n">
        <v>45823</v>
      </c>
      <c r="E341" s="1" t="n">
        <v>46249</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25796-2025</t>
        </is>
      </c>
      <c r="B342" t="inlineStr">
        <is>
          <t>avverkningsanmälan</t>
        </is>
      </c>
      <c r="C342" t="inlineStr">
        <is>
          <t>Föryngringsavverkning</t>
        </is>
      </c>
      <c r="D342" s="1" t="n">
        <v>45804</v>
      </c>
      <c r="E342" s="1" t="n">
        <v>46249</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46249</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5923-2023</t>
        </is>
      </c>
      <c r="B344" t="inlineStr">
        <is>
          <t>avverkningsanmälan</t>
        </is>
      </c>
      <c r="C344" t="inlineStr">
        <is>
          <t>Föryngringsavverkning</t>
        </is>
      </c>
      <c r="D344" s="1" t="n">
        <v>44963</v>
      </c>
      <c r="E344" s="1" t="n">
        <v>46249</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61078-2025</t>
        </is>
      </c>
      <c r="B345" t="inlineStr">
        <is>
          <t>avverkningsanmälan</t>
        </is>
      </c>
      <c r="C345" t="inlineStr">
        <is>
          <t>Föryngringsavverkning</t>
        </is>
      </c>
      <c r="D345" s="1" t="n">
        <v>46000</v>
      </c>
      <c r="E345" s="1" t="n">
        <v>46249</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1446-2025</t>
        </is>
      </c>
      <c r="B346" t="inlineStr">
        <is>
          <t>avverkningsanmälan</t>
        </is>
      </c>
      <c r="C346" t="inlineStr">
        <is>
          <t>Föryngringsavverkning</t>
        </is>
      </c>
      <c r="D346" s="1" t="n">
        <v>45669</v>
      </c>
      <c r="E346" s="1" t="n">
        <v>46249</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36-2026</t>
        </is>
      </c>
      <c r="B347" t="inlineStr">
        <is>
          <t>avverkningsanmälan</t>
        </is>
      </c>
      <c r="C347" t="inlineStr">
        <is>
          <t>Föryngringsavverkning</t>
        </is>
      </c>
      <c r="D347" s="1" t="n">
        <v>46024</v>
      </c>
      <c r="E347" s="1" t="n">
        <v>46249</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18918-2025</t>
        </is>
      </c>
      <c r="B348" t="inlineStr">
        <is>
          <t>avverkningsanmälan</t>
        </is>
      </c>
      <c r="C348" t="inlineStr">
        <is>
          <t>Avverkning för annat ändamål</t>
        </is>
      </c>
      <c r="D348" s="1" t="n">
        <v>45764</v>
      </c>
      <c r="E348" s="1" t="n">
        <v>46249</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46249</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2674-2023</t>
        </is>
      </c>
      <c r="B350" t="inlineStr">
        <is>
          <t>avverkningsanmälan</t>
        </is>
      </c>
      <c r="C350" t="inlineStr">
        <is>
          <t>Avverkning för annat ändamål</t>
        </is>
      </c>
      <c r="D350" s="1" t="n">
        <v>44944</v>
      </c>
      <c r="E350" s="1" t="n">
        <v>46249</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20225-2025</t>
        </is>
      </c>
      <c r="B351" t="inlineStr">
        <is>
          <t>avverkningsanmälan</t>
        </is>
      </c>
      <c r="C351" t="inlineStr">
        <is>
          <t>Föryngringsavverkning</t>
        </is>
      </c>
      <c r="D351" s="1" t="n">
        <v>45772</v>
      </c>
      <c r="E351" s="1" t="n">
        <v>46249</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32379-2025</t>
        </is>
      </c>
      <c r="B352" t="inlineStr">
        <is>
          <t>avverkningsanmälan</t>
        </is>
      </c>
      <c r="C352" t="inlineStr">
        <is>
          <t>Föryngringsavverkning</t>
        </is>
      </c>
      <c r="D352" s="1" t="n">
        <v>45837</v>
      </c>
      <c r="E352" s="1" t="n">
        <v>46249</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46249</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43901-2023</t>
        </is>
      </c>
      <c r="B354" t="inlineStr">
        <is>
          <t>avverkningsanmälan</t>
        </is>
      </c>
      <c r="C354" t="inlineStr">
        <is>
          <t>Föryngringsavverkning</t>
        </is>
      </c>
      <c r="D354" s="1" t="n">
        <v>45187</v>
      </c>
      <c r="E354" s="1" t="n">
        <v>46249</v>
      </c>
      <c r="F354" t="inlineStr">
        <is>
          <t>GOTLANDS LÄN</t>
        </is>
      </c>
      <c r="G354" t="inlineStr">
        <is>
          <t>GOTLAND</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46249</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10746-2025</t>
        </is>
      </c>
      <c r="B356" t="inlineStr">
        <is>
          <t>avverkningsanmälan</t>
        </is>
      </c>
      <c r="C356" t="inlineStr">
        <is>
          <t>Föryngringsavverkning</t>
        </is>
      </c>
      <c r="D356" s="1" t="n">
        <v>45722</v>
      </c>
      <c r="E356" s="1" t="n">
        <v>46249</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16501-2023</t>
        </is>
      </c>
      <c r="B357" t="inlineStr">
        <is>
          <t>avverkningsanmälan</t>
        </is>
      </c>
      <c r="C357" t="inlineStr">
        <is>
          <t>Avverkning för att bevara och utveckla /försöksver</t>
        </is>
      </c>
      <c r="D357" s="1" t="n">
        <v>45029</v>
      </c>
      <c r="E357" s="1" t="n">
        <v>46249</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46249</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61962-2024</t>
        </is>
      </c>
      <c r="B359" t="inlineStr">
        <is>
          <t>avverkningsanmälan</t>
        </is>
      </c>
      <c r="C359" t="inlineStr">
        <is>
          <t>Föryngringsavverkning</t>
        </is>
      </c>
      <c r="D359" s="1" t="n">
        <v>45653</v>
      </c>
      <c r="E359" s="1" t="n">
        <v>46249</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46249</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2719-2023</t>
        </is>
      </c>
      <c r="B361" t="inlineStr">
        <is>
          <t>avverkningsanmälan</t>
        </is>
      </c>
      <c r="C361" t="inlineStr">
        <is>
          <t>Föryngringsavverkning</t>
        </is>
      </c>
      <c r="D361" s="1" t="n">
        <v>44944</v>
      </c>
      <c r="E361" s="1" t="n">
        <v>46249</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10492-2023</t>
        </is>
      </c>
      <c r="B362" t="inlineStr">
        <is>
          <t>avverkningsanmälan</t>
        </is>
      </c>
      <c r="C362" t="inlineStr">
        <is>
          <t>Föryngringsavverkning</t>
        </is>
      </c>
      <c r="D362" s="1" t="n">
        <v>44987</v>
      </c>
      <c r="E362" s="1" t="n">
        <v>46249</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42007-2023</t>
        </is>
      </c>
      <c r="B363" t="inlineStr">
        <is>
          <t>avverkningsanmälan</t>
        </is>
      </c>
      <c r="C363" t="inlineStr">
        <is>
          <t>Avverkning för annat ändamål</t>
        </is>
      </c>
      <c r="D363" s="1" t="n">
        <v>45177</v>
      </c>
      <c r="E363" s="1" t="n">
        <v>46249</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9887-2025</t>
        </is>
      </c>
      <c r="B364" t="inlineStr">
        <is>
          <t>avverkningsanmälan</t>
        </is>
      </c>
      <c r="C364" t="inlineStr">
        <is>
          <t>Föryngringsavverkning</t>
        </is>
      </c>
      <c r="D364" s="1" t="n">
        <v>45716</v>
      </c>
      <c r="E364" s="1" t="n">
        <v>46249</v>
      </c>
      <c r="F364" t="inlineStr">
        <is>
          <t>GOTLANDS LÄN</t>
        </is>
      </c>
      <c r="G364" t="inlineStr">
        <is>
          <t>GOTLAND</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10653-2023</t>
        </is>
      </c>
      <c r="B365" t="inlineStr">
        <is>
          <t>avverkningsanmälan</t>
        </is>
      </c>
      <c r="C365" t="inlineStr">
        <is>
          <t>Föryngringsavverkning</t>
        </is>
      </c>
      <c r="D365" s="1" t="n">
        <v>44988</v>
      </c>
      <c r="E365" s="1" t="n">
        <v>46249</v>
      </c>
      <c r="F365" t="inlineStr">
        <is>
          <t>GOTLANDS LÄN</t>
        </is>
      </c>
      <c r="G365" t="inlineStr">
        <is>
          <t>GOTLAND</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27596-2023</t>
        </is>
      </c>
      <c r="B366" t="inlineStr">
        <is>
          <t>avverkningsanmälan</t>
        </is>
      </c>
      <c r="C366" t="inlineStr">
        <is>
          <t>Avverkning för annat ändamål</t>
        </is>
      </c>
      <c r="D366" s="1" t="n">
        <v>45097</v>
      </c>
      <c r="E366" s="1" t="n">
        <v>46249</v>
      </c>
      <c r="F366" t="inlineStr">
        <is>
          <t>GOTLANDS LÄN</t>
        </is>
      </c>
      <c r="G366" t="inlineStr">
        <is>
          <t>GOTLAND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46249</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24825-2024</t>
        </is>
      </c>
      <c r="B368" t="inlineStr">
        <is>
          <t>avverkningsanmälan</t>
        </is>
      </c>
      <c r="C368" t="inlineStr">
        <is>
          <t>Avverkning för annat ändamål</t>
        </is>
      </c>
      <c r="D368" s="1" t="n">
        <v>45461</v>
      </c>
      <c r="E368" s="1" t="n">
        <v>46249</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6696-2023</t>
        </is>
      </c>
      <c r="B369" t="inlineStr">
        <is>
          <t>avverkningsanmälan</t>
        </is>
      </c>
      <c r="C369" t="inlineStr">
        <is>
          <t>Föryngringsavverkning</t>
        </is>
      </c>
      <c r="D369" s="1" t="n">
        <v>44966</v>
      </c>
      <c r="E369" s="1" t="n">
        <v>46249</v>
      </c>
      <c r="F369" t="inlineStr">
        <is>
          <t>GOTLANDS LÄN</t>
        </is>
      </c>
      <c r="G369" t="inlineStr">
        <is>
          <t>GOTLAND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2415-2026</t>
        </is>
      </c>
      <c r="B370" t="inlineStr">
        <is>
          <t>avverkningsanmälan</t>
        </is>
      </c>
      <c r="C370" t="inlineStr">
        <is>
          <t>Föryngringsavverkning</t>
        </is>
      </c>
      <c r="D370" s="1" t="n">
        <v>46036</v>
      </c>
      <c r="E370" s="1" t="n">
        <v>46249</v>
      </c>
      <c r="F370" t="inlineStr">
        <is>
          <t>GOTLANDS LÄN</t>
        </is>
      </c>
      <c r="G370" t="inlineStr">
        <is>
          <t>GOTLAND</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21247-2022</t>
        </is>
      </c>
      <c r="B371" t="inlineStr">
        <is>
          <t>avverkningsanmälan</t>
        </is>
      </c>
      <c r="C371" t="inlineStr">
        <is>
          <t>Föryngringsavverkning</t>
        </is>
      </c>
      <c r="D371" s="1" t="n">
        <v>44705</v>
      </c>
      <c r="E371" s="1" t="n">
        <v>46249</v>
      </c>
      <c r="F371" t="inlineStr">
        <is>
          <t>GOTLANDS LÄN</t>
        </is>
      </c>
      <c r="G371" t="inlineStr">
        <is>
          <t>GOTLAND</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456-2023</t>
        </is>
      </c>
      <c r="B372" t="inlineStr">
        <is>
          <t>avverkningsanmälan</t>
        </is>
      </c>
      <c r="C372" t="inlineStr">
        <is>
          <t>Föryngringsavverkning</t>
        </is>
      </c>
      <c r="D372" s="1" t="n">
        <v>44929</v>
      </c>
      <c r="E372" s="1" t="n">
        <v>46249</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38165-2023</t>
        </is>
      </c>
      <c r="B373" t="inlineStr">
        <is>
          <t>avverkningsanmälan</t>
        </is>
      </c>
      <c r="C373" t="inlineStr">
        <is>
          <t>Föryngringsavverkning</t>
        </is>
      </c>
      <c r="D373" s="1" t="n">
        <v>45161</v>
      </c>
      <c r="E373" s="1" t="n">
        <v>46249</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4990-2025</t>
        </is>
      </c>
      <c r="B374" t="inlineStr">
        <is>
          <t>avverkningsanmälan</t>
        </is>
      </c>
      <c r="C374" t="inlineStr">
        <is>
          <t>Föryngringsavverkning</t>
        </is>
      </c>
      <c r="D374" s="1" t="n">
        <v>45691</v>
      </c>
      <c r="E374" s="1" t="n">
        <v>46249</v>
      </c>
      <c r="F374" t="inlineStr">
        <is>
          <t>GOTLANDS LÄN</t>
        </is>
      </c>
      <c r="G374" t="inlineStr">
        <is>
          <t>GOTLAND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46249</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4421-2024</t>
        </is>
      </c>
      <c r="B376" t="inlineStr">
        <is>
          <t>avverkningsanmälan</t>
        </is>
      </c>
      <c r="C376" t="inlineStr">
        <is>
          <t>Föryngringsavverkning</t>
        </is>
      </c>
      <c r="D376" s="1" t="n">
        <v>45327</v>
      </c>
      <c r="E376" s="1" t="n">
        <v>46249</v>
      </c>
      <c r="F376" t="inlineStr">
        <is>
          <t>GOTLANDS LÄN</t>
        </is>
      </c>
      <c r="G376" t="inlineStr">
        <is>
          <t>GOTLAND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51782-2023</t>
        </is>
      </c>
      <c r="B377" t="inlineStr">
        <is>
          <t>avverkningsanmälan</t>
        </is>
      </c>
      <c r="C377" t="inlineStr">
        <is>
          <t>Föryngringsavverkning</t>
        </is>
      </c>
      <c r="D377" s="1" t="n">
        <v>45222</v>
      </c>
      <c r="E377" s="1" t="n">
        <v>46249</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54268-2022</t>
        </is>
      </c>
      <c r="B378" t="inlineStr">
        <is>
          <t>avverkningsanmälan</t>
        </is>
      </c>
      <c r="C378" t="inlineStr">
        <is>
          <t>Föryngringsavverkning</t>
        </is>
      </c>
      <c r="D378" s="1" t="n">
        <v>44882</v>
      </c>
      <c r="E378" s="1" t="n">
        <v>46249</v>
      </c>
      <c r="F378" t="inlineStr">
        <is>
          <t>GOTLANDS LÄN</t>
        </is>
      </c>
      <c r="G378" t="inlineStr">
        <is>
          <t>GOTLAND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43081-2022</t>
        </is>
      </c>
      <c r="B379" t="inlineStr">
        <is>
          <t>avverkningsanmälan</t>
        </is>
      </c>
      <c r="C379" t="inlineStr">
        <is>
          <t>Föryngringsavverkning</t>
        </is>
      </c>
      <c r="D379" s="1" t="n">
        <v>44833</v>
      </c>
      <c r="E379" s="1" t="n">
        <v>46249</v>
      </c>
      <c r="F379" t="inlineStr">
        <is>
          <t>GOTLANDS LÄN</t>
        </is>
      </c>
      <c r="G379" t="inlineStr">
        <is>
          <t>GOTLAND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4646-2026</t>
        </is>
      </c>
      <c r="B380" t="inlineStr">
        <is>
          <t>avverkningsanmälan</t>
        </is>
      </c>
      <c r="C380" t="inlineStr">
        <is>
          <t>Föryngringsavverkning</t>
        </is>
      </c>
      <c r="D380" s="1" t="n">
        <v>46048</v>
      </c>
      <c r="E380" s="1" t="n">
        <v>46249</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5884-2025</t>
        </is>
      </c>
      <c r="B381" t="inlineStr">
        <is>
          <t>avverkningsanmälan</t>
        </is>
      </c>
      <c r="C381" t="inlineStr">
        <is>
          <t>Föryngringsavverkning</t>
        </is>
      </c>
      <c r="D381" s="1" t="n">
        <v>45695</v>
      </c>
      <c r="E381" s="1" t="n">
        <v>46249</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5897-2025</t>
        </is>
      </c>
      <c r="B382" t="inlineStr">
        <is>
          <t>avverkningsanmälan</t>
        </is>
      </c>
      <c r="C382" t="inlineStr">
        <is>
          <t>Föryngringsavverkning</t>
        </is>
      </c>
      <c r="D382" s="1" t="n">
        <v>45695</v>
      </c>
      <c r="E382" s="1" t="n">
        <v>46249</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25866-2022</t>
        </is>
      </c>
      <c r="B383" t="inlineStr">
        <is>
          <t>avverkningsanmälan</t>
        </is>
      </c>
      <c r="C383" t="inlineStr">
        <is>
          <t>Föryngringsavverkning</t>
        </is>
      </c>
      <c r="D383" s="1" t="n">
        <v>44733</v>
      </c>
      <c r="E383" s="1" t="n">
        <v>46249</v>
      </c>
      <c r="F383" t="inlineStr">
        <is>
          <t>GOTLANDS LÄN</t>
        </is>
      </c>
      <c r="G383" t="inlineStr">
        <is>
          <t>GOTLAND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4634-2026</t>
        </is>
      </c>
      <c r="B384" t="inlineStr">
        <is>
          <t>avverkningsanmälan</t>
        </is>
      </c>
      <c r="C384" t="inlineStr">
        <is>
          <t>Föryngringsavverkning</t>
        </is>
      </c>
      <c r="D384" s="1" t="n">
        <v>46048</v>
      </c>
      <c r="E384" s="1" t="n">
        <v>46249</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43229-2023</t>
        </is>
      </c>
      <c r="B385" t="inlineStr">
        <is>
          <t>avverkningsanmälan</t>
        </is>
      </c>
      <c r="C385" t="inlineStr">
        <is>
          <t>Föryngringsavverkning</t>
        </is>
      </c>
      <c r="D385" s="1" t="n">
        <v>45183</v>
      </c>
      <c r="E385" s="1" t="n">
        <v>46249</v>
      </c>
      <c r="F385" t="inlineStr">
        <is>
          <t>GOTLANDS LÄN</t>
        </is>
      </c>
      <c r="G385" t="inlineStr">
        <is>
          <t>GOTLAND</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4670-2026</t>
        </is>
      </c>
      <c r="B386" t="inlineStr">
        <is>
          <t>avverkningsanmälan</t>
        </is>
      </c>
      <c r="C386" t="inlineStr">
        <is>
          <t>Föryngringsavverkning</t>
        </is>
      </c>
      <c r="D386" s="1" t="n">
        <v>46048</v>
      </c>
      <c r="E386" s="1" t="n">
        <v>46249</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46249</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22899-2023</t>
        </is>
      </c>
      <c r="B388" t="inlineStr">
        <is>
          <t>avverkningsanmälan</t>
        </is>
      </c>
      <c r="C388" t="inlineStr">
        <is>
          <t>Föryngringsavverkning</t>
        </is>
      </c>
      <c r="D388" s="1" t="n">
        <v>45072</v>
      </c>
      <c r="E388" s="1" t="n">
        <v>46249</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49697-2023</t>
        </is>
      </c>
      <c r="B389" t="inlineStr">
        <is>
          <t>avverkningsanmälan</t>
        </is>
      </c>
      <c r="C389" t="inlineStr">
        <is>
          <t>Föryngringsavverkning</t>
        </is>
      </c>
      <c r="D389" s="1" t="n">
        <v>45212</v>
      </c>
      <c r="E389" s="1" t="n">
        <v>46249</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46249</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34407-2023</t>
        </is>
      </c>
      <c r="B391" t="inlineStr">
        <is>
          <t>avverkningsanmälan</t>
        </is>
      </c>
      <c r="C391" t="inlineStr">
        <is>
          <t>Föryngringsavverkning</t>
        </is>
      </c>
      <c r="D391" s="1" t="n">
        <v>45132</v>
      </c>
      <c r="E391" s="1" t="n">
        <v>46249</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11013-2024</t>
        </is>
      </c>
      <c r="B392" t="inlineStr">
        <is>
          <t>avverkningsanmälan</t>
        </is>
      </c>
      <c r="C392" t="inlineStr">
        <is>
          <t>Föryngringsavverkning</t>
        </is>
      </c>
      <c r="D392" s="1" t="n">
        <v>45370</v>
      </c>
      <c r="E392" s="1" t="n">
        <v>46249</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27694-2024</t>
        </is>
      </c>
      <c r="B393" t="inlineStr">
        <is>
          <t>avverkningsanmälan</t>
        </is>
      </c>
      <c r="C393" t="inlineStr">
        <is>
          <t>Föryngringsavverkning</t>
        </is>
      </c>
      <c r="D393" s="1" t="n">
        <v>45475</v>
      </c>
      <c r="E393" s="1" t="n">
        <v>46249</v>
      </c>
      <c r="F393" t="inlineStr">
        <is>
          <t>GOTLANDS LÄN</t>
        </is>
      </c>
      <c r="G393" t="inlineStr">
        <is>
          <t>GOTLAND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17901-2023</t>
        </is>
      </c>
      <c r="B394" t="inlineStr">
        <is>
          <t>avverkningsanmälan</t>
        </is>
      </c>
      <c r="C394" t="inlineStr">
        <is>
          <t>Föryngringsavverkning</t>
        </is>
      </c>
      <c r="D394" s="1" t="n">
        <v>45039</v>
      </c>
      <c r="E394" s="1" t="n">
        <v>46249</v>
      </c>
      <c r="F394" t="inlineStr">
        <is>
          <t>GOTLANDS LÄN</t>
        </is>
      </c>
      <c r="G394" t="inlineStr">
        <is>
          <t>GOTLAND</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15083-2025</t>
        </is>
      </c>
      <c r="B395" t="inlineStr">
        <is>
          <t>avverkningsanmälan</t>
        </is>
      </c>
      <c r="C395" t="inlineStr">
        <is>
          <t>Avverkning för annat ändamål</t>
        </is>
      </c>
      <c r="D395" s="1" t="n">
        <v>45743</v>
      </c>
      <c r="E395" s="1" t="n">
        <v>46249</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52892-2021</t>
        </is>
      </c>
      <c r="B396" t="inlineStr">
        <is>
          <t>avverkningsanmälan</t>
        </is>
      </c>
      <c r="C396" t="inlineStr">
        <is>
          <t>Föryngringsavverkning</t>
        </is>
      </c>
      <c r="D396" s="1" t="n">
        <v>44467</v>
      </c>
      <c r="E396" s="1" t="n">
        <v>46249</v>
      </c>
      <c r="F396" t="inlineStr">
        <is>
          <t>GOTLANDS LÄN</t>
        </is>
      </c>
      <c r="G396" t="inlineStr">
        <is>
          <t>GOTLAND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35537-2025</t>
        </is>
      </c>
      <c r="B397" t="inlineStr">
        <is>
          <t>avverkningsanmälan</t>
        </is>
      </c>
      <c r="C397" t="inlineStr">
        <is>
          <t>Föryngringsavverkning</t>
        </is>
      </c>
      <c r="D397" s="1" t="n">
        <v>45856</v>
      </c>
      <c r="E397" s="1" t="n">
        <v>46249</v>
      </c>
      <c r="F397" t="inlineStr">
        <is>
          <t>GOTLANDS LÄN</t>
        </is>
      </c>
      <c r="G397" t="inlineStr">
        <is>
          <t>GOTLAND</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13037-2025</t>
        </is>
      </c>
      <c r="B398" t="inlineStr">
        <is>
          <t>avverkningsanmälan</t>
        </is>
      </c>
      <c r="C398" t="inlineStr">
        <is>
          <t>Avverkning för att bevara och utveckla /försöksver</t>
        </is>
      </c>
      <c r="D398" s="1" t="n">
        <v>45734</v>
      </c>
      <c r="E398" s="1" t="n">
        <v>46249</v>
      </c>
      <c r="F398" t="inlineStr">
        <is>
          <t>GOTLANDS LÄN</t>
        </is>
      </c>
      <c r="G398" t="inlineStr">
        <is>
          <t>GOTLAND</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46396-2023</t>
        </is>
      </c>
      <c r="B399" t="inlineStr">
        <is>
          <t>avverkningsanmälan</t>
        </is>
      </c>
      <c r="C399" t="inlineStr">
        <is>
          <t>Föryngringsavverkning</t>
        </is>
      </c>
      <c r="D399" s="1" t="n">
        <v>45197</v>
      </c>
      <c r="E399" s="1" t="n">
        <v>46249</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44228-2022</t>
        </is>
      </c>
      <c r="B400" t="inlineStr">
        <is>
          <t>avverkningsanmälan</t>
        </is>
      </c>
      <c r="C400" t="inlineStr">
        <is>
          <t>Föryngringsavverkning</t>
        </is>
      </c>
      <c r="D400" s="1" t="n">
        <v>44839</v>
      </c>
      <c r="E400" s="1" t="n">
        <v>46249</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17724-2024</t>
        </is>
      </c>
      <c r="B401" t="inlineStr">
        <is>
          <t>avverkningsanmälan</t>
        </is>
      </c>
      <c r="C401" t="inlineStr">
        <is>
          <t>Föryngringsavverkning</t>
        </is>
      </c>
      <c r="D401" s="1" t="n">
        <v>45418</v>
      </c>
      <c r="E401" s="1" t="n">
        <v>46249</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58132-2023</t>
        </is>
      </c>
      <c r="B402" t="inlineStr">
        <is>
          <t>avverkningsanmälan</t>
        </is>
      </c>
      <c r="C402" t="inlineStr">
        <is>
          <t>Föryngringsavverkning</t>
        </is>
      </c>
      <c r="D402" s="1" t="n">
        <v>45250</v>
      </c>
      <c r="E402" s="1" t="n">
        <v>46249</v>
      </c>
      <c r="F402" t="inlineStr">
        <is>
          <t>GOTLANDS LÄN</t>
        </is>
      </c>
      <c r="G402" t="inlineStr">
        <is>
          <t>GOTLAND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7627-2026</t>
        </is>
      </c>
      <c r="B403" t="inlineStr">
        <is>
          <t>avverkningsanmälan</t>
        </is>
      </c>
      <c r="C403" t="inlineStr">
        <is>
          <t>Föryngringsavverkning</t>
        </is>
      </c>
      <c r="D403" s="1" t="n">
        <v>46062</v>
      </c>
      <c r="E403" s="1" t="n">
        <v>46249</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2135-2026</t>
        </is>
      </c>
      <c r="B404" t="inlineStr">
        <is>
          <t>avverkningsanmälan</t>
        </is>
      </c>
      <c r="C404" t="inlineStr">
        <is>
          <t>Avverkning för annat ändamål</t>
        </is>
      </c>
      <c r="D404" s="1" t="n">
        <v>46036</v>
      </c>
      <c r="E404" s="1" t="n">
        <v>46249</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46249</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876-2024</t>
        </is>
      </c>
      <c r="B406" t="inlineStr">
        <is>
          <t>avverkningsanmälan</t>
        </is>
      </c>
      <c r="C406" t="inlineStr">
        <is>
          <t>Avverkning för annat ändamål</t>
        </is>
      </c>
      <c r="D406" s="1" t="n">
        <v>45301</v>
      </c>
      <c r="E406" s="1" t="n">
        <v>46249</v>
      </c>
      <c r="F406" t="inlineStr">
        <is>
          <t>GOTLANDS LÄN</t>
        </is>
      </c>
      <c r="G406" t="inlineStr">
        <is>
          <t>GOTLAND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7638-2025</t>
        </is>
      </c>
      <c r="B407" t="inlineStr">
        <is>
          <t>avverkningsanmälan</t>
        </is>
      </c>
      <c r="C407" t="inlineStr">
        <is>
          <t>Föryngringsavverkning</t>
        </is>
      </c>
      <c r="D407" s="1" t="n">
        <v>45705</v>
      </c>
      <c r="E407" s="1" t="n">
        <v>46249</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9518-2026</t>
        </is>
      </c>
      <c r="B408" t="inlineStr">
        <is>
          <t>avverkningsanmälan</t>
        </is>
      </c>
      <c r="C408" t="inlineStr">
        <is>
          <t>Föryngringsavverkning</t>
        </is>
      </c>
      <c r="D408" s="1" t="n">
        <v>46071</v>
      </c>
      <c r="E408" s="1" t="n">
        <v>46249</v>
      </c>
      <c r="F408" t="inlineStr">
        <is>
          <t>GOTLANDS LÄN</t>
        </is>
      </c>
      <c r="G408" t="inlineStr">
        <is>
          <t>GOTLAND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9519-2026</t>
        </is>
      </c>
      <c r="B409" t="inlineStr">
        <is>
          <t>avverkningsanmälan</t>
        </is>
      </c>
      <c r="C409" t="inlineStr">
        <is>
          <t>Föryngringsavverkning</t>
        </is>
      </c>
      <c r="D409" s="1" t="n">
        <v>46071</v>
      </c>
      <c r="E409" s="1" t="n">
        <v>46249</v>
      </c>
      <c r="F409" t="inlineStr">
        <is>
          <t>GOTLANDS LÄN</t>
        </is>
      </c>
      <c r="G409" t="inlineStr">
        <is>
          <t>GOTLAND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9540-2026</t>
        </is>
      </c>
      <c r="B410" t="inlineStr">
        <is>
          <t>avverkningsanmälan</t>
        </is>
      </c>
      <c r="C410" t="inlineStr">
        <is>
          <t>Föryngringsavverkning</t>
        </is>
      </c>
      <c r="D410" s="1" t="n">
        <v>46071</v>
      </c>
      <c r="E410" s="1" t="n">
        <v>46249</v>
      </c>
      <c r="F410" t="inlineStr">
        <is>
          <t>GOTLANDS LÄN</t>
        </is>
      </c>
      <c r="G410" t="inlineStr">
        <is>
          <t>GOTLAND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46249</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9521-2026</t>
        </is>
      </c>
      <c r="B412" t="inlineStr">
        <is>
          <t>avverkningsanmälan</t>
        </is>
      </c>
      <c r="C412" t="inlineStr">
        <is>
          <t>Föryngringsavverkning</t>
        </is>
      </c>
      <c r="D412" s="1" t="n">
        <v>46071</v>
      </c>
      <c r="E412" s="1" t="n">
        <v>46249</v>
      </c>
      <c r="F412" t="inlineStr">
        <is>
          <t>GOTLANDS LÄN</t>
        </is>
      </c>
      <c r="G412" t="inlineStr">
        <is>
          <t>GOTLAND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9524-2026</t>
        </is>
      </c>
      <c r="B413" t="inlineStr">
        <is>
          <t>avverkningsanmälan</t>
        </is>
      </c>
      <c r="C413" t="inlineStr">
        <is>
          <t>Föryngringsavverkning</t>
        </is>
      </c>
      <c r="D413" s="1" t="n">
        <v>46071</v>
      </c>
      <c r="E413" s="1" t="n">
        <v>46249</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9543-2026</t>
        </is>
      </c>
      <c r="B414" t="inlineStr">
        <is>
          <t>avverkningsanmälan</t>
        </is>
      </c>
      <c r="C414" t="inlineStr">
        <is>
          <t>Föryngringsavverkning</t>
        </is>
      </c>
      <c r="D414" s="1" t="n">
        <v>46071</v>
      </c>
      <c r="E414" s="1" t="n">
        <v>46249</v>
      </c>
      <c r="F414" t="inlineStr">
        <is>
          <t>GOTLANDS LÄN</t>
        </is>
      </c>
      <c r="G414" t="inlineStr">
        <is>
          <t>GOTLAND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22704-2023</t>
        </is>
      </c>
      <c r="B415" t="inlineStr">
        <is>
          <t>avverkningsanmälan</t>
        </is>
      </c>
      <c r="C415" t="inlineStr">
        <is>
          <t>Föryngringsavverkning</t>
        </is>
      </c>
      <c r="D415" s="1" t="n">
        <v>45071</v>
      </c>
      <c r="E415" s="1" t="n">
        <v>46249</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28425-2023</t>
        </is>
      </c>
      <c r="B416" t="inlineStr">
        <is>
          <t>avverkningsanmälan</t>
        </is>
      </c>
      <c r="C416" t="inlineStr">
        <is>
          <t>Föryngringsavverkning</t>
        </is>
      </c>
      <c r="D416" s="1" t="n">
        <v>45102</v>
      </c>
      <c r="E416" s="1" t="n">
        <v>46249</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1394-2023</t>
        </is>
      </c>
      <c r="B417" t="inlineStr">
        <is>
          <t>avverkningsanmälan</t>
        </is>
      </c>
      <c r="C417" t="inlineStr">
        <is>
          <t>Föryngringsavverkning</t>
        </is>
      </c>
      <c r="D417" s="1" t="n">
        <v>44936</v>
      </c>
      <c r="E417" s="1" t="n">
        <v>46249</v>
      </c>
      <c r="F417" t="inlineStr">
        <is>
          <t>GOTLANDS LÄN</t>
        </is>
      </c>
      <c r="G417" t="inlineStr">
        <is>
          <t>GOTLAND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43223-2023</t>
        </is>
      </c>
      <c r="B418" t="inlineStr">
        <is>
          <t>avverkningsanmälan</t>
        </is>
      </c>
      <c r="C418" t="inlineStr">
        <is>
          <t>Föryngringsavverkning</t>
        </is>
      </c>
      <c r="D418" s="1" t="n">
        <v>45183</v>
      </c>
      <c r="E418" s="1" t="n">
        <v>46249</v>
      </c>
      <c r="F418" t="inlineStr">
        <is>
          <t>GOTLANDS LÄN</t>
        </is>
      </c>
      <c r="G418" t="inlineStr">
        <is>
          <t>GOTLAND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3431-2025</t>
        </is>
      </c>
      <c r="B419" t="inlineStr">
        <is>
          <t>avverkningsanmälan</t>
        </is>
      </c>
      <c r="C419" t="inlineStr">
        <is>
          <t>Föryngringsavverkning</t>
        </is>
      </c>
      <c r="D419" s="1" t="n">
        <v>45680</v>
      </c>
      <c r="E419" s="1" t="n">
        <v>46249</v>
      </c>
      <c r="F419" t="inlineStr">
        <is>
          <t>GOTLANDS LÄN</t>
        </is>
      </c>
      <c r="G419" t="inlineStr">
        <is>
          <t>GOTLAND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1462-2025</t>
        </is>
      </c>
      <c r="B420" t="inlineStr">
        <is>
          <t>avverkningsanmälan</t>
        </is>
      </c>
      <c r="C420" t="inlineStr">
        <is>
          <t>Föryngringsavverkning</t>
        </is>
      </c>
      <c r="D420" s="1" t="n">
        <v>45670</v>
      </c>
      <c r="E420" s="1" t="n">
        <v>46249</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10284-2026</t>
        </is>
      </c>
      <c r="B421" t="inlineStr">
        <is>
          <t>avverkningsanmälan</t>
        </is>
      </c>
      <c r="C421" t="inlineStr">
        <is>
          <t>Avverkning för annat ändamål</t>
        </is>
      </c>
      <c r="D421" s="1" t="n">
        <v>46076</v>
      </c>
      <c r="E421" s="1" t="n">
        <v>46249</v>
      </c>
      <c r="F421" t="inlineStr">
        <is>
          <t>GOTLANDS LÄN</t>
        </is>
      </c>
      <c r="G421" t="inlineStr">
        <is>
          <t>GOTLAND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25129-2023</t>
        </is>
      </c>
      <c r="B422" t="inlineStr">
        <is>
          <t>avverkningsanmälan</t>
        </is>
      </c>
      <c r="C422" t="inlineStr">
        <is>
          <t>Föryngringsavverkning</t>
        </is>
      </c>
      <c r="D422" s="1" t="n">
        <v>45086</v>
      </c>
      <c r="E422" s="1" t="n">
        <v>46249</v>
      </c>
      <c r="F422" t="inlineStr">
        <is>
          <t>GOTLANDS LÄN</t>
        </is>
      </c>
      <c r="G422" t="inlineStr">
        <is>
          <t>GOTLAND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24192-2023</t>
        </is>
      </c>
      <c r="B423" t="inlineStr">
        <is>
          <t>avverkningsanmälan</t>
        </is>
      </c>
      <c r="C423" t="inlineStr">
        <is>
          <t>Föryngringsavverkning</t>
        </is>
      </c>
      <c r="D423" s="1" t="n">
        <v>45079</v>
      </c>
      <c r="E423" s="1" t="n">
        <v>46249</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5386-2023</t>
        </is>
      </c>
      <c r="B424" t="inlineStr">
        <is>
          <t>avverkningsanmälan</t>
        </is>
      </c>
      <c r="C424" t="inlineStr">
        <is>
          <t>Föryngringsavverkning</t>
        </is>
      </c>
      <c r="D424" s="1" t="n">
        <v>44959</v>
      </c>
      <c r="E424" s="1" t="n">
        <v>46249</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37202-2024</t>
        </is>
      </c>
      <c r="B425" t="inlineStr">
        <is>
          <t>avverkningsanmälan</t>
        </is>
      </c>
      <c r="C425" t="inlineStr">
        <is>
          <t>Föryngringsavverkning</t>
        </is>
      </c>
      <c r="D425" s="1" t="n">
        <v>45539</v>
      </c>
      <c r="E425" s="1" t="n">
        <v>46249</v>
      </c>
      <c r="F425" t="inlineStr">
        <is>
          <t>GOTLANDS LÄN</t>
        </is>
      </c>
      <c r="G425" t="inlineStr">
        <is>
          <t>GOTLAND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46527-2023</t>
        </is>
      </c>
      <c r="B426" t="inlineStr">
        <is>
          <t>avverkningsanmälan</t>
        </is>
      </c>
      <c r="C426" t="inlineStr">
        <is>
          <t>Avverkning för annat ändamål</t>
        </is>
      </c>
      <c r="D426" s="1" t="n">
        <v>45197</v>
      </c>
      <c r="E426" s="1" t="n">
        <v>46249</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7026-2023</t>
        </is>
      </c>
      <c r="B427" t="inlineStr">
        <is>
          <t>avverkningsanmälan</t>
        </is>
      </c>
      <c r="C427" t="inlineStr">
        <is>
          <t>Föryngringsavverkning</t>
        </is>
      </c>
      <c r="D427" s="1" t="n">
        <v>44968</v>
      </c>
      <c r="E427" s="1" t="n">
        <v>46249</v>
      </c>
      <c r="F427" t="inlineStr">
        <is>
          <t>GOTLANDS LÄN</t>
        </is>
      </c>
      <c r="G427" t="inlineStr">
        <is>
          <t>GOTLAND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20855-2023</t>
        </is>
      </c>
      <c r="B428" t="inlineStr">
        <is>
          <t>avverkningsanmälan</t>
        </is>
      </c>
      <c r="C428" t="inlineStr">
        <is>
          <t>Föryngringsavverkning</t>
        </is>
      </c>
      <c r="D428" s="1" t="n">
        <v>45058</v>
      </c>
      <c r="E428" s="1" t="n">
        <v>46249</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1000-2024</t>
        </is>
      </c>
      <c r="B429" t="inlineStr">
        <is>
          <t>avverkningsanmälan</t>
        </is>
      </c>
      <c r="C429" t="inlineStr">
        <is>
          <t>Föryngringsavverkning</t>
        </is>
      </c>
      <c r="D429" s="1" t="n">
        <v>45301</v>
      </c>
      <c r="E429" s="1" t="n">
        <v>46249</v>
      </c>
      <c r="F429" t="inlineStr">
        <is>
          <t>GOTLANDS LÄN</t>
        </is>
      </c>
      <c r="G429" t="inlineStr">
        <is>
          <t>GOTLAND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2774-2024</t>
        </is>
      </c>
      <c r="B430" t="inlineStr">
        <is>
          <t>avverkningsanmälan</t>
        </is>
      </c>
      <c r="C430" t="inlineStr">
        <is>
          <t>Föryngringsavverkning</t>
        </is>
      </c>
      <c r="D430" s="1" t="n">
        <v>45314</v>
      </c>
      <c r="E430" s="1" t="n">
        <v>46249</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47762-2023</t>
        </is>
      </c>
      <c r="B431" t="inlineStr">
        <is>
          <t>avverkningsanmälan</t>
        </is>
      </c>
      <c r="C431" t="inlineStr">
        <is>
          <t>Föryngringsavverkning</t>
        </is>
      </c>
      <c r="D431" s="1" t="n">
        <v>45203</v>
      </c>
      <c r="E431" s="1" t="n">
        <v>46249</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60709-2023</t>
        </is>
      </c>
      <c r="B432" t="inlineStr">
        <is>
          <t>avverkningsanmälan</t>
        </is>
      </c>
      <c r="C432" t="inlineStr">
        <is>
          <t>Föryngringsavverkning</t>
        </is>
      </c>
      <c r="D432" s="1" t="n">
        <v>45260</v>
      </c>
      <c r="E432" s="1" t="n">
        <v>46249</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22275-2026</t>
        </is>
      </c>
      <c r="B433" t="inlineStr">
        <is>
          <t>avverkningsanmälan</t>
        </is>
      </c>
      <c r="C433" t="inlineStr">
        <is>
          <t>Föryngringsavverkning</t>
        </is>
      </c>
      <c r="D433" s="1" t="n">
        <v>46154</v>
      </c>
      <c r="E433" s="1" t="n">
        <v>46249</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60086-2022</t>
        </is>
      </c>
      <c r="B434" t="inlineStr">
        <is>
          <t>avverkningsanmälan</t>
        </is>
      </c>
      <c r="C434" t="inlineStr">
        <is>
          <t>Föryngringsavverkning</t>
        </is>
      </c>
      <c r="D434" s="1" t="n">
        <v>44909</v>
      </c>
      <c r="E434" s="1" t="n">
        <v>46249</v>
      </c>
      <c r="F434" t="inlineStr">
        <is>
          <t>GOTLANDS LÄN</t>
        </is>
      </c>
      <c r="G434" t="inlineStr">
        <is>
          <t>GOTLAND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22281-2026</t>
        </is>
      </c>
      <c r="B435" t="inlineStr">
        <is>
          <t>avverkningsanmälan</t>
        </is>
      </c>
      <c r="C435" t="inlineStr">
        <is>
          <t>Avverkning för annat ändamål</t>
        </is>
      </c>
      <c r="D435" s="1" t="n">
        <v>46154</v>
      </c>
      <c r="E435" s="1" t="n">
        <v>46249</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28485-2023</t>
        </is>
      </c>
      <c r="B436" t="inlineStr">
        <is>
          <t>avverkningsanmälan</t>
        </is>
      </c>
      <c r="C436" t="inlineStr">
        <is>
          <t>Föryngringsavverkning</t>
        </is>
      </c>
      <c r="D436" s="1" t="n">
        <v>45103</v>
      </c>
      <c r="E436" s="1" t="n">
        <v>46249</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22348-2026</t>
        </is>
      </c>
      <c r="B437" t="inlineStr">
        <is>
          <t>avverkningsanmälan</t>
        </is>
      </c>
      <c r="C437" t="inlineStr">
        <is>
          <t>Föryngringsavverkning</t>
        </is>
      </c>
      <c r="D437" s="1" t="n">
        <v>46154</v>
      </c>
      <c r="E437" s="1" t="n">
        <v>46249</v>
      </c>
      <c r="F437" t="inlineStr">
        <is>
          <t>GOTLANDS LÄN</t>
        </is>
      </c>
      <c r="G437" t="inlineStr">
        <is>
          <t>GOTLAND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22351-2026</t>
        </is>
      </c>
      <c r="B438" t="inlineStr">
        <is>
          <t>avverkningsanmälan</t>
        </is>
      </c>
      <c r="C438" t="inlineStr">
        <is>
          <t>Föryngringsavverkning</t>
        </is>
      </c>
      <c r="D438" s="1" t="n">
        <v>46154</v>
      </c>
      <c r="E438" s="1" t="n">
        <v>46249</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39764-2022</t>
        </is>
      </c>
      <c r="B439" t="inlineStr">
        <is>
          <t>avverkningsanmälan</t>
        </is>
      </c>
      <c r="C439" t="inlineStr">
        <is>
          <t>Föryngringsavverkning</t>
        </is>
      </c>
      <c r="D439" s="1" t="n">
        <v>44819</v>
      </c>
      <c r="E439" s="1" t="n">
        <v>46249</v>
      </c>
      <c r="F439" t="inlineStr">
        <is>
          <t>GOTLANDS LÄN</t>
        </is>
      </c>
      <c r="G439" t="inlineStr">
        <is>
          <t>GOTLAND</t>
        </is>
      </c>
      <c r="H439" t="inlineStr">
        <is>
          <t>Kyrkan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44949-2023</t>
        </is>
      </c>
      <c r="B440" t="inlineStr">
        <is>
          <t>avverkningsanmälan</t>
        </is>
      </c>
      <c r="C440" t="inlineStr">
        <is>
          <t>Föryngringsavverkning</t>
        </is>
      </c>
      <c r="D440" s="1" t="n">
        <v>45190</v>
      </c>
      <c r="E440" s="1" t="n">
        <v>46249</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30956-2024</t>
        </is>
      </c>
      <c r="B441" t="inlineStr">
        <is>
          <t>avverkningsanmälan</t>
        </is>
      </c>
      <c r="C441" t="inlineStr">
        <is>
          <t>Föryngringsavverkning</t>
        </is>
      </c>
      <c r="D441" s="1" t="n">
        <v>45499</v>
      </c>
      <c r="E441" s="1" t="n">
        <v>46249</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30892-2024</t>
        </is>
      </c>
      <c r="B442" t="inlineStr">
        <is>
          <t>avverkningsanmälan</t>
        </is>
      </c>
      <c r="C442" t="inlineStr">
        <is>
          <t>Föryngringsavverkning</t>
        </is>
      </c>
      <c r="D442" s="1" t="n">
        <v>45491</v>
      </c>
      <c r="E442" s="1" t="n">
        <v>46249</v>
      </c>
      <c r="F442" t="inlineStr">
        <is>
          <t>GOTLANDS LÄN</t>
        </is>
      </c>
      <c r="G442" t="inlineStr">
        <is>
          <t>GOTLAND</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14635-2023</t>
        </is>
      </c>
      <c r="B443" t="inlineStr">
        <is>
          <t>avverkningsanmälan</t>
        </is>
      </c>
      <c r="C443" t="inlineStr">
        <is>
          <t>Föryngringsavverkning</t>
        </is>
      </c>
      <c r="D443" s="1" t="n">
        <v>45013</v>
      </c>
      <c r="E443" s="1" t="n">
        <v>46249</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59469-2024</t>
        </is>
      </c>
      <c r="B444" t="inlineStr">
        <is>
          <t>avverkningsanmälan</t>
        </is>
      </c>
      <c r="C444" t="inlineStr">
        <is>
          <t>Föryngringsavverkning</t>
        </is>
      </c>
      <c r="D444" s="1" t="n">
        <v>45638</v>
      </c>
      <c r="E444" s="1" t="n">
        <v>46249</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7858-2025</t>
        </is>
      </c>
      <c r="B445" t="inlineStr">
        <is>
          <t>avverkningsanmälan</t>
        </is>
      </c>
      <c r="C445" t="inlineStr">
        <is>
          <t>Föryngringsavverkning</t>
        </is>
      </c>
      <c r="D445" s="1" t="n">
        <v>45706</v>
      </c>
      <c r="E445" s="1" t="n">
        <v>46249</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46249</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4420-2025</t>
        </is>
      </c>
      <c r="B447" t="inlineStr">
        <is>
          <t>avverkningsanmälan</t>
        </is>
      </c>
      <c r="C447" t="inlineStr">
        <is>
          <t>Föryngringsavverkning</t>
        </is>
      </c>
      <c r="D447" s="1" t="n">
        <v>45686</v>
      </c>
      <c r="E447" s="1" t="n">
        <v>46249</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35096-2025</t>
        </is>
      </c>
      <c r="B448" t="inlineStr">
        <is>
          <t>avverkningsanmälan</t>
        </is>
      </c>
      <c r="C448" t="inlineStr">
        <is>
          <t>Föryngringsavverkning</t>
        </is>
      </c>
      <c r="D448" s="1" t="n">
        <v>45852</v>
      </c>
      <c r="E448" s="1" t="n">
        <v>46249</v>
      </c>
      <c r="F448" t="inlineStr">
        <is>
          <t>GOTLANDS LÄN</t>
        </is>
      </c>
      <c r="G448" t="inlineStr">
        <is>
          <t>GOTLAND</t>
        </is>
      </c>
      <c r="H448" t="inlineStr">
        <is>
          <t>Kyrkan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5891-2025</t>
        </is>
      </c>
      <c r="B449" t="inlineStr">
        <is>
          <t>avverkningsanmälan</t>
        </is>
      </c>
      <c r="C449" t="inlineStr">
        <is>
          <t>Föryngringsavverkning</t>
        </is>
      </c>
      <c r="D449" s="1" t="n">
        <v>45695</v>
      </c>
      <c r="E449" s="1" t="n">
        <v>46249</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46249</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3964-2024</t>
        </is>
      </c>
      <c r="B451" t="inlineStr">
        <is>
          <t>avverkningsanmälan</t>
        </is>
      </c>
      <c r="C451" t="inlineStr">
        <is>
          <t>Föryngringsavverkning</t>
        </is>
      </c>
      <c r="D451" s="1" t="n">
        <v>45322</v>
      </c>
      <c r="E451" s="1" t="n">
        <v>46249</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45084-2024</t>
        </is>
      </c>
      <c r="B452" t="inlineStr">
        <is>
          <t>avverkningsanmälan</t>
        </is>
      </c>
      <c r="C452" t="inlineStr">
        <is>
          <t>Föryngringsavverkning</t>
        </is>
      </c>
      <c r="D452" s="1" t="n">
        <v>45575</v>
      </c>
      <c r="E452" s="1" t="n">
        <v>46249</v>
      </c>
      <c r="F452" t="inlineStr">
        <is>
          <t>GOTLANDS LÄN</t>
        </is>
      </c>
      <c r="G452" t="inlineStr">
        <is>
          <t>GOTLAND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23103-2026</t>
        </is>
      </c>
      <c r="B453" t="inlineStr">
        <is>
          <t>avverkningsanmälan</t>
        </is>
      </c>
      <c r="C453" t="inlineStr">
        <is>
          <t>Föryngringsavverkning</t>
        </is>
      </c>
      <c r="D453" s="1" t="n">
        <v>46161</v>
      </c>
      <c r="E453" s="1" t="n">
        <v>46249</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7835-2024</t>
        </is>
      </c>
      <c r="B454" t="inlineStr">
        <is>
          <t>avverkningsanmälan</t>
        </is>
      </c>
      <c r="C454" t="inlineStr">
        <is>
          <t>Föryngringsavverkning</t>
        </is>
      </c>
      <c r="D454" s="1" t="n">
        <v>45349</v>
      </c>
      <c r="E454" s="1" t="n">
        <v>46249</v>
      </c>
      <c r="F454" t="inlineStr">
        <is>
          <t>GOTLANDS LÄN</t>
        </is>
      </c>
      <c r="G454" t="inlineStr">
        <is>
          <t>GOTLAND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21389-2025</t>
        </is>
      </c>
      <c r="B455" t="inlineStr">
        <is>
          <t>avverkningsanmälan</t>
        </is>
      </c>
      <c r="C455" t="inlineStr">
        <is>
          <t>Föryngringsavverkning</t>
        </is>
      </c>
      <c r="D455" s="1" t="n">
        <v>45782</v>
      </c>
      <c r="E455" s="1" t="n">
        <v>46249</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5217-2023</t>
        </is>
      </c>
      <c r="B456" t="inlineStr">
        <is>
          <t>avverkningsanmälan</t>
        </is>
      </c>
      <c r="C456" t="inlineStr">
        <is>
          <t>Föryngringsavverkning</t>
        </is>
      </c>
      <c r="D456" s="1" t="n">
        <v>44959</v>
      </c>
      <c r="E456" s="1" t="n">
        <v>46249</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23504-2026</t>
        </is>
      </c>
      <c r="B457" t="inlineStr">
        <is>
          <t>avverkningsanmälan</t>
        </is>
      </c>
      <c r="C457" t="inlineStr">
        <is>
          <t>Föryngringsavverkning</t>
        </is>
      </c>
      <c r="D457" s="1" t="n">
        <v>46163</v>
      </c>
      <c r="E457" s="1" t="n">
        <v>46249</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46249</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8260-2023</t>
        </is>
      </c>
      <c r="B459" t="inlineStr">
        <is>
          <t>avverkningsanmälan</t>
        </is>
      </c>
      <c r="C459" t="inlineStr">
        <is>
          <t>Föryngringsavverkning</t>
        </is>
      </c>
      <c r="D459" s="1" t="n">
        <v>44974</v>
      </c>
      <c r="E459" s="1" t="n">
        <v>46249</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64969-2023</t>
        </is>
      </c>
      <c r="B460" t="inlineStr">
        <is>
          <t>avverkningsanmälan</t>
        </is>
      </c>
      <c r="C460" t="inlineStr">
        <is>
          <t>Föryngringsavverkning</t>
        </is>
      </c>
      <c r="D460" s="1" t="n">
        <v>45284</v>
      </c>
      <c r="E460" s="1" t="n">
        <v>46249</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46249</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17541-2024</t>
        </is>
      </c>
      <c r="B462" t="inlineStr">
        <is>
          <t>avverkningsanmälan</t>
        </is>
      </c>
      <c r="C462" t="inlineStr">
        <is>
          <t>Föryngringsavverkning</t>
        </is>
      </c>
      <c r="D462" s="1" t="n">
        <v>45415</v>
      </c>
      <c r="E462" s="1" t="n">
        <v>46249</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57356-2023</t>
        </is>
      </c>
      <c r="B463" t="inlineStr">
        <is>
          <t>avverkningsanmälan</t>
        </is>
      </c>
      <c r="C463" t="inlineStr">
        <is>
          <t>Föryngringsavverkning</t>
        </is>
      </c>
      <c r="D463" s="1" t="n">
        <v>45240</v>
      </c>
      <c r="E463" s="1" t="n">
        <v>46249</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10656-2024</t>
        </is>
      </c>
      <c r="B464" t="inlineStr">
        <is>
          <t>avverkningsanmälan</t>
        </is>
      </c>
      <c r="C464" t="inlineStr">
        <is>
          <t>Föryngringsavverkning</t>
        </is>
      </c>
      <c r="D464" s="1" t="n">
        <v>45368</v>
      </c>
      <c r="E464" s="1" t="n">
        <v>46249</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28506-2023</t>
        </is>
      </c>
      <c r="B465" t="inlineStr">
        <is>
          <t>avverkningsanmälan</t>
        </is>
      </c>
      <c r="C465" t="inlineStr">
        <is>
          <t>Avverkning för annat ändamål</t>
        </is>
      </c>
      <c r="D465" s="1" t="n">
        <v>45103</v>
      </c>
      <c r="E465" s="1" t="n">
        <v>46249</v>
      </c>
      <c r="F465" t="inlineStr">
        <is>
          <t>GOTLANDS LÄN</t>
        </is>
      </c>
      <c r="G465" t="inlineStr">
        <is>
          <t>GOTLAND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21420-2024</t>
        </is>
      </c>
      <c r="B466" t="inlineStr">
        <is>
          <t>avverkningsanmälan</t>
        </is>
      </c>
      <c r="C466" t="inlineStr">
        <is>
          <t>Föryngringsavverkning</t>
        </is>
      </c>
      <c r="D466" s="1" t="n">
        <v>45441</v>
      </c>
      <c r="E466" s="1" t="n">
        <v>46249</v>
      </c>
      <c r="F466" t="inlineStr">
        <is>
          <t>GOTLANDS LÄN</t>
        </is>
      </c>
      <c r="G466" t="inlineStr">
        <is>
          <t>GOTLAND</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23188-2025</t>
        </is>
      </c>
      <c r="B467" t="inlineStr">
        <is>
          <t>avverkningsanmälan</t>
        </is>
      </c>
      <c r="C467" t="inlineStr">
        <is>
          <t>Avverkning för annat ändamål</t>
        </is>
      </c>
      <c r="D467" s="1" t="n">
        <v>45791</v>
      </c>
      <c r="E467" s="1" t="n">
        <v>46249</v>
      </c>
      <c r="F467" t="inlineStr">
        <is>
          <t>GOTLANDS LÄN</t>
        </is>
      </c>
      <c r="G467" t="inlineStr">
        <is>
          <t>GOTLAND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15434-2024</t>
        </is>
      </c>
      <c r="B468" t="inlineStr">
        <is>
          <t>avverkningsanmälan</t>
        </is>
      </c>
      <c r="C468" t="inlineStr">
        <is>
          <t>Föryngringsavverkning</t>
        </is>
      </c>
      <c r="D468" s="1" t="n">
        <v>45401</v>
      </c>
      <c r="E468" s="1" t="n">
        <v>46249</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30926-2026</t>
        </is>
      </c>
      <c r="B469" t="inlineStr">
        <is>
          <t>avverkningsanmälan</t>
        </is>
      </c>
      <c r="C469" t="inlineStr">
        <is>
          <t>Föryngringsavverkning</t>
        </is>
      </c>
      <c r="D469" s="1" t="n">
        <v>46213</v>
      </c>
      <c r="E469" s="1" t="n">
        <v>46249</v>
      </c>
      <c r="F469" t="inlineStr">
        <is>
          <t>GOTLANDS LÄN</t>
        </is>
      </c>
      <c r="G469" t="inlineStr">
        <is>
          <t>GOTLAND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46249</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15073-2025</t>
        </is>
      </c>
      <c r="B471" t="inlineStr">
        <is>
          <t>avverkningsanmälan</t>
        </is>
      </c>
      <c r="C471" t="inlineStr">
        <is>
          <t>Avverkning för annat ändamål</t>
        </is>
      </c>
      <c r="D471" s="1" t="n">
        <v>45743</v>
      </c>
      <c r="E471" s="1" t="n">
        <v>46249</v>
      </c>
      <c r="F471" t="inlineStr">
        <is>
          <t>GOTLANDS LÄN</t>
        </is>
      </c>
      <c r="G471" t="inlineStr">
        <is>
          <t>GOTLAND</t>
        </is>
      </c>
      <c r="I471" t="n">
        <v>12.1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24448-2026</t>
        </is>
      </c>
      <c r="B472" t="inlineStr">
        <is>
          <t>avverkningsanmälan</t>
        </is>
      </c>
      <c r="C472" t="inlineStr">
        <is>
          <t>Föryngringsavverkning</t>
        </is>
      </c>
      <c r="D472" s="1" t="n">
        <v>46170</v>
      </c>
      <c r="E472" s="1" t="n">
        <v>46249</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5943-2024</t>
        </is>
      </c>
      <c r="B473" t="inlineStr">
        <is>
          <t>avverkningsanmälan</t>
        </is>
      </c>
      <c r="C473" t="inlineStr">
        <is>
          <t>Avverkning för annat ändamål</t>
        </is>
      </c>
      <c r="D473" s="1" t="n">
        <v>45336</v>
      </c>
      <c r="E473" s="1" t="n">
        <v>46249</v>
      </c>
      <c r="F473" t="inlineStr">
        <is>
          <t>GOTLANDS LÄN</t>
        </is>
      </c>
      <c r="G473" t="inlineStr">
        <is>
          <t>GOTLAND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54073-2022</t>
        </is>
      </c>
      <c r="B474" t="inlineStr">
        <is>
          <t>avverkningsanmälan</t>
        </is>
      </c>
      <c r="C474" t="inlineStr">
        <is>
          <t>Föryngringsavverkning</t>
        </is>
      </c>
      <c r="D474" s="1" t="n">
        <v>44881</v>
      </c>
      <c r="E474" s="1" t="n">
        <v>46249</v>
      </c>
      <c r="F474" t="inlineStr">
        <is>
          <t>GOTLANDS LÄN</t>
        </is>
      </c>
      <c r="G474" t="inlineStr">
        <is>
          <t>GOTLAND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16361-2024</t>
        </is>
      </c>
      <c r="B475" t="inlineStr">
        <is>
          <t>avverkningsanmälan</t>
        </is>
      </c>
      <c r="C475" t="inlineStr">
        <is>
          <t>Föryngringsavverkning</t>
        </is>
      </c>
      <c r="D475" s="1" t="n">
        <v>45407</v>
      </c>
      <c r="E475" s="1" t="n">
        <v>46249</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6749-2025</t>
        </is>
      </c>
      <c r="B476" t="inlineStr">
        <is>
          <t>avverkningsanmälan</t>
        </is>
      </c>
      <c r="C476" t="inlineStr">
        <is>
          <t>Föryngringsavverkning</t>
        </is>
      </c>
      <c r="D476" s="1" t="n">
        <v>45700</v>
      </c>
      <c r="E476" s="1" t="n">
        <v>46249</v>
      </c>
      <c r="F476" t="inlineStr">
        <is>
          <t>GOTLANDS LÄN</t>
        </is>
      </c>
      <c r="G476" t="inlineStr">
        <is>
          <t>GOTLAND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41038-2023</t>
        </is>
      </c>
      <c r="B477" t="inlineStr">
        <is>
          <t>avverkningsanmälan</t>
        </is>
      </c>
      <c r="C477" t="inlineStr">
        <is>
          <t>Föryngringsavverkning</t>
        </is>
      </c>
      <c r="D477" s="1" t="n">
        <v>45173</v>
      </c>
      <c r="E477" s="1" t="n">
        <v>46249</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23698-2025</t>
        </is>
      </c>
      <c r="B478" t="inlineStr">
        <is>
          <t>avverkningsanmälan</t>
        </is>
      </c>
      <c r="C478" t="inlineStr">
        <is>
          <t>Föryngringsavverkning</t>
        </is>
      </c>
      <c r="D478" s="1" t="n">
        <v>45793</v>
      </c>
      <c r="E478" s="1" t="n">
        <v>46249</v>
      </c>
      <c r="F478" t="inlineStr">
        <is>
          <t>GOTLANDS LÄN</t>
        </is>
      </c>
      <c r="G478" t="inlineStr">
        <is>
          <t>GOTLAND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14427-2024</t>
        </is>
      </c>
      <c r="B479" t="inlineStr">
        <is>
          <t>avverkningsanmälan</t>
        </is>
      </c>
      <c r="C479" t="inlineStr">
        <is>
          <t>Avverkning för att bevara och utveckla /försöksver</t>
        </is>
      </c>
      <c r="D479" s="1" t="n">
        <v>45394</v>
      </c>
      <c r="E479" s="1" t="n">
        <v>46249</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46249</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46249</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12846-2025</t>
        </is>
      </c>
      <c r="B482" t="inlineStr">
        <is>
          <t>avverkningsanmälan</t>
        </is>
      </c>
      <c r="C482" t="inlineStr">
        <is>
          <t>Föryngringsavverkning</t>
        </is>
      </c>
      <c r="D482" s="1" t="n">
        <v>45733</v>
      </c>
      <c r="E482" s="1" t="n">
        <v>46249</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46249</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10650-2022</t>
        </is>
      </c>
      <c r="B484" t="inlineStr">
        <is>
          <t>avverkningsanmälan</t>
        </is>
      </c>
      <c r="C484" t="inlineStr">
        <is>
          <t>Föryngringsavverkning</t>
        </is>
      </c>
      <c r="D484" s="1" t="n">
        <v>44624</v>
      </c>
      <c r="E484" s="1" t="n">
        <v>46249</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46249</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7850-2025</t>
        </is>
      </c>
      <c r="B486" t="inlineStr">
        <is>
          <t>avverkningsanmälan</t>
        </is>
      </c>
      <c r="C486" t="inlineStr">
        <is>
          <t>Föryngringsavverkning</t>
        </is>
      </c>
      <c r="D486" s="1" t="n">
        <v>45706</v>
      </c>
      <c r="E486" s="1" t="n">
        <v>46249</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27354-2026</t>
        </is>
      </c>
      <c r="B487" t="inlineStr">
        <is>
          <t>avverkningsanmälan</t>
        </is>
      </c>
      <c r="C487" t="inlineStr">
        <is>
          <t>Föryngringsavverkning</t>
        </is>
      </c>
      <c r="D487" s="1" t="n">
        <v>46184</v>
      </c>
      <c r="E487" s="1" t="n">
        <v>46249</v>
      </c>
      <c r="F487" t="inlineStr">
        <is>
          <t>GOTLANDS LÄN</t>
        </is>
      </c>
      <c r="G487" t="inlineStr">
        <is>
          <t>GOTLAND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1351-2025</t>
        </is>
      </c>
      <c r="B488" t="inlineStr">
        <is>
          <t>avverkningsanmälan</t>
        </is>
      </c>
      <c r="C488" t="inlineStr">
        <is>
          <t>Föryngringsavverkning</t>
        </is>
      </c>
      <c r="D488" s="1" t="n">
        <v>45667</v>
      </c>
      <c r="E488" s="1" t="n">
        <v>46249</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31693-2026</t>
        </is>
      </c>
      <c r="B489" t="inlineStr">
        <is>
          <t>avverkningsanmälan</t>
        </is>
      </c>
      <c r="C489" t="inlineStr">
        <is>
          <t>Föryngringsavverkning</t>
        </is>
      </c>
      <c r="D489" s="1" t="n">
        <v>46226</v>
      </c>
      <c r="E489" s="1" t="n">
        <v>46249</v>
      </c>
      <c r="F489" t="inlineStr">
        <is>
          <t>GOTLANDS LÄN</t>
        </is>
      </c>
      <c r="G489" t="inlineStr">
        <is>
          <t>GOTLAND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39496-2022</t>
        </is>
      </c>
      <c r="B490" t="inlineStr">
        <is>
          <t>avverkningsanmälan</t>
        </is>
      </c>
      <c r="C490" t="inlineStr">
        <is>
          <t>Föryngringsavverkning</t>
        </is>
      </c>
      <c r="D490" s="1" t="n">
        <v>44818</v>
      </c>
      <c r="E490" s="1" t="n">
        <v>46249</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8444-2025</t>
        </is>
      </c>
      <c r="B491" t="inlineStr">
        <is>
          <t>avverkningsanmälan</t>
        </is>
      </c>
      <c r="C491" t="inlineStr">
        <is>
          <t>Föryngringsavverkning</t>
        </is>
      </c>
      <c r="D491" s="1" t="n">
        <v>45709</v>
      </c>
      <c r="E491" s="1" t="n">
        <v>46249</v>
      </c>
      <c r="F491" t="inlineStr">
        <is>
          <t>GOTLANDS LÄN</t>
        </is>
      </c>
      <c r="G491" t="inlineStr">
        <is>
          <t>GOTLAND</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49874-2024</t>
        </is>
      </c>
      <c r="B492" t="inlineStr">
        <is>
          <t>avverkningsanmälan</t>
        </is>
      </c>
      <c r="C492" t="inlineStr">
        <is>
          <t>Föryngringsavverkning</t>
        </is>
      </c>
      <c r="D492" s="1" t="n">
        <v>45597</v>
      </c>
      <c r="E492" s="1" t="n">
        <v>46249</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46400-2023</t>
        </is>
      </c>
      <c r="B493" t="inlineStr">
        <is>
          <t>avverkningsanmälan</t>
        </is>
      </c>
      <c r="C493" t="inlineStr">
        <is>
          <t>Föryngringsavverkning</t>
        </is>
      </c>
      <c r="D493" s="1" t="n">
        <v>45197</v>
      </c>
      <c r="E493" s="1" t="n">
        <v>46249</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46249</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21164-2024</t>
        </is>
      </c>
      <c r="B495" t="inlineStr">
        <is>
          <t>avverkningsanmälan</t>
        </is>
      </c>
      <c r="C495" t="inlineStr">
        <is>
          <t>Föryngringsavverkning</t>
        </is>
      </c>
      <c r="D495" s="1" t="n">
        <v>45440</v>
      </c>
      <c r="E495" s="1" t="n">
        <v>46249</v>
      </c>
      <c r="F495" t="inlineStr">
        <is>
          <t>GOTLANDS LÄN</t>
        </is>
      </c>
      <c r="G495" t="inlineStr">
        <is>
          <t>GOTLAND</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8045-2022</t>
        </is>
      </c>
      <c r="B496" t="inlineStr">
        <is>
          <t>avverkningsanmälan</t>
        </is>
      </c>
      <c r="C496" t="inlineStr">
        <is>
          <t>Föryngringsavverkning</t>
        </is>
      </c>
      <c r="D496" s="1" t="n">
        <v>44609</v>
      </c>
      <c r="E496" s="1" t="n">
        <v>46249</v>
      </c>
      <c r="F496" t="inlineStr">
        <is>
          <t>GOTLANDS LÄN</t>
        </is>
      </c>
      <c r="G496" t="inlineStr">
        <is>
          <t>GOTLAND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46249</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30061-2025</t>
        </is>
      </c>
      <c r="B498" t="inlineStr">
        <is>
          <t>avverkningsanmälan</t>
        </is>
      </c>
      <c r="C498" t="inlineStr">
        <is>
          <t>Föryngringsavverkning</t>
        </is>
      </c>
      <c r="D498" s="1" t="n">
        <v>45826</v>
      </c>
      <c r="E498" s="1" t="n">
        <v>46249</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22897-2023</t>
        </is>
      </c>
      <c r="B499" t="inlineStr">
        <is>
          <t>avverkningsanmälan</t>
        </is>
      </c>
      <c r="C499" t="inlineStr">
        <is>
          <t>Föryngringsavverkning</t>
        </is>
      </c>
      <c r="D499" s="1" t="n">
        <v>45072</v>
      </c>
      <c r="E499" s="1" t="n">
        <v>46249</v>
      </c>
      <c r="F499" t="inlineStr">
        <is>
          <t>GOTLANDS LÄN</t>
        </is>
      </c>
      <c r="G499" t="inlineStr">
        <is>
          <t>GOTLAND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46249</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58160-2024</t>
        </is>
      </c>
      <c r="B501" t="inlineStr">
        <is>
          <t>avverkningsanmälan</t>
        </is>
      </c>
      <c r="C501" t="inlineStr">
        <is>
          <t>Föryngringsavverkning</t>
        </is>
      </c>
      <c r="D501" s="1" t="n">
        <v>45632</v>
      </c>
      <c r="E501" s="1" t="n">
        <v>46249</v>
      </c>
      <c r="F501" t="inlineStr">
        <is>
          <t>GOTLANDS LÄN</t>
        </is>
      </c>
      <c r="G501" t="inlineStr">
        <is>
          <t>GOTLAND</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31287-2026</t>
        </is>
      </c>
      <c r="B502" t="inlineStr">
        <is>
          <t>avverkningsanmälan</t>
        </is>
      </c>
      <c r="C502" t="inlineStr">
        <is>
          <t>Föryngringsavverkning</t>
        </is>
      </c>
      <c r="D502" s="1" t="n">
        <v>46218</v>
      </c>
      <c r="E502" s="1" t="n">
        <v>46249</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46249</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46249</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20165-2022</t>
        </is>
      </c>
      <c r="B505" t="inlineStr">
        <is>
          <t>avverkningsanmälan</t>
        </is>
      </c>
      <c r="C505" t="inlineStr">
        <is>
          <t>Föryngringsavverkning</t>
        </is>
      </c>
      <c r="D505" s="1" t="n">
        <v>44698</v>
      </c>
      <c r="E505" s="1" t="n">
        <v>46249</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46249</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38787-2023</t>
        </is>
      </c>
      <c r="B507" t="inlineStr">
        <is>
          <t>avverkningsanmälan</t>
        </is>
      </c>
      <c r="C507" t="inlineStr">
        <is>
          <t>Föryngringsavverkning</t>
        </is>
      </c>
      <c r="D507" s="1" t="n">
        <v>45163</v>
      </c>
      <c r="E507" s="1" t="n">
        <v>46249</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46249</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32239-2026</t>
        </is>
      </c>
      <c r="B509" t="inlineStr">
        <is>
          <t>avverkningsanmälan</t>
        </is>
      </c>
      <c r="C509" t="inlineStr">
        <is>
          <t>Föryngringsavverkning</t>
        </is>
      </c>
      <c r="D509" s="1" t="n">
        <v>46237</v>
      </c>
      <c r="E509" s="1" t="n">
        <v>46249</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43231-2023</t>
        </is>
      </c>
      <c r="B510" t="inlineStr">
        <is>
          <t>avverkningsanmälan</t>
        </is>
      </c>
      <c r="C510" t="inlineStr">
        <is>
          <t>Föryngringsavverkning</t>
        </is>
      </c>
      <c r="D510" s="1" t="n">
        <v>45183</v>
      </c>
      <c r="E510" s="1" t="n">
        <v>46249</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28012-2026</t>
        </is>
      </c>
      <c r="B511" t="inlineStr">
        <is>
          <t>avverkningsanmälan</t>
        </is>
      </c>
      <c r="C511" t="inlineStr">
        <is>
          <t>Föryngringsavverkning</t>
        </is>
      </c>
      <c r="D511" s="1" t="n">
        <v>46195</v>
      </c>
      <c r="E511" s="1" t="n">
        <v>46249</v>
      </c>
      <c r="F511" t="inlineStr">
        <is>
          <t>GOTLANDS LÄN</t>
        </is>
      </c>
      <c r="G511" t="inlineStr">
        <is>
          <t>GOTLAND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17532-2024</t>
        </is>
      </c>
      <c r="B512" t="inlineStr">
        <is>
          <t>avverkningsanmälan</t>
        </is>
      </c>
      <c r="C512" t="inlineStr">
        <is>
          <t>Föryngringsavverkning</t>
        </is>
      </c>
      <c r="D512" s="1" t="n">
        <v>45415</v>
      </c>
      <c r="E512" s="1" t="n">
        <v>46249</v>
      </c>
      <c r="F512" t="inlineStr">
        <is>
          <t>GOTLANDS LÄN</t>
        </is>
      </c>
      <c r="G512" t="inlineStr">
        <is>
          <t>GOTLAND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46249</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46249</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46249</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46249</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46249</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46249</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46249</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15001-2025</t>
        </is>
      </c>
      <c r="B520" t="inlineStr">
        <is>
          <t>avverkningsanmälan</t>
        </is>
      </c>
      <c r="C520" t="inlineStr">
        <is>
          <t>Föryngringsavverkning</t>
        </is>
      </c>
      <c r="D520" s="1" t="n">
        <v>45743</v>
      </c>
      <c r="E520" s="1" t="n">
        <v>46249</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30488-2025</t>
        </is>
      </c>
      <c r="B521" t="inlineStr">
        <is>
          <t>avverkningsanmälan</t>
        </is>
      </c>
      <c r="C521" t="inlineStr">
        <is>
          <t>Föryngringsavverkning</t>
        </is>
      </c>
      <c r="D521" s="1" t="n">
        <v>45830</v>
      </c>
      <c r="E521" s="1" t="n">
        <v>46249</v>
      </c>
      <c r="F521" t="inlineStr">
        <is>
          <t>GOTLANDS LÄN</t>
        </is>
      </c>
      <c r="G521" t="inlineStr">
        <is>
          <t>GOTLAND</t>
        </is>
      </c>
      <c r="H521" t="inlineStr">
        <is>
          <t>Kyrkan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17847-2025</t>
        </is>
      </c>
      <c r="B522" t="inlineStr">
        <is>
          <t>avverkningsanmälan</t>
        </is>
      </c>
      <c r="C522" t="inlineStr">
        <is>
          <t>Föryngringsavverkning</t>
        </is>
      </c>
      <c r="D522" s="1" t="n">
        <v>45758</v>
      </c>
      <c r="E522" s="1" t="n">
        <v>46249</v>
      </c>
      <c r="F522" t="inlineStr">
        <is>
          <t>GOTLANDS LÄN</t>
        </is>
      </c>
      <c r="G522" t="inlineStr">
        <is>
          <t>GOTLAND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18742-2025</t>
        </is>
      </c>
      <c r="B523" t="inlineStr">
        <is>
          <t>avverkningsanmälan</t>
        </is>
      </c>
      <c r="C523" t="inlineStr">
        <is>
          <t>Avverkning för annat ändamål</t>
        </is>
      </c>
      <c r="D523" s="1" t="n">
        <v>45763</v>
      </c>
      <c r="E523" s="1" t="n">
        <v>46249</v>
      </c>
      <c r="F523" t="inlineStr">
        <is>
          <t>GOTLANDS LÄN</t>
        </is>
      </c>
      <c r="G523" t="inlineStr">
        <is>
          <t>GOTLAND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28839-2026</t>
        </is>
      </c>
      <c r="B524" t="inlineStr">
        <is>
          <t>avverkningsanmälan</t>
        </is>
      </c>
      <c r="C524" t="inlineStr">
        <is>
          <t>Föryngringsavverkning</t>
        </is>
      </c>
      <c r="D524" s="1" t="n">
        <v>46198</v>
      </c>
      <c r="E524" s="1" t="n">
        <v>46249</v>
      </c>
      <c r="F524" t="inlineStr">
        <is>
          <t>GOTLANDS LÄN</t>
        </is>
      </c>
      <c r="G524" t="inlineStr">
        <is>
          <t>GOTLAND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28843-2026</t>
        </is>
      </c>
      <c r="B525" t="inlineStr">
        <is>
          <t>avverkningsanmälan</t>
        </is>
      </c>
      <c r="C525" t="inlineStr">
        <is>
          <t>Föryngringsavverkning</t>
        </is>
      </c>
      <c r="D525" s="1" t="n">
        <v>46198</v>
      </c>
      <c r="E525" s="1" t="n">
        <v>46249</v>
      </c>
      <c r="F525" t="inlineStr">
        <is>
          <t>GOTLANDS LÄN</t>
        </is>
      </c>
      <c r="G525" t="inlineStr">
        <is>
          <t>GOTLAND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35129-2025</t>
        </is>
      </c>
      <c r="B526" t="inlineStr">
        <is>
          <t>avverkningsanmälan</t>
        </is>
      </c>
      <c r="C526" t="inlineStr">
        <is>
          <t>Föryngringsavverkning</t>
        </is>
      </c>
      <c r="D526" s="1" t="n">
        <v>45852</v>
      </c>
      <c r="E526" s="1" t="n">
        <v>46249</v>
      </c>
      <c r="F526" t="inlineStr">
        <is>
          <t>GOTLANDS LÄN</t>
        </is>
      </c>
      <c r="G526" t="inlineStr">
        <is>
          <t>GOTLAND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29370-2026</t>
        </is>
      </c>
      <c r="B527" t="inlineStr">
        <is>
          <t>avverkningsanmälan</t>
        </is>
      </c>
      <c r="C527" t="inlineStr">
        <is>
          <t>Föryngringsavverkning</t>
        </is>
      </c>
      <c r="D527" s="1" t="n">
        <v>46203</v>
      </c>
      <c r="E527" s="1" t="n">
        <v>46249</v>
      </c>
      <c r="F527" t="inlineStr">
        <is>
          <t>GOTLANDS LÄN</t>
        </is>
      </c>
      <c r="G527" t="inlineStr">
        <is>
          <t>GOTLAND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33289-2026</t>
        </is>
      </c>
      <c r="B528" t="inlineStr">
        <is>
          <t>avverkningsanmälan</t>
        </is>
      </c>
      <c r="C528" t="inlineStr">
        <is>
          <t>Föryngringsavverkning</t>
        </is>
      </c>
      <c r="D528" s="1" t="n">
        <v>46246</v>
      </c>
      <c r="E528" s="1" t="n">
        <v>46249</v>
      </c>
      <c r="F528" t="inlineStr">
        <is>
          <t>GOTLANDS LÄN</t>
        </is>
      </c>
      <c r="G528" t="inlineStr">
        <is>
          <t>GOTLAND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46249</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46249</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46249</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46249</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46249</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46249</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46249</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46249</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46249</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46249</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46249</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46249</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46249</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2026-08-15T08:29:16Z</dcterms:created>
  <dcterms:modified xmlns:dcterms="http://purl.org/dc/terms/" xmlns:xsi="http://www.w3.org/2001/XMLSchema-instance" xsi:type="dcterms:W3CDTF">2026-08-15T08:29:16Z</dcterms:modified>
</cp:coreProperties>
</file>