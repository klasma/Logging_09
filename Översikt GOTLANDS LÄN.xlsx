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45997</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45997</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45997</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45997</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45997</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61664-2023</t>
        </is>
      </c>
      <c r="B12" s="1" t="n">
        <v>45265</v>
      </c>
      <c r="C12" s="1" t="n">
        <v>45997</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45997</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45997</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45997</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45997</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45997</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45997</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45997</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62551-2022</t>
        </is>
      </c>
      <c r="B22" s="1" t="n">
        <v>44924</v>
      </c>
      <c r="C22" s="1" t="n">
        <v>45997</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45997</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45997</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45997</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45997</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45997</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15629-2024</t>
        </is>
      </c>
      <c r="B28" s="1" t="n">
        <v>45402.78372685185</v>
      </c>
      <c r="C28" s="1" t="n">
        <v>45997</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62132-2023</t>
        </is>
      </c>
      <c r="B29" s="1" t="n">
        <v>45267</v>
      </c>
      <c r="C29" s="1" t="n">
        <v>45997</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61697-2023</t>
        </is>
      </c>
      <c r="B30" s="1" t="n">
        <v>45265</v>
      </c>
      <c r="C30" s="1" t="n">
        <v>45997</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45997</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45997</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45997</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2804-2023</t>
        </is>
      </c>
      <c r="B34" s="1" t="n">
        <v>44944</v>
      </c>
      <c r="C34" s="1" t="n">
        <v>45997</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45997</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45997</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44204-2022</t>
        </is>
      </c>
      <c r="B37" s="1" t="n">
        <v>44839</v>
      </c>
      <c r="C37" s="1" t="n">
        <v>45997</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45997</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45997</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45997</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45997</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45997</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45997</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45997</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45997</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45997</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45997</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45997</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45997</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22404-2024</t>
        </is>
      </c>
      <c r="B50" s="1" t="n">
        <v>45446</v>
      </c>
      <c r="C50" s="1" t="n">
        <v>45997</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45997</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17766-2024</t>
        </is>
      </c>
      <c r="B52" s="1" t="n">
        <v>45418</v>
      </c>
      <c r="C52" s="1" t="n">
        <v>45997</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1719-2025</t>
        </is>
      </c>
      <c r="B53" s="1" t="n">
        <v>45671</v>
      </c>
      <c r="C53" s="1" t="n">
        <v>45997</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45248-2024</t>
        </is>
      </c>
      <c r="B54" s="1" t="n">
        <v>45576</v>
      </c>
      <c r="C54" s="1" t="n">
        <v>45997</v>
      </c>
      <c r="D54" t="inlineStr">
        <is>
          <t>GOTLANDS LÄN</t>
        </is>
      </c>
      <c r="E54" t="inlineStr">
        <is>
          <t>GOTLAND</t>
        </is>
      </c>
      <c r="G54" t="n">
        <v>9.4</v>
      </c>
      <c r="H54" t="n">
        <v>0</v>
      </c>
      <c r="I54" t="n">
        <v>6</v>
      </c>
      <c r="J54" t="n">
        <v>1</v>
      </c>
      <c r="K54" t="n">
        <v>1</v>
      </c>
      <c r="L54" t="n">
        <v>1</v>
      </c>
      <c r="M54" t="n">
        <v>1</v>
      </c>
      <c r="N54" t="n">
        <v>0</v>
      </c>
      <c r="O54" t="n">
        <v>4</v>
      </c>
      <c r="P54" t="n">
        <v>3</v>
      </c>
      <c r="Q54" t="n">
        <v>10</v>
      </c>
      <c r="R54" s="2" t="inlineStr">
        <is>
          <t>Lundalm
Ask
Mjölspindling
Oxtungssvamp
Blå slemspindling
Bolmörtsskivling
Myskmadra
Stinkbrosking
Toppvaxing
Underviol</t>
        </is>
      </c>
      <c r="S54">
        <f>HYPERLINK("https://klasma.github.io/Logging_0980/artfynd/A 45248-2024 artfynd.xlsx", "A 45248-2024")</f>
        <v/>
      </c>
      <c r="T54">
        <f>HYPERLINK("https://klasma.github.io/Logging_0980/kartor/A 45248-2024 karta.png", "A 45248-2024")</f>
        <v/>
      </c>
      <c r="V54">
        <f>HYPERLINK("https://klasma.github.io/Logging_0980/klagomål/A 45248-2024 FSC-klagomål.docx", "A 45248-2024")</f>
        <v/>
      </c>
      <c r="W54">
        <f>HYPERLINK("https://klasma.github.io/Logging_0980/klagomålsmail/A 45248-2024 FSC-klagomål mail.docx", "A 45248-2024")</f>
        <v/>
      </c>
      <c r="X54">
        <f>HYPERLINK("https://klasma.github.io/Logging_0980/tillsyn/A 45248-2024 tillsynsbegäran.docx", "A 45248-2024")</f>
        <v/>
      </c>
      <c r="Y54">
        <f>HYPERLINK("https://klasma.github.io/Logging_0980/tillsynsmail/A 45248-2024 tillsynsbegäran mail.docx", "A 45248-2024")</f>
        <v/>
      </c>
    </row>
    <row r="55" ht="15" customHeight="1">
      <c r="A55" t="inlineStr">
        <is>
          <t>A 59132-2024</t>
        </is>
      </c>
      <c r="B55" s="1" t="n">
        <v>45637</v>
      </c>
      <c r="C55" s="1" t="n">
        <v>45997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45997</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45997</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7039-2023</t>
        </is>
      </c>
      <c r="B58" s="1" t="n">
        <v>44968</v>
      </c>
      <c r="C58" s="1" t="n">
        <v>45997</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2649-2023</t>
        </is>
      </c>
      <c r="B59" s="1" t="n">
        <v>44943</v>
      </c>
      <c r="C59" s="1" t="n">
        <v>45997</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45997</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45997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45997</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27168-2022</t>
        </is>
      </c>
      <c r="B63" s="1" t="n">
        <v>44741</v>
      </c>
      <c r="C63" s="1" t="n">
        <v>45997</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34142-2024</t>
        </is>
      </c>
      <c r="B64" s="1" t="n">
        <v>45524.36521990741</v>
      </c>
      <c r="C64" s="1" t="n">
        <v>45997</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10419-2025</t>
        </is>
      </c>
      <c r="B65" s="1" t="n">
        <v>45720</v>
      </c>
      <c r="C65" s="1" t="n">
        <v>45997</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56687-2025</t>
        </is>
      </c>
      <c r="B66" s="1" t="n">
        <v>45975.84065972222</v>
      </c>
      <c r="C66" s="1" t="n">
        <v>45997</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4984-2025</t>
        </is>
      </c>
      <c r="B67" s="1" t="n">
        <v>45691.29891203704</v>
      </c>
      <c r="C67" s="1" t="n">
        <v>45997</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18541-2024</t>
        </is>
      </c>
      <c r="B68" s="1" t="n">
        <v>45425</v>
      </c>
      <c r="C68" s="1" t="n">
        <v>45997</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44944-2022</t>
        </is>
      </c>
      <c r="B69" s="1" t="n">
        <v>44841</v>
      </c>
      <c r="C69" s="1" t="n">
        <v>45997</v>
      </c>
      <c r="D69" t="inlineStr">
        <is>
          <t>GOTLANDS LÄN</t>
        </is>
      </c>
      <c r="E69" t="inlineStr">
        <is>
          <t>GOTLAND</t>
        </is>
      </c>
      <c r="G69" t="n">
        <v>2.8</v>
      </c>
      <c r="H69" t="n">
        <v>0</v>
      </c>
      <c r="I69" t="n">
        <v>3</v>
      </c>
      <c r="J69" t="n">
        <v>4</v>
      </c>
      <c r="K69" t="n">
        <v>0</v>
      </c>
      <c r="L69" t="n">
        <v>0</v>
      </c>
      <c r="M69" t="n">
        <v>0</v>
      </c>
      <c r="N69" t="n">
        <v>0</v>
      </c>
      <c r="O69" t="n">
        <v>4</v>
      </c>
      <c r="P69" t="n">
        <v>0</v>
      </c>
      <c r="Q69" t="n">
        <v>7</v>
      </c>
      <c r="R69" s="2" t="inlineStr">
        <is>
          <t>Axveronika
Bredbrämad bastardsvärmare
Denisespindling
Odörspindling
Anisspindling
Fjällig taggsvamp s.str.
Rödgul trumpetsvamp</t>
        </is>
      </c>
      <c r="S69">
        <f>HYPERLINK("https://klasma.github.io/Logging_0980/artfynd/A 44944-2022 artfynd.xlsx", "A 44944-2022")</f>
        <v/>
      </c>
      <c r="T69">
        <f>HYPERLINK("https://klasma.github.io/Logging_0980/kartor/A 44944-2022 karta.png", "A 44944-2022")</f>
        <v/>
      </c>
      <c r="V69">
        <f>HYPERLINK("https://klasma.github.io/Logging_0980/klagomål/A 44944-2022 FSC-klagomål.docx", "A 44944-2022")</f>
        <v/>
      </c>
      <c r="W69">
        <f>HYPERLINK("https://klasma.github.io/Logging_0980/klagomålsmail/A 44944-2022 FSC-klagomål mail.docx", "A 44944-2022")</f>
        <v/>
      </c>
      <c r="X69">
        <f>HYPERLINK("https://klasma.github.io/Logging_0980/tillsyn/A 44944-2022 tillsynsbegäran.docx", "A 44944-2022")</f>
        <v/>
      </c>
      <c r="Y69">
        <f>HYPERLINK("https://klasma.github.io/Logging_0980/tillsynsmail/A 44944-2022 tillsynsbegäran mail.docx", "A 44944-2022")</f>
        <v/>
      </c>
    </row>
    <row r="70" ht="15" customHeight="1">
      <c r="A70" t="inlineStr">
        <is>
          <t>A 25205-2021</t>
        </is>
      </c>
      <c r="B70" s="1" t="n">
        <v>44342</v>
      </c>
      <c r="C70" s="1" t="n">
        <v>45997</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45997</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65819-2020</t>
        </is>
      </c>
      <c r="B72" s="1" t="n">
        <v>44174</v>
      </c>
      <c r="C72" s="1" t="n">
        <v>45997</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7038-2023</t>
        </is>
      </c>
      <c r="B73" s="1" t="n">
        <v>44968</v>
      </c>
      <c r="C73" s="1" t="n">
        <v>45997</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45997</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2085-2023</t>
        </is>
      </c>
      <c r="B75" s="1" t="n">
        <v>44939</v>
      </c>
      <c r="C75" s="1" t="n">
        <v>45997</v>
      </c>
      <c r="D75" t="inlineStr">
        <is>
          <t>GOTLANDS LÄN</t>
        </is>
      </c>
      <c r="E75" t="inlineStr">
        <is>
          <t>GOTLAND</t>
        </is>
      </c>
      <c r="G75" t="n">
        <v>0.9</v>
      </c>
      <c r="H75" t="n">
        <v>2</v>
      </c>
      <c r="I75" t="n">
        <v>5</v>
      </c>
      <c r="J75" t="n">
        <v>0</v>
      </c>
      <c r="K75" t="n">
        <v>0</v>
      </c>
      <c r="L75" t="n">
        <v>0</v>
      </c>
      <c r="M75" t="n">
        <v>0</v>
      </c>
      <c r="N75" t="n">
        <v>0</v>
      </c>
      <c r="O75" t="n">
        <v>0</v>
      </c>
      <c r="P75" t="n">
        <v>0</v>
      </c>
      <c r="Q75" t="n">
        <v>6</v>
      </c>
      <c r="R75" s="2" t="inlineStr">
        <is>
          <t>Blå slemspindling
Blåmossa
Kattfotslav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c r="Z75">
        <f>HYPERLINK("https://klasma.github.io/Logging_0980/fåglar/A 2085-2023 prioriterade fågelarter.docx", "A 2085-2023")</f>
        <v/>
      </c>
    </row>
    <row r="76" ht="15" customHeight="1">
      <c r="A76" t="inlineStr">
        <is>
          <t>A 57773-2025</t>
        </is>
      </c>
      <c r="B76" s="1" t="n">
        <v>45981.56349537037</v>
      </c>
      <c r="C76" s="1" t="n">
        <v>45997</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446-2023</t>
        </is>
      </c>
      <c r="B77" s="1" t="n">
        <v>44929</v>
      </c>
      <c r="C77" s="1" t="n">
        <v>45997</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53584-2025</t>
        </is>
      </c>
      <c r="B78" s="1" t="n">
        <v>45960.43130787037</v>
      </c>
      <c r="C78" s="1" t="n">
        <v>45997</v>
      </c>
      <c r="D78" t="inlineStr">
        <is>
          <t>GOTLANDS LÄN</t>
        </is>
      </c>
      <c r="E78" t="inlineStr">
        <is>
          <t>GOTLAND</t>
        </is>
      </c>
      <c r="F78" t="inlineStr">
        <is>
          <t>Övriga Aktiebolag</t>
        </is>
      </c>
      <c r="G78" t="n">
        <v>18.1</v>
      </c>
      <c r="H78" t="n">
        <v>3</v>
      </c>
      <c r="I78" t="n">
        <v>0</v>
      </c>
      <c r="J78" t="n">
        <v>4</v>
      </c>
      <c r="K78" t="n">
        <v>0</v>
      </c>
      <c r="L78" t="n">
        <v>0</v>
      </c>
      <c r="M78" t="n">
        <v>0</v>
      </c>
      <c r="N78" t="n">
        <v>0</v>
      </c>
      <c r="O78" t="n">
        <v>4</v>
      </c>
      <c r="P78" t="n">
        <v>0</v>
      </c>
      <c r="Q78" t="n">
        <v>6</v>
      </c>
      <c r="R78" s="2" t="inlineStr">
        <is>
          <t>Apollofjäril
Jordtistel
Klasefibbla
Majviva
Gråkråka
Nattviol</t>
        </is>
      </c>
      <c r="S78">
        <f>HYPERLINK("https://klasma.github.io/Logging_0980/artfynd/A 53584-2025 artfynd.xlsx", "A 53584-2025")</f>
        <v/>
      </c>
      <c r="T78">
        <f>HYPERLINK("https://klasma.github.io/Logging_0980/kartor/A 53584-2025 karta.png", "A 53584-2025")</f>
        <v/>
      </c>
      <c r="V78">
        <f>HYPERLINK("https://klasma.github.io/Logging_0980/klagomål/A 53584-2025 FSC-klagomål.docx", "A 53584-2025")</f>
        <v/>
      </c>
      <c r="W78">
        <f>HYPERLINK("https://klasma.github.io/Logging_0980/klagomålsmail/A 53584-2025 FSC-klagomål mail.docx", "A 53584-2025")</f>
        <v/>
      </c>
      <c r="X78">
        <f>HYPERLINK("https://klasma.github.io/Logging_0980/tillsyn/A 53584-2025 tillsynsbegäran.docx", "A 53584-2025")</f>
        <v/>
      </c>
      <c r="Y78">
        <f>HYPERLINK("https://klasma.github.io/Logging_0980/tillsynsmail/A 53584-2025 tillsynsbegäran mail.docx", "A 53584-2025")</f>
        <v/>
      </c>
    </row>
    <row r="79" ht="15" customHeight="1">
      <c r="A79" t="inlineStr">
        <is>
          <t>A 16823-2024</t>
        </is>
      </c>
      <c r="B79" s="1" t="n">
        <v>45411</v>
      </c>
      <c r="C79" s="1" t="n">
        <v>45997</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66091-2021</t>
        </is>
      </c>
      <c r="B80" s="1" t="n">
        <v>44517</v>
      </c>
      <c r="C80" s="1" t="n">
        <v>45997</v>
      </c>
      <c r="D80" t="inlineStr">
        <is>
          <t>GOTLANDS LÄN</t>
        </is>
      </c>
      <c r="E80" t="inlineStr">
        <is>
          <t>GOTLAND</t>
        </is>
      </c>
      <c r="G80" t="n">
        <v>11.7</v>
      </c>
      <c r="H80" t="n">
        <v>2</v>
      </c>
      <c r="I80" t="n">
        <v>0</v>
      </c>
      <c r="J80" t="n">
        <v>3</v>
      </c>
      <c r="K80" t="n">
        <v>0</v>
      </c>
      <c r="L80" t="n">
        <v>0</v>
      </c>
      <c r="M80" t="n">
        <v>0</v>
      </c>
      <c r="N80" t="n">
        <v>0</v>
      </c>
      <c r="O80" t="n">
        <v>3</v>
      </c>
      <c r="P80" t="n">
        <v>0</v>
      </c>
      <c r="Q80" t="n">
        <v>5</v>
      </c>
      <c r="R80" s="2" t="inlineStr">
        <is>
          <t>Axveronika
Solvända
Säfferot
Pärluggla
Salepsrot</t>
        </is>
      </c>
      <c r="S80">
        <f>HYPERLINK("https://klasma.github.io/Logging_0980/artfynd/A 66091-2021 artfynd.xlsx", "A 66091-2021")</f>
        <v/>
      </c>
      <c r="T80">
        <f>HYPERLINK("https://klasma.github.io/Logging_0980/kartor/A 66091-2021 karta.png", "A 66091-2021")</f>
        <v/>
      </c>
      <c r="V80">
        <f>HYPERLINK("https://klasma.github.io/Logging_0980/klagomål/A 66091-2021 FSC-klagomål.docx", "A 66091-2021")</f>
        <v/>
      </c>
      <c r="W80">
        <f>HYPERLINK("https://klasma.github.io/Logging_0980/klagomålsmail/A 66091-2021 FSC-klagomål mail.docx", "A 66091-2021")</f>
        <v/>
      </c>
      <c r="X80">
        <f>HYPERLINK("https://klasma.github.io/Logging_0980/tillsyn/A 66091-2021 tillsynsbegäran.docx", "A 66091-2021")</f>
        <v/>
      </c>
      <c r="Y80">
        <f>HYPERLINK("https://klasma.github.io/Logging_0980/tillsynsmail/A 66091-2021 tillsynsbegäran mail.docx", "A 66091-2021")</f>
        <v/>
      </c>
      <c r="Z80">
        <f>HYPERLINK("https://klasma.github.io/Logging_0980/fåglar/A 66091-2021 prioriterade fågelarter.docx", "A 66091-2021")</f>
        <v/>
      </c>
    </row>
    <row r="81" ht="15" customHeight="1">
      <c r="A81" t="inlineStr">
        <is>
          <t>A 54055-2022</t>
        </is>
      </c>
      <c r="B81" s="1" t="n">
        <v>44881</v>
      </c>
      <c r="C81" s="1" t="n">
        <v>45997</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45997</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42936-2024</t>
        </is>
      </c>
      <c r="B83" s="1" t="n">
        <v>45567</v>
      </c>
      <c r="C83" s="1" t="n">
        <v>45997</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2213-2023</t>
        </is>
      </c>
      <c r="B84" s="1" t="n">
        <v>44942</v>
      </c>
      <c r="C84" s="1" t="n">
        <v>45997</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45997</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45997</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52245-2025</t>
        </is>
      </c>
      <c r="B87" s="1" t="n">
        <v>45953.47115740741</v>
      </c>
      <c r="C87" s="1" t="n">
        <v>45997</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35293-2025</t>
        </is>
      </c>
      <c r="B88" s="1" t="n">
        <v>45854.39438657407</v>
      </c>
      <c r="C88" s="1" t="n">
        <v>45997</v>
      </c>
      <c r="D88" t="inlineStr">
        <is>
          <t>GOTLANDS LÄN</t>
        </is>
      </c>
      <c r="E88" t="inlineStr">
        <is>
          <t>GOTLAND</t>
        </is>
      </c>
      <c r="G88" t="n">
        <v>9.199999999999999</v>
      </c>
      <c r="H88" t="n">
        <v>1</v>
      </c>
      <c r="I88" t="n">
        <v>1</v>
      </c>
      <c r="J88" t="n">
        <v>4</v>
      </c>
      <c r="K88" t="n">
        <v>0</v>
      </c>
      <c r="L88" t="n">
        <v>0</v>
      </c>
      <c r="M88" t="n">
        <v>0</v>
      </c>
      <c r="N88" t="n">
        <v>0</v>
      </c>
      <c r="O88" t="n">
        <v>4</v>
      </c>
      <c r="P88" t="n">
        <v>0</v>
      </c>
      <c r="Q88" t="n">
        <v>5</v>
      </c>
      <c r="R88" s="2" t="inlineStr">
        <is>
          <t>Krusfrö
Loppstarr
Svinrot
Ängsstarr
Skogsknipprot</t>
        </is>
      </c>
      <c r="S88">
        <f>HYPERLINK("https://klasma.github.io/Logging_0980/artfynd/A 35293-2025 artfynd.xlsx", "A 35293-2025")</f>
        <v/>
      </c>
      <c r="T88">
        <f>HYPERLINK("https://klasma.github.io/Logging_0980/kartor/A 35293-2025 karta.png", "A 35293-2025")</f>
        <v/>
      </c>
      <c r="V88">
        <f>HYPERLINK("https://klasma.github.io/Logging_0980/klagomål/A 35293-2025 FSC-klagomål.docx", "A 35293-2025")</f>
        <v/>
      </c>
      <c r="W88">
        <f>HYPERLINK("https://klasma.github.io/Logging_0980/klagomålsmail/A 35293-2025 FSC-klagomål mail.docx", "A 35293-2025")</f>
        <v/>
      </c>
      <c r="X88">
        <f>HYPERLINK("https://klasma.github.io/Logging_0980/tillsyn/A 35293-2025 tillsynsbegäran.docx", "A 35293-2025")</f>
        <v/>
      </c>
      <c r="Y88">
        <f>HYPERLINK("https://klasma.github.io/Logging_0980/tillsynsmail/A 35293-2025 tillsynsbegäran mail.docx", "A 35293-2025")</f>
        <v/>
      </c>
    </row>
    <row r="89" ht="15" customHeight="1">
      <c r="A89" t="inlineStr">
        <is>
          <t>A 29331-2021</t>
        </is>
      </c>
      <c r="B89" s="1" t="n">
        <v>44361</v>
      </c>
      <c r="C89" s="1" t="n">
        <v>45997</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54523-2023</t>
        </is>
      </c>
      <c r="B90" s="1" t="n">
        <v>45233</v>
      </c>
      <c r="C90" s="1" t="n">
        <v>45997</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6159-2023</t>
        </is>
      </c>
      <c r="B91" s="1" t="n">
        <v>44964</v>
      </c>
      <c r="C91" s="1" t="n">
        <v>45997</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44933-2022</t>
        </is>
      </c>
      <c r="B92" s="1" t="n">
        <v>44841</v>
      </c>
      <c r="C92" s="1" t="n">
        <v>45997</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2485-2025</t>
        </is>
      </c>
      <c r="B93" s="1" t="n">
        <v>45673</v>
      </c>
      <c r="C93" s="1" t="n">
        <v>45997</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43197-2023</t>
        </is>
      </c>
      <c r="B94" s="1" t="n">
        <v>45183</v>
      </c>
      <c r="C94" s="1" t="n">
        <v>45997</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8265-2023</t>
        </is>
      </c>
      <c r="B95" s="1" t="n">
        <v>44974</v>
      </c>
      <c r="C95" s="1" t="n">
        <v>45997</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186-2023</t>
        </is>
      </c>
      <c r="B96" s="1" t="n">
        <v>44928</v>
      </c>
      <c r="C96" s="1" t="n">
        <v>45997</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56717-2024</t>
        </is>
      </c>
      <c r="B97" s="1" t="n">
        <v>45628.3166550926</v>
      </c>
      <c r="C97" s="1" t="n">
        <v>45997</v>
      </c>
      <c r="D97" t="inlineStr">
        <is>
          <t>GOTLANDS LÄN</t>
        </is>
      </c>
      <c r="E97" t="inlineStr">
        <is>
          <t>GOTLAND</t>
        </is>
      </c>
      <c r="G97" t="n">
        <v>9.699999999999999</v>
      </c>
      <c r="H97" t="n">
        <v>0</v>
      </c>
      <c r="I97" t="n">
        <v>2</v>
      </c>
      <c r="J97" t="n">
        <v>2</v>
      </c>
      <c r="K97" t="n">
        <v>0</v>
      </c>
      <c r="L97" t="n">
        <v>0</v>
      </c>
      <c r="M97" t="n">
        <v>0</v>
      </c>
      <c r="N97" t="n">
        <v>0</v>
      </c>
      <c r="O97" t="n">
        <v>2</v>
      </c>
      <c r="P97" t="n">
        <v>0</v>
      </c>
      <c r="Q97" t="n">
        <v>4</v>
      </c>
      <c r="R97" s="2" t="inlineStr">
        <is>
          <t>Ekvaxskivling
Odörspindling
Fjällig taggsvamp s.str.
Kattfotslav</t>
        </is>
      </c>
      <c r="S97">
        <f>HYPERLINK("https://klasma.github.io/Logging_0980/artfynd/A 56717-2024 artfynd.xlsx", "A 56717-2024")</f>
        <v/>
      </c>
      <c r="T97">
        <f>HYPERLINK("https://klasma.github.io/Logging_0980/kartor/A 56717-2024 karta.png", "A 56717-2024")</f>
        <v/>
      </c>
      <c r="V97">
        <f>HYPERLINK("https://klasma.github.io/Logging_0980/klagomål/A 56717-2024 FSC-klagomål.docx", "A 56717-2024")</f>
        <v/>
      </c>
      <c r="W97">
        <f>HYPERLINK("https://klasma.github.io/Logging_0980/klagomålsmail/A 56717-2024 FSC-klagomål mail.docx", "A 56717-2024")</f>
        <v/>
      </c>
      <c r="X97">
        <f>HYPERLINK("https://klasma.github.io/Logging_0980/tillsyn/A 56717-2024 tillsynsbegäran.docx", "A 56717-2024")</f>
        <v/>
      </c>
      <c r="Y97">
        <f>HYPERLINK("https://klasma.github.io/Logging_0980/tillsynsmail/A 56717-2024 tillsynsbegäran mail.docx", "A 56717-2024")</f>
        <v/>
      </c>
    </row>
    <row r="98" ht="15" customHeight="1">
      <c r="A98" t="inlineStr">
        <is>
          <t>A 20833-2024</t>
        </is>
      </c>
      <c r="B98" s="1" t="n">
        <v>45439</v>
      </c>
      <c r="C98" s="1" t="n">
        <v>45997</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1971-2023</t>
        </is>
      </c>
      <c r="B99" s="1" t="n">
        <v>44939</v>
      </c>
      <c r="C99" s="1" t="n">
        <v>45997</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5904-2024</t>
        </is>
      </c>
      <c r="B100" s="1" t="n">
        <v>45335</v>
      </c>
      <c r="C100" s="1" t="n">
        <v>45997</v>
      </c>
      <c r="D100" t="inlineStr">
        <is>
          <t>GOTLANDS LÄN</t>
        </is>
      </c>
      <c r="E100" t="inlineStr">
        <is>
          <t>GOTLAND</t>
        </is>
      </c>
      <c r="G100" t="n">
        <v>6.4</v>
      </c>
      <c r="H100" t="n">
        <v>1</v>
      </c>
      <c r="I100" t="n">
        <v>2</v>
      </c>
      <c r="J100" t="n">
        <v>1</v>
      </c>
      <c r="K100" t="n">
        <v>0</v>
      </c>
      <c r="L100" t="n">
        <v>0</v>
      </c>
      <c r="M100" t="n">
        <v>0</v>
      </c>
      <c r="N100" t="n">
        <v>0</v>
      </c>
      <c r="O100" t="n">
        <v>1</v>
      </c>
      <c r="P100" t="n">
        <v>0</v>
      </c>
      <c r="Q100" t="n">
        <v>4</v>
      </c>
      <c r="R100" s="2" t="inlineStr">
        <is>
          <t>Backstarr
Blåmossa
Kattfotslav
Sankt pers nycklar</t>
        </is>
      </c>
      <c r="S100">
        <f>HYPERLINK("https://klasma.github.io/Logging_0980/artfynd/A 5904-2024 artfynd.xlsx", "A 5904-2024")</f>
        <v/>
      </c>
      <c r="T100">
        <f>HYPERLINK("https://klasma.github.io/Logging_0980/kartor/A 5904-2024 karta.png", "A 5904-2024")</f>
        <v/>
      </c>
      <c r="V100">
        <f>HYPERLINK("https://klasma.github.io/Logging_0980/klagomål/A 5904-2024 FSC-klagomål.docx", "A 5904-2024")</f>
        <v/>
      </c>
      <c r="W100">
        <f>HYPERLINK("https://klasma.github.io/Logging_0980/klagomålsmail/A 5904-2024 FSC-klagomål mail.docx", "A 5904-2024")</f>
        <v/>
      </c>
      <c r="X100">
        <f>HYPERLINK("https://klasma.github.io/Logging_0980/tillsyn/A 5904-2024 tillsynsbegäran.docx", "A 5904-2024")</f>
        <v/>
      </c>
      <c r="Y100">
        <f>HYPERLINK("https://klasma.github.io/Logging_0980/tillsynsmail/A 5904-2024 tillsynsbegäran mail.docx", "A 5904-2024")</f>
        <v/>
      </c>
    </row>
    <row r="101" ht="15" customHeight="1">
      <c r="A101" t="inlineStr">
        <is>
          <t>A 40099-2025</t>
        </is>
      </c>
      <c r="B101" s="1" t="n">
        <v>45894.48462962963</v>
      </c>
      <c r="C101" s="1" t="n">
        <v>45997</v>
      </c>
      <c r="D101" t="inlineStr">
        <is>
          <t>GOTLANDS LÄN</t>
        </is>
      </c>
      <c r="E101" t="inlineStr">
        <is>
          <t>GOTLAND</t>
        </is>
      </c>
      <c r="G101" t="n">
        <v>6.5</v>
      </c>
      <c r="H101" t="n">
        <v>0</v>
      </c>
      <c r="I101" t="n">
        <v>3</v>
      </c>
      <c r="J101" t="n">
        <v>0</v>
      </c>
      <c r="K101" t="n">
        <v>1</v>
      </c>
      <c r="L101" t="n">
        <v>0</v>
      </c>
      <c r="M101" t="n">
        <v>0</v>
      </c>
      <c r="N101" t="n">
        <v>0</v>
      </c>
      <c r="O101" t="n">
        <v>1</v>
      </c>
      <c r="P101" t="n">
        <v>1</v>
      </c>
      <c r="Q101" t="n">
        <v>4</v>
      </c>
      <c r="R101" s="2" t="inlineStr">
        <is>
          <t>Mörkfjällig olivspindling
Fjällig taggsvamp s.str.
Olivspindling
Svavelriska</t>
        </is>
      </c>
      <c r="S101">
        <f>HYPERLINK("https://klasma.github.io/Logging_0980/artfynd/A 40099-2025 artfynd.xlsx", "A 40099-2025")</f>
        <v/>
      </c>
      <c r="T101">
        <f>HYPERLINK("https://klasma.github.io/Logging_0980/kartor/A 40099-2025 karta.png", "A 40099-2025")</f>
        <v/>
      </c>
      <c r="V101">
        <f>HYPERLINK("https://klasma.github.io/Logging_0980/klagomål/A 40099-2025 FSC-klagomål.docx", "A 40099-2025")</f>
        <v/>
      </c>
      <c r="W101">
        <f>HYPERLINK("https://klasma.github.io/Logging_0980/klagomålsmail/A 40099-2025 FSC-klagomål mail.docx", "A 40099-2025")</f>
        <v/>
      </c>
      <c r="X101">
        <f>HYPERLINK("https://klasma.github.io/Logging_0980/tillsyn/A 40099-2025 tillsynsbegäran.docx", "A 40099-2025")</f>
        <v/>
      </c>
      <c r="Y101">
        <f>HYPERLINK("https://klasma.github.io/Logging_0980/tillsynsmail/A 40099-2025 tillsynsbegäran mail.docx", "A 40099-2025")</f>
        <v/>
      </c>
    </row>
    <row r="102" ht="15" customHeight="1">
      <c r="A102" t="inlineStr">
        <is>
          <t>A 57463-2025</t>
        </is>
      </c>
      <c r="B102" s="1" t="n">
        <v>45980.54174768519</v>
      </c>
      <c r="C102" s="1" t="n">
        <v>45997</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52250-2025</t>
        </is>
      </c>
      <c r="B103" s="1" t="n">
        <v>45953.48998842593</v>
      </c>
      <c r="C103" s="1" t="n">
        <v>45997</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52309-2025</t>
        </is>
      </c>
      <c r="B104" s="1" t="n">
        <v>45953.64381944444</v>
      </c>
      <c r="C104" s="1" t="n">
        <v>45997</v>
      </c>
      <c r="D104" t="inlineStr">
        <is>
          <t>GOTLANDS LÄN</t>
        </is>
      </c>
      <c r="E104" t="inlineStr">
        <is>
          <t>GOTLAND</t>
        </is>
      </c>
      <c r="G104" t="n">
        <v>3.8</v>
      </c>
      <c r="H104" t="n">
        <v>0</v>
      </c>
      <c r="I104" t="n">
        <v>1</v>
      </c>
      <c r="J104" t="n">
        <v>1</v>
      </c>
      <c r="K104" t="n">
        <v>2</v>
      </c>
      <c r="L104" t="n">
        <v>0</v>
      </c>
      <c r="M104" t="n">
        <v>0</v>
      </c>
      <c r="N104" t="n">
        <v>0</v>
      </c>
      <c r="O104" t="n">
        <v>3</v>
      </c>
      <c r="P104" t="n">
        <v>2</v>
      </c>
      <c r="Q104" t="n">
        <v>4</v>
      </c>
      <c r="R104" s="2" t="inlineStr">
        <is>
          <t>Gulsträngad fagerspindling
Tvillingspindling
Odörspindling
Blå slemspindling</t>
        </is>
      </c>
      <c r="S104">
        <f>HYPERLINK("https://klasma.github.io/Logging_0980/artfynd/A 52309-2025 artfynd.xlsx", "A 52309-2025")</f>
        <v/>
      </c>
      <c r="T104">
        <f>HYPERLINK("https://klasma.github.io/Logging_0980/kartor/A 52309-2025 karta.png", "A 52309-2025")</f>
        <v/>
      </c>
      <c r="V104">
        <f>HYPERLINK("https://klasma.github.io/Logging_0980/klagomål/A 52309-2025 FSC-klagomål.docx", "A 52309-2025")</f>
        <v/>
      </c>
      <c r="W104">
        <f>HYPERLINK("https://klasma.github.io/Logging_0980/klagomålsmail/A 52309-2025 FSC-klagomål mail.docx", "A 52309-2025")</f>
        <v/>
      </c>
      <c r="X104">
        <f>HYPERLINK("https://klasma.github.io/Logging_0980/tillsyn/A 52309-2025 tillsynsbegäran.docx", "A 52309-2025")</f>
        <v/>
      </c>
      <c r="Y104">
        <f>HYPERLINK("https://klasma.github.io/Logging_0980/tillsynsmail/A 52309-2025 tillsynsbegäran mail.docx", "A 52309-2025")</f>
        <v/>
      </c>
    </row>
    <row r="105" ht="15" customHeight="1">
      <c r="A105" t="inlineStr">
        <is>
          <t>A 65537-2020</t>
        </is>
      </c>
      <c r="B105" s="1" t="n">
        <v>44173</v>
      </c>
      <c r="C105" s="1" t="n">
        <v>45997</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45997</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45997</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45997</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32718-2021</t>
        </is>
      </c>
      <c r="B109" s="1" t="n">
        <v>44375</v>
      </c>
      <c r="C109" s="1" t="n">
        <v>45997</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2332-2021</t>
        </is>
      </c>
      <c r="B110" s="1" t="n">
        <v>44214</v>
      </c>
      <c r="C110" s="1" t="n">
        <v>45997</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53552-2021</t>
        </is>
      </c>
      <c r="B111" s="1" t="n">
        <v>44468</v>
      </c>
      <c r="C111" s="1" t="n">
        <v>45997</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48126-2022</t>
        </is>
      </c>
      <c r="B112" s="1" t="n">
        <v>44857</v>
      </c>
      <c r="C112" s="1" t="n">
        <v>45997</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17982-2023</t>
        </is>
      </c>
      <c r="B113" s="1" t="n">
        <v>45040</v>
      </c>
      <c r="C113" s="1" t="n">
        <v>45997</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45997</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13499-2022</t>
        </is>
      </c>
      <c r="B115" s="1" t="n">
        <v>44647.79203703703</v>
      </c>
      <c r="C115" s="1" t="n">
        <v>45997</v>
      </c>
      <c r="D115" t="inlineStr">
        <is>
          <t>GOTLANDS LÄN</t>
        </is>
      </c>
      <c r="E115" t="inlineStr">
        <is>
          <t>GOTLAND</t>
        </is>
      </c>
      <c r="G115" t="n">
        <v>6.8</v>
      </c>
      <c r="H115" t="n">
        <v>3</v>
      </c>
      <c r="I115" t="n">
        <v>0</v>
      </c>
      <c r="J115" t="n">
        <v>1</v>
      </c>
      <c r="K115" t="n">
        <v>0</v>
      </c>
      <c r="L115" t="n">
        <v>0</v>
      </c>
      <c r="M115" t="n">
        <v>0</v>
      </c>
      <c r="N115" t="n">
        <v>0</v>
      </c>
      <c r="O115" t="n">
        <v>1</v>
      </c>
      <c r="P115" t="n">
        <v>0</v>
      </c>
      <c r="Q115" t="n">
        <v>3</v>
      </c>
      <c r="R115" s="2" t="inlineStr">
        <is>
          <t>Spillkråka
Sankt pers nycklar
Blåsippa</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73144-2021</t>
        </is>
      </c>
      <c r="B116" s="1" t="n">
        <v>44550</v>
      </c>
      <c r="C116" s="1" t="n">
        <v>45997</v>
      </c>
      <c r="D116" t="inlineStr">
        <is>
          <t>GOTLANDS LÄN</t>
        </is>
      </c>
      <c r="E116" t="inlineStr">
        <is>
          <t>GOTLAND</t>
        </is>
      </c>
      <c r="G116" t="n">
        <v>1.9</v>
      </c>
      <c r="H116" t="n">
        <v>0</v>
      </c>
      <c r="I116" t="n">
        <v>1</v>
      </c>
      <c r="J116" t="n">
        <v>1</v>
      </c>
      <c r="K116" t="n">
        <v>1</v>
      </c>
      <c r="L116" t="n">
        <v>0</v>
      </c>
      <c r="M116" t="n">
        <v>0</v>
      </c>
      <c r="N116" t="n">
        <v>0</v>
      </c>
      <c r="O116" t="n">
        <v>2</v>
      </c>
      <c r="P116" t="n">
        <v>1</v>
      </c>
      <c r="Q116" t="n">
        <v>3</v>
      </c>
      <c r="R116" s="2" t="inlineStr">
        <is>
          <t>Skogskorn
Igelkott
Kambräken</t>
        </is>
      </c>
      <c r="S116">
        <f>HYPERLINK("https://klasma.github.io/Logging_0980/artfynd/A 73144-2021 artfynd.xlsx", "A 73144-2021")</f>
        <v/>
      </c>
      <c r="T116">
        <f>HYPERLINK("https://klasma.github.io/Logging_0980/kartor/A 73144-2021 karta.png", "A 73144-2021")</f>
        <v/>
      </c>
      <c r="V116">
        <f>HYPERLINK("https://klasma.github.io/Logging_0980/klagomål/A 73144-2021 FSC-klagomål.docx", "A 73144-2021")</f>
        <v/>
      </c>
      <c r="W116">
        <f>HYPERLINK("https://klasma.github.io/Logging_0980/klagomålsmail/A 73144-2021 FSC-klagomål mail.docx", "A 73144-2021")</f>
        <v/>
      </c>
      <c r="X116">
        <f>HYPERLINK("https://klasma.github.io/Logging_0980/tillsyn/A 73144-2021 tillsynsbegäran.docx", "A 73144-2021")</f>
        <v/>
      </c>
      <c r="Y116">
        <f>HYPERLINK("https://klasma.github.io/Logging_0980/tillsynsmail/A 73144-2021 tillsynsbegäran mail.docx", "A 73144-2021")</f>
        <v/>
      </c>
    </row>
    <row r="117" ht="15" customHeight="1">
      <c r="A117" t="inlineStr">
        <is>
          <t>A 12315-2024</t>
        </is>
      </c>
      <c r="B117" s="1" t="n">
        <v>45378.6434837963</v>
      </c>
      <c r="C117" s="1" t="n">
        <v>45997</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20831-2024</t>
        </is>
      </c>
      <c r="B118" s="1" t="n">
        <v>45439</v>
      </c>
      <c r="C118" s="1" t="n">
        <v>45997</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55334-2024</t>
        </is>
      </c>
      <c r="B119" s="1" t="n">
        <v>45621</v>
      </c>
      <c r="C119" s="1" t="n">
        <v>45997</v>
      </c>
      <c r="D119" t="inlineStr">
        <is>
          <t>GOTLANDS LÄN</t>
        </is>
      </c>
      <c r="E119" t="inlineStr">
        <is>
          <t>GOTLAND</t>
        </is>
      </c>
      <c r="G119" t="n">
        <v>21.7</v>
      </c>
      <c r="H119" t="n">
        <v>0</v>
      </c>
      <c r="I119" t="n">
        <v>3</v>
      </c>
      <c r="J119" t="n">
        <v>0</v>
      </c>
      <c r="K119" t="n">
        <v>0</v>
      </c>
      <c r="L119" t="n">
        <v>0</v>
      </c>
      <c r="M119" t="n">
        <v>0</v>
      </c>
      <c r="N119" t="n">
        <v>0</v>
      </c>
      <c r="O119" t="n">
        <v>0</v>
      </c>
      <c r="P119" t="n">
        <v>0</v>
      </c>
      <c r="Q119" t="n">
        <v>3</v>
      </c>
      <c r="R119" s="2" t="inlineStr">
        <is>
          <t>Anisspindling
Besk kastanjemusseron
Svavelriska</t>
        </is>
      </c>
      <c r="S119">
        <f>HYPERLINK("https://klasma.github.io/Logging_0980/artfynd/A 55334-2024 artfynd.xlsx", "A 55334-2024")</f>
        <v/>
      </c>
      <c r="T119">
        <f>HYPERLINK("https://klasma.github.io/Logging_0980/kartor/A 55334-2024 karta.png", "A 55334-2024")</f>
        <v/>
      </c>
      <c r="V119">
        <f>HYPERLINK("https://klasma.github.io/Logging_0980/klagomål/A 55334-2024 FSC-klagomål.docx", "A 55334-2024")</f>
        <v/>
      </c>
      <c r="W119">
        <f>HYPERLINK("https://klasma.github.io/Logging_0980/klagomålsmail/A 55334-2024 FSC-klagomål mail.docx", "A 55334-2024")</f>
        <v/>
      </c>
      <c r="X119">
        <f>HYPERLINK("https://klasma.github.io/Logging_0980/tillsyn/A 55334-2024 tillsynsbegäran.docx", "A 55334-2024")</f>
        <v/>
      </c>
      <c r="Y119">
        <f>HYPERLINK("https://klasma.github.io/Logging_0980/tillsynsmail/A 55334-2024 tillsynsbegäran mail.docx", "A 55334-2024")</f>
        <v/>
      </c>
    </row>
    <row r="120" ht="15" customHeight="1">
      <c r="A120" t="inlineStr">
        <is>
          <t>A 49709-2025</t>
        </is>
      </c>
      <c r="B120" s="1" t="n">
        <v>45939.68228009259</v>
      </c>
      <c r="C120" s="1" t="n">
        <v>45997</v>
      </c>
      <c r="D120" t="inlineStr">
        <is>
          <t>GOTLANDS LÄN</t>
        </is>
      </c>
      <c r="E120" t="inlineStr">
        <is>
          <t>GOTLAND</t>
        </is>
      </c>
      <c r="G120" t="n">
        <v>10.2</v>
      </c>
      <c r="H120" t="n">
        <v>0</v>
      </c>
      <c r="I120" t="n">
        <v>2</v>
      </c>
      <c r="J120" t="n">
        <v>1</v>
      </c>
      <c r="K120" t="n">
        <v>0</v>
      </c>
      <c r="L120" t="n">
        <v>0</v>
      </c>
      <c r="M120" t="n">
        <v>0</v>
      </c>
      <c r="N120" t="n">
        <v>0</v>
      </c>
      <c r="O120" t="n">
        <v>1</v>
      </c>
      <c r="P120" t="n">
        <v>0</v>
      </c>
      <c r="Q120" t="n">
        <v>3</v>
      </c>
      <c r="R120" s="2" t="inlineStr">
        <is>
          <t>Tallticka
Blåmossa
Grovticka</t>
        </is>
      </c>
      <c r="S120">
        <f>HYPERLINK("https://klasma.github.io/Logging_0980/artfynd/A 49709-2025 artfynd.xlsx", "A 49709-2025")</f>
        <v/>
      </c>
      <c r="T120">
        <f>HYPERLINK("https://klasma.github.io/Logging_0980/kartor/A 49709-2025 karta.png", "A 49709-2025")</f>
        <v/>
      </c>
      <c r="V120">
        <f>HYPERLINK("https://klasma.github.io/Logging_0980/klagomål/A 49709-2025 FSC-klagomål.docx", "A 49709-2025")</f>
        <v/>
      </c>
      <c r="W120">
        <f>HYPERLINK("https://klasma.github.io/Logging_0980/klagomålsmail/A 49709-2025 FSC-klagomål mail.docx", "A 49709-2025")</f>
        <v/>
      </c>
      <c r="X120">
        <f>HYPERLINK("https://klasma.github.io/Logging_0980/tillsyn/A 49709-2025 tillsynsbegäran.docx", "A 49709-2025")</f>
        <v/>
      </c>
      <c r="Y120">
        <f>HYPERLINK("https://klasma.github.io/Logging_0980/tillsynsmail/A 49709-2025 tillsynsbegäran mail.docx", "A 49709-2025")</f>
        <v/>
      </c>
    </row>
    <row r="121" ht="15" customHeight="1">
      <c r="A121" t="inlineStr">
        <is>
          <t>A 30490-2025</t>
        </is>
      </c>
      <c r="B121" s="1" t="n">
        <v>45830</v>
      </c>
      <c r="C121" s="1" t="n">
        <v>45997</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43013-2022</t>
        </is>
      </c>
      <c r="B122" s="1" t="n">
        <v>44833</v>
      </c>
      <c r="C122" s="1" t="n">
        <v>45997</v>
      </c>
      <c r="D122" t="inlineStr">
        <is>
          <t>GOTLANDS LÄN</t>
        </is>
      </c>
      <c r="E122" t="inlineStr">
        <is>
          <t>GOTLAND</t>
        </is>
      </c>
      <c r="G122" t="n">
        <v>9.300000000000001</v>
      </c>
      <c r="H122" t="n">
        <v>0</v>
      </c>
      <c r="I122" t="n">
        <v>2</v>
      </c>
      <c r="J122" t="n">
        <v>0</v>
      </c>
      <c r="K122" t="n">
        <v>1</v>
      </c>
      <c r="L122" t="n">
        <v>0</v>
      </c>
      <c r="M122" t="n">
        <v>0</v>
      </c>
      <c r="N122" t="n">
        <v>0</v>
      </c>
      <c r="O122" t="n">
        <v>1</v>
      </c>
      <c r="P122" t="n">
        <v>1</v>
      </c>
      <c r="Q122" t="n">
        <v>3</v>
      </c>
      <c r="R122" s="2" t="inlineStr">
        <is>
          <t>Violettfläckig spindling
Anisspindling
Blå slemspindling</t>
        </is>
      </c>
      <c r="S122">
        <f>HYPERLINK("https://klasma.github.io/Logging_0980/artfynd/A 43013-2022 artfynd.xlsx", "A 43013-2022")</f>
        <v/>
      </c>
      <c r="T122">
        <f>HYPERLINK("https://klasma.github.io/Logging_0980/kartor/A 43013-2022 karta.png", "A 43013-2022")</f>
        <v/>
      </c>
      <c r="V122">
        <f>HYPERLINK("https://klasma.github.io/Logging_0980/klagomål/A 43013-2022 FSC-klagomål.docx", "A 43013-2022")</f>
        <v/>
      </c>
      <c r="W122">
        <f>HYPERLINK("https://klasma.github.io/Logging_0980/klagomålsmail/A 43013-2022 FSC-klagomål mail.docx", "A 43013-2022")</f>
        <v/>
      </c>
      <c r="X122">
        <f>HYPERLINK("https://klasma.github.io/Logging_0980/tillsyn/A 43013-2022 tillsynsbegäran.docx", "A 43013-2022")</f>
        <v/>
      </c>
      <c r="Y122">
        <f>HYPERLINK("https://klasma.github.io/Logging_0980/tillsynsmail/A 43013-2022 tillsynsbegäran mail.docx", "A 43013-2022")</f>
        <v/>
      </c>
    </row>
    <row r="123" ht="15" customHeight="1">
      <c r="A123" t="inlineStr">
        <is>
          <t>A 5235-2025</t>
        </is>
      </c>
      <c r="B123" s="1" t="n">
        <v>45692.26797453704</v>
      </c>
      <c r="C123" s="1" t="n">
        <v>45997</v>
      </c>
      <c r="D123" t="inlineStr">
        <is>
          <t>GOTLANDS LÄN</t>
        </is>
      </c>
      <c r="E123" t="inlineStr">
        <is>
          <t>GOTLAND</t>
        </is>
      </c>
      <c r="G123" t="n">
        <v>7.6</v>
      </c>
      <c r="H123" t="n">
        <v>1</v>
      </c>
      <c r="I123" t="n">
        <v>2</v>
      </c>
      <c r="J123" t="n">
        <v>1</v>
      </c>
      <c r="K123" t="n">
        <v>0</v>
      </c>
      <c r="L123" t="n">
        <v>0</v>
      </c>
      <c r="M123" t="n">
        <v>0</v>
      </c>
      <c r="N123" t="n">
        <v>0</v>
      </c>
      <c r="O123" t="n">
        <v>1</v>
      </c>
      <c r="P123" t="n">
        <v>0</v>
      </c>
      <c r="Q123" t="n">
        <v>3</v>
      </c>
      <c r="R123" s="2" t="inlineStr">
        <is>
          <t>Svinrot
Blåmossa
Tvåblad</t>
        </is>
      </c>
      <c r="S123">
        <f>HYPERLINK("https://klasma.github.io/Logging_0980/artfynd/A 5235-2025 artfynd.xlsx", "A 5235-2025")</f>
        <v/>
      </c>
      <c r="T123">
        <f>HYPERLINK("https://klasma.github.io/Logging_0980/kartor/A 5235-2025 karta.png", "A 5235-2025")</f>
        <v/>
      </c>
      <c r="V123">
        <f>HYPERLINK("https://klasma.github.io/Logging_0980/klagomål/A 5235-2025 FSC-klagomål.docx", "A 5235-2025")</f>
        <v/>
      </c>
      <c r="W123">
        <f>HYPERLINK("https://klasma.github.io/Logging_0980/klagomålsmail/A 5235-2025 FSC-klagomål mail.docx", "A 5235-2025")</f>
        <v/>
      </c>
      <c r="X123">
        <f>HYPERLINK("https://klasma.github.io/Logging_0980/tillsyn/A 5235-2025 tillsynsbegäran.docx", "A 5235-2025")</f>
        <v/>
      </c>
      <c r="Y123">
        <f>HYPERLINK("https://klasma.github.io/Logging_0980/tillsynsmail/A 5235-2025 tillsynsbegäran mail.docx", "A 5235-2025")</f>
        <v/>
      </c>
    </row>
    <row r="124" ht="15" customHeight="1">
      <c r="A124" t="inlineStr">
        <is>
          <t>A 29870-2021</t>
        </is>
      </c>
      <c r="B124" s="1" t="n">
        <v>44362</v>
      </c>
      <c r="C124" s="1" t="n">
        <v>45997</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45997</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9930-2021</t>
        </is>
      </c>
      <c r="B126" s="1" t="n">
        <v>44252</v>
      </c>
      <c r="C126" s="1" t="n">
        <v>45997</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16429-2021</t>
        </is>
      </c>
      <c r="B127" s="1" t="n">
        <v>44293</v>
      </c>
      <c r="C127" s="1" t="n">
        <v>45997</v>
      </c>
      <c r="D127" t="inlineStr">
        <is>
          <t>GOTLANDS LÄN</t>
        </is>
      </c>
      <c r="E127" t="inlineStr">
        <is>
          <t>GOTLAND</t>
        </is>
      </c>
      <c r="G127" t="n">
        <v>3.4</v>
      </c>
      <c r="H127" t="n">
        <v>0</v>
      </c>
      <c r="I127" t="n">
        <v>0</v>
      </c>
      <c r="J127" t="n">
        <v>1</v>
      </c>
      <c r="K127" t="n">
        <v>1</v>
      </c>
      <c r="L127" t="n">
        <v>0</v>
      </c>
      <c r="M127" t="n">
        <v>0</v>
      </c>
      <c r="N127" t="n">
        <v>0</v>
      </c>
      <c r="O127" t="n">
        <v>2</v>
      </c>
      <c r="P127" t="n">
        <v>1</v>
      </c>
      <c r="Q127" t="n">
        <v>2</v>
      </c>
      <c r="R127" s="2" t="inlineStr">
        <is>
          <t>Gotlandsmåra
Barrviolspindling</t>
        </is>
      </c>
      <c r="S127">
        <f>HYPERLINK("https://klasma.github.io/Logging_0980/artfynd/A 16429-2021 artfynd.xlsx", "A 16429-2021")</f>
        <v/>
      </c>
      <c r="T127">
        <f>HYPERLINK("https://klasma.github.io/Logging_0980/kartor/A 16429-2021 karta.png", "A 16429-2021")</f>
        <v/>
      </c>
      <c r="V127">
        <f>HYPERLINK("https://klasma.github.io/Logging_0980/klagomål/A 16429-2021 FSC-klagomål.docx", "A 16429-2021")</f>
        <v/>
      </c>
      <c r="W127">
        <f>HYPERLINK("https://klasma.github.io/Logging_0980/klagomålsmail/A 16429-2021 FSC-klagomål mail.docx", "A 16429-2021")</f>
        <v/>
      </c>
      <c r="X127">
        <f>HYPERLINK("https://klasma.github.io/Logging_0980/tillsyn/A 16429-2021 tillsynsbegäran.docx", "A 16429-2021")</f>
        <v/>
      </c>
      <c r="Y127">
        <f>HYPERLINK("https://klasma.github.io/Logging_0980/tillsynsmail/A 16429-2021 tillsynsbegäran mail.docx", "A 16429-2021")</f>
        <v/>
      </c>
    </row>
    <row r="128" ht="15" customHeight="1">
      <c r="A128" t="inlineStr">
        <is>
          <t>A 20218-2022</t>
        </is>
      </c>
      <c r="B128" s="1" t="n">
        <v>44698</v>
      </c>
      <c r="C128" s="1" t="n">
        <v>45997</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20838-2024</t>
        </is>
      </c>
      <c r="B129" s="1" t="n">
        <v>45439</v>
      </c>
      <c r="C129" s="1" t="n">
        <v>45997</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26077-2024</t>
        </is>
      </c>
      <c r="B130" s="1" t="n">
        <v>45467</v>
      </c>
      <c r="C130" s="1" t="n">
        <v>45997</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60665-2021</t>
        </is>
      </c>
      <c r="B131" s="1" t="n">
        <v>44496</v>
      </c>
      <c r="C131" s="1" t="n">
        <v>45997</v>
      </c>
      <c r="D131" t="inlineStr">
        <is>
          <t>GOTLANDS LÄN</t>
        </is>
      </c>
      <c r="E131" t="inlineStr">
        <is>
          <t>GOTLAND</t>
        </is>
      </c>
      <c r="G131" t="n">
        <v>1.6</v>
      </c>
      <c r="H131" t="n">
        <v>0</v>
      </c>
      <c r="I131" t="n">
        <v>0</v>
      </c>
      <c r="J131" t="n">
        <v>0</v>
      </c>
      <c r="K131" t="n">
        <v>1</v>
      </c>
      <c r="L131" t="n">
        <v>1</v>
      </c>
      <c r="M131" t="n">
        <v>0</v>
      </c>
      <c r="N131" t="n">
        <v>0</v>
      </c>
      <c r="O131" t="n">
        <v>2</v>
      </c>
      <c r="P131" t="n">
        <v>2</v>
      </c>
      <c r="Q131" t="n">
        <v>2</v>
      </c>
      <c r="R131" s="2" t="inlineStr">
        <is>
          <t>Ädellav
Skogskorn</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28261-2024</t>
        </is>
      </c>
      <c r="B132" s="1" t="n">
        <v>45477</v>
      </c>
      <c r="C132" s="1" t="n">
        <v>45997</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55649-2024</t>
        </is>
      </c>
      <c r="B133" s="1" t="n">
        <v>45622.63053240741</v>
      </c>
      <c r="C133" s="1" t="n">
        <v>45997</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54357-2024</t>
        </is>
      </c>
      <c r="B134" s="1" t="n">
        <v>45617.40662037037</v>
      </c>
      <c r="C134" s="1" t="n">
        <v>45997</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7070-2022</t>
        </is>
      </c>
      <c r="B135" s="1" t="n">
        <v>44603</v>
      </c>
      <c r="C135" s="1" t="n">
        <v>45997</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21879-2025</t>
        </is>
      </c>
      <c r="B136" s="1" t="n">
        <v>45784.40533564815</v>
      </c>
      <c r="C136" s="1" t="n">
        <v>45997</v>
      </c>
      <c r="D136" t="inlineStr">
        <is>
          <t>GOTLANDS LÄN</t>
        </is>
      </c>
      <c r="E136" t="inlineStr">
        <is>
          <t>GOTLAND</t>
        </is>
      </c>
      <c r="G136" t="n">
        <v>11.1</v>
      </c>
      <c r="H136" t="n">
        <v>0</v>
      </c>
      <c r="I136" t="n">
        <v>1</v>
      </c>
      <c r="J136" t="n">
        <v>0</v>
      </c>
      <c r="K136" t="n">
        <v>0</v>
      </c>
      <c r="L136" t="n">
        <v>1</v>
      </c>
      <c r="M136" t="n">
        <v>0</v>
      </c>
      <c r="N136" t="n">
        <v>0</v>
      </c>
      <c r="O136" t="n">
        <v>1</v>
      </c>
      <c r="P136" t="n">
        <v>1</v>
      </c>
      <c r="Q136" t="n">
        <v>2</v>
      </c>
      <c r="R136" s="2" t="inlineStr">
        <is>
          <t>Ask
Murgröna</t>
        </is>
      </c>
      <c r="S136">
        <f>HYPERLINK("https://klasma.github.io/Logging_0980/artfynd/A 21879-2025 artfynd.xlsx", "A 21879-2025")</f>
        <v/>
      </c>
      <c r="T136">
        <f>HYPERLINK("https://klasma.github.io/Logging_0980/kartor/A 21879-2025 karta.png", "A 21879-2025")</f>
        <v/>
      </c>
      <c r="V136">
        <f>HYPERLINK("https://klasma.github.io/Logging_0980/klagomål/A 21879-2025 FSC-klagomål.docx", "A 21879-2025")</f>
        <v/>
      </c>
      <c r="W136">
        <f>HYPERLINK("https://klasma.github.io/Logging_0980/klagomålsmail/A 21879-2025 FSC-klagomål mail.docx", "A 21879-2025")</f>
        <v/>
      </c>
      <c r="X136">
        <f>HYPERLINK("https://klasma.github.io/Logging_0980/tillsyn/A 21879-2025 tillsynsbegäran.docx", "A 21879-2025")</f>
        <v/>
      </c>
      <c r="Y136">
        <f>HYPERLINK("https://klasma.github.io/Logging_0980/tillsynsmail/A 21879-2025 tillsynsbegäran mail.docx", "A 21879-2025")</f>
        <v/>
      </c>
    </row>
    <row r="137" ht="15" customHeight="1">
      <c r="A137" t="inlineStr">
        <is>
          <t>A 43219-2023</t>
        </is>
      </c>
      <c r="B137" s="1" t="n">
        <v>45183</v>
      </c>
      <c r="C137" s="1" t="n">
        <v>45997</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45997</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12914-2025</t>
        </is>
      </c>
      <c r="B139" s="1" t="n">
        <v>45733</v>
      </c>
      <c r="C139" s="1" t="n">
        <v>45997</v>
      </c>
      <c r="D139" t="inlineStr">
        <is>
          <t>GOTLANDS LÄN</t>
        </is>
      </c>
      <c r="E139" t="inlineStr">
        <is>
          <t>GOTLAND</t>
        </is>
      </c>
      <c r="G139" t="n">
        <v>24.8</v>
      </c>
      <c r="H139" t="n">
        <v>2</v>
      </c>
      <c r="I139" t="n">
        <v>1</v>
      </c>
      <c r="J139" t="n">
        <v>0</v>
      </c>
      <c r="K139" t="n">
        <v>0</v>
      </c>
      <c r="L139" t="n">
        <v>0</v>
      </c>
      <c r="M139" t="n">
        <v>0</v>
      </c>
      <c r="N139" t="n">
        <v>0</v>
      </c>
      <c r="O139" t="n">
        <v>0</v>
      </c>
      <c r="P139" t="n">
        <v>0</v>
      </c>
      <c r="Q139" t="n">
        <v>2</v>
      </c>
      <c r="R139" s="2" t="inlineStr">
        <is>
          <t>Purpurknipprot
Brudsporre</t>
        </is>
      </c>
      <c r="S139">
        <f>HYPERLINK("https://klasma.github.io/Logging_0980/artfynd/A 12914-2025 artfynd.xlsx", "A 12914-2025")</f>
        <v/>
      </c>
      <c r="T139">
        <f>HYPERLINK("https://klasma.github.io/Logging_0980/kartor/A 12914-2025 karta.png", "A 12914-2025")</f>
        <v/>
      </c>
      <c r="V139">
        <f>HYPERLINK("https://klasma.github.io/Logging_0980/klagomål/A 12914-2025 FSC-klagomål.docx", "A 12914-2025")</f>
        <v/>
      </c>
      <c r="W139">
        <f>HYPERLINK("https://klasma.github.io/Logging_0980/klagomålsmail/A 12914-2025 FSC-klagomål mail.docx", "A 12914-2025")</f>
        <v/>
      </c>
      <c r="X139">
        <f>HYPERLINK("https://klasma.github.io/Logging_0980/tillsyn/A 12914-2025 tillsynsbegäran.docx", "A 12914-2025")</f>
        <v/>
      </c>
      <c r="Y139">
        <f>HYPERLINK("https://klasma.github.io/Logging_0980/tillsynsmail/A 12914-2025 tillsynsbegäran mail.docx", "A 12914-2025")</f>
        <v/>
      </c>
    </row>
    <row r="140" ht="15" customHeight="1">
      <c r="A140" t="inlineStr">
        <is>
          <t>A 24-2021</t>
        </is>
      </c>
      <c r="B140" s="1" t="n">
        <v>44197</v>
      </c>
      <c r="C140" s="1" t="n">
        <v>45997</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45997</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45997</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7485-2021</t>
        </is>
      </c>
      <c r="B143" s="1" t="n">
        <v>44238</v>
      </c>
      <c r="C143" s="1" t="n">
        <v>45997</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10218-2025</t>
        </is>
      </c>
      <c r="B144" s="1" t="n">
        <v>45720</v>
      </c>
      <c r="C144" s="1" t="n">
        <v>45997</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44308-2021</t>
        </is>
      </c>
      <c r="B145" s="1" t="n">
        <v>44434</v>
      </c>
      <c r="C145" s="1" t="n">
        <v>45997</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12379-2024</t>
        </is>
      </c>
      <c r="B146" s="1" t="n">
        <v>45379.28155092592</v>
      </c>
      <c r="C146" s="1" t="n">
        <v>45997</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45997</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447-2023</t>
        </is>
      </c>
      <c r="B148" s="1" t="n">
        <v>44929</v>
      </c>
      <c r="C148" s="1" t="n">
        <v>45997</v>
      </c>
      <c r="D148" t="inlineStr">
        <is>
          <t>GOTLANDS LÄN</t>
        </is>
      </c>
      <c r="E148" t="inlineStr">
        <is>
          <t>GOTLAND</t>
        </is>
      </c>
      <c r="G148" t="n">
        <v>5.1</v>
      </c>
      <c r="H148" t="n">
        <v>0</v>
      </c>
      <c r="I148" t="n">
        <v>0</v>
      </c>
      <c r="J148" t="n">
        <v>1</v>
      </c>
      <c r="K148" t="n">
        <v>0</v>
      </c>
      <c r="L148" t="n">
        <v>0</v>
      </c>
      <c r="M148" t="n">
        <v>0</v>
      </c>
      <c r="N148" t="n">
        <v>0</v>
      </c>
      <c r="O148" t="n">
        <v>1</v>
      </c>
      <c r="P148" t="n">
        <v>0</v>
      </c>
      <c r="Q148" t="n">
        <v>1</v>
      </c>
      <c r="R148" s="2" t="inlineStr">
        <is>
          <t>Äggspindling</t>
        </is>
      </c>
      <c r="S148">
        <f>HYPERLINK("https://klasma.github.io/Logging_0980/artfynd/A 447-2023 artfynd.xlsx", "A 447-2023")</f>
        <v/>
      </c>
      <c r="T148">
        <f>HYPERLINK("https://klasma.github.io/Logging_0980/kartor/A 447-2023 karta.png", "A 447-2023")</f>
        <v/>
      </c>
      <c r="V148">
        <f>HYPERLINK("https://klasma.github.io/Logging_0980/klagomål/A 447-2023 FSC-klagomål.docx", "A 447-2023")</f>
        <v/>
      </c>
      <c r="W148">
        <f>HYPERLINK("https://klasma.github.io/Logging_0980/klagomålsmail/A 447-2023 FSC-klagomål mail.docx", "A 447-2023")</f>
        <v/>
      </c>
      <c r="X148">
        <f>HYPERLINK("https://klasma.github.io/Logging_0980/tillsyn/A 447-2023 tillsynsbegäran.docx", "A 447-2023")</f>
        <v/>
      </c>
      <c r="Y148">
        <f>HYPERLINK("https://klasma.github.io/Logging_0980/tillsynsmail/A 447-2023 tillsynsbegäran mail.docx", "A 447-2023")</f>
        <v/>
      </c>
    </row>
    <row r="149" ht="15" customHeight="1">
      <c r="A149" t="inlineStr">
        <is>
          <t>A 44304-2021</t>
        </is>
      </c>
      <c r="B149" s="1" t="n">
        <v>44434</v>
      </c>
      <c r="C149" s="1" t="n">
        <v>45997</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Svinrot</t>
        </is>
      </c>
      <c r="S149">
        <f>HYPERLINK("https://klasma.github.io/Logging_0980/artfynd/A 44304-2021 artfynd.xlsx", "A 44304-2021")</f>
        <v/>
      </c>
      <c r="T149">
        <f>HYPERLINK("https://klasma.github.io/Logging_0980/kartor/A 44304-2021 karta.png", "A 44304-2021")</f>
        <v/>
      </c>
      <c r="V149">
        <f>HYPERLINK("https://klasma.github.io/Logging_0980/klagomål/A 44304-2021 FSC-klagomål.docx", "A 44304-2021")</f>
        <v/>
      </c>
      <c r="W149">
        <f>HYPERLINK("https://klasma.github.io/Logging_0980/klagomålsmail/A 44304-2021 FSC-klagomål mail.docx", "A 44304-2021")</f>
        <v/>
      </c>
      <c r="X149">
        <f>HYPERLINK("https://klasma.github.io/Logging_0980/tillsyn/A 44304-2021 tillsynsbegäran.docx", "A 44304-2021")</f>
        <v/>
      </c>
      <c r="Y149">
        <f>HYPERLINK("https://klasma.github.io/Logging_0980/tillsynsmail/A 44304-2021 tillsynsbegäran mail.docx", "A 44304-2021")</f>
        <v/>
      </c>
    </row>
    <row r="150" ht="15" customHeight="1">
      <c r="A150" t="inlineStr">
        <is>
          <t>A 947-2023</t>
        </is>
      </c>
      <c r="B150" s="1" t="n">
        <v>44934</v>
      </c>
      <c r="C150" s="1" t="n">
        <v>45997</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49304-2024</t>
        </is>
      </c>
      <c r="B151" s="1" t="n">
        <v>45595.54996527778</v>
      </c>
      <c r="C151" s="1" t="n">
        <v>45997</v>
      </c>
      <c r="D151" t="inlineStr">
        <is>
          <t>GOTLANDS LÄN</t>
        </is>
      </c>
      <c r="E151" t="inlineStr">
        <is>
          <t>GOTLAND</t>
        </is>
      </c>
      <c r="G151" t="n">
        <v>10.8</v>
      </c>
      <c r="H151" t="n">
        <v>0</v>
      </c>
      <c r="I151" t="n">
        <v>0</v>
      </c>
      <c r="J151" t="n">
        <v>1</v>
      </c>
      <c r="K151" t="n">
        <v>0</v>
      </c>
      <c r="L151" t="n">
        <v>0</v>
      </c>
      <c r="M151" t="n">
        <v>0</v>
      </c>
      <c r="N151" t="n">
        <v>0</v>
      </c>
      <c r="O151" t="n">
        <v>1</v>
      </c>
      <c r="P151" t="n">
        <v>0</v>
      </c>
      <c r="Q151" t="n">
        <v>1</v>
      </c>
      <c r="R151" s="2" t="inlineStr">
        <is>
          <t>Åkerranunkel</t>
        </is>
      </c>
      <c r="S151">
        <f>HYPERLINK("https://klasma.github.io/Logging_0980/artfynd/A 49304-2024 artfynd.xlsx", "A 49304-2024")</f>
        <v/>
      </c>
      <c r="T151">
        <f>HYPERLINK("https://klasma.github.io/Logging_0980/kartor/A 49304-2024 karta.png", "A 49304-2024")</f>
        <v/>
      </c>
      <c r="V151">
        <f>HYPERLINK("https://klasma.github.io/Logging_0980/klagomål/A 49304-2024 FSC-klagomål.docx", "A 49304-2024")</f>
        <v/>
      </c>
      <c r="W151">
        <f>HYPERLINK("https://klasma.github.io/Logging_0980/klagomålsmail/A 49304-2024 FSC-klagomål mail.docx", "A 49304-2024")</f>
        <v/>
      </c>
      <c r="X151">
        <f>HYPERLINK("https://klasma.github.io/Logging_0980/tillsyn/A 49304-2024 tillsynsbegäran.docx", "A 49304-2024")</f>
        <v/>
      </c>
      <c r="Y151">
        <f>HYPERLINK("https://klasma.github.io/Logging_0980/tillsynsmail/A 49304-2024 tillsynsbegäran mail.docx", "A 49304-2024")</f>
        <v/>
      </c>
    </row>
    <row r="152" ht="15" customHeight="1">
      <c r="A152" t="inlineStr">
        <is>
          <t>A 63576-2021</t>
        </is>
      </c>
      <c r="B152" s="1" t="n">
        <v>44508</v>
      </c>
      <c r="C152" s="1" t="n">
        <v>45997</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64700-2021</t>
        </is>
      </c>
      <c r="B153" s="1" t="n">
        <v>44511</v>
      </c>
      <c r="C153" s="1" t="n">
        <v>45997</v>
      </c>
      <c r="D153" t="inlineStr">
        <is>
          <t>GOTLANDS LÄN</t>
        </is>
      </c>
      <c r="E153" t="inlineStr">
        <is>
          <t>GOTLAND</t>
        </is>
      </c>
      <c r="F153" t="inlineStr">
        <is>
          <t>Naturvårdsverket</t>
        </is>
      </c>
      <c r="G153" t="n">
        <v>2.4</v>
      </c>
      <c r="H153" t="n">
        <v>1</v>
      </c>
      <c r="I153" t="n">
        <v>0</v>
      </c>
      <c r="J153" t="n">
        <v>0</v>
      </c>
      <c r="K153" t="n">
        <v>1</v>
      </c>
      <c r="L153" t="n">
        <v>0</v>
      </c>
      <c r="M153" t="n">
        <v>0</v>
      </c>
      <c r="N153" t="n">
        <v>0</v>
      </c>
      <c r="O153" t="n">
        <v>1</v>
      </c>
      <c r="P153" t="n">
        <v>1</v>
      </c>
      <c r="Q153" t="n">
        <v>1</v>
      </c>
      <c r="R153" s="2" t="inlineStr">
        <is>
          <t>Kalkdån</t>
        </is>
      </c>
      <c r="S153">
        <f>HYPERLINK("https://klasma.github.io/Logging_0980/artfynd/A 64700-2021 artfynd.xlsx", "A 64700-2021")</f>
        <v/>
      </c>
      <c r="T153">
        <f>HYPERLINK("https://klasma.github.io/Logging_0980/kartor/A 64700-2021 karta.png", "A 64700-2021")</f>
        <v/>
      </c>
      <c r="V153">
        <f>HYPERLINK("https://klasma.github.io/Logging_0980/klagomål/A 64700-2021 FSC-klagomål.docx", "A 64700-2021")</f>
        <v/>
      </c>
      <c r="W153">
        <f>HYPERLINK("https://klasma.github.io/Logging_0980/klagomålsmail/A 64700-2021 FSC-klagomål mail.docx", "A 64700-2021")</f>
        <v/>
      </c>
      <c r="X153">
        <f>HYPERLINK("https://klasma.github.io/Logging_0980/tillsyn/A 64700-2021 tillsynsbegäran.docx", "A 64700-2021")</f>
        <v/>
      </c>
      <c r="Y153">
        <f>HYPERLINK("https://klasma.github.io/Logging_0980/tillsynsmail/A 64700-2021 tillsynsbegäran mail.docx", "A 64700-2021")</f>
        <v/>
      </c>
    </row>
    <row r="154" ht="15" customHeight="1">
      <c r="A154" t="inlineStr">
        <is>
          <t>A 61561-2023</t>
        </is>
      </c>
      <c r="B154" s="1" t="n">
        <v>45265</v>
      </c>
      <c r="C154" s="1" t="n">
        <v>45997</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37591-2023</t>
        </is>
      </c>
      <c r="B155" s="1" t="n">
        <v>45159</v>
      </c>
      <c r="C155" s="1" t="n">
        <v>45997</v>
      </c>
      <c r="D155" t="inlineStr">
        <is>
          <t>GOTLANDS LÄN</t>
        </is>
      </c>
      <c r="E155" t="inlineStr">
        <is>
          <t>GOTLAND</t>
        </is>
      </c>
      <c r="G155" t="n">
        <v>8.300000000000001</v>
      </c>
      <c r="H155" t="n">
        <v>0</v>
      </c>
      <c r="I155" t="n">
        <v>0</v>
      </c>
      <c r="J155" t="n">
        <v>1</v>
      </c>
      <c r="K155" t="n">
        <v>0</v>
      </c>
      <c r="L155" t="n">
        <v>0</v>
      </c>
      <c r="M155" t="n">
        <v>0</v>
      </c>
      <c r="N155" t="n">
        <v>0</v>
      </c>
      <c r="O155" t="n">
        <v>1</v>
      </c>
      <c r="P155" t="n">
        <v>0</v>
      </c>
      <c r="Q155" t="n">
        <v>1</v>
      </c>
      <c r="R155" s="2" t="inlineStr">
        <is>
          <t>Ängsstarr</t>
        </is>
      </c>
      <c r="S155">
        <f>HYPERLINK("https://klasma.github.io/Logging_0980/artfynd/A 37591-2023 artfynd.xlsx", "A 37591-2023")</f>
        <v/>
      </c>
      <c r="T155">
        <f>HYPERLINK("https://klasma.github.io/Logging_0980/kartor/A 37591-2023 karta.png", "A 37591-2023")</f>
        <v/>
      </c>
      <c r="V155">
        <f>HYPERLINK("https://klasma.github.io/Logging_0980/klagomål/A 37591-2023 FSC-klagomål.docx", "A 37591-2023")</f>
        <v/>
      </c>
      <c r="W155">
        <f>HYPERLINK("https://klasma.github.io/Logging_0980/klagomålsmail/A 37591-2023 FSC-klagomål mail.docx", "A 37591-2023")</f>
        <v/>
      </c>
      <c r="X155">
        <f>HYPERLINK("https://klasma.github.io/Logging_0980/tillsyn/A 37591-2023 tillsynsbegäran.docx", "A 37591-2023")</f>
        <v/>
      </c>
      <c r="Y155">
        <f>HYPERLINK("https://klasma.github.io/Logging_0980/tillsynsmail/A 37591-2023 tillsynsbegäran mail.docx", "A 37591-2023")</f>
        <v/>
      </c>
    </row>
    <row r="156" ht="15" customHeight="1">
      <c r="A156" t="inlineStr">
        <is>
          <t>A 27589-2023</t>
        </is>
      </c>
      <c r="B156" s="1" t="n">
        <v>45097</v>
      </c>
      <c r="C156" s="1" t="n">
        <v>45997</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1477-2024</t>
        </is>
      </c>
      <c r="B157" s="1" t="n">
        <v>45305.37987268518</v>
      </c>
      <c r="C157" s="1" t="n">
        <v>45997</v>
      </c>
      <c r="D157" t="inlineStr">
        <is>
          <t>GOTLANDS LÄN</t>
        </is>
      </c>
      <c r="E157" t="inlineStr">
        <is>
          <t>GOTLAND</t>
        </is>
      </c>
      <c r="G157" t="n">
        <v>6.9</v>
      </c>
      <c r="H157" t="n">
        <v>0</v>
      </c>
      <c r="I157" t="n">
        <v>0</v>
      </c>
      <c r="J157" t="n">
        <v>1</v>
      </c>
      <c r="K157" t="n">
        <v>0</v>
      </c>
      <c r="L157" t="n">
        <v>0</v>
      </c>
      <c r="M157" t="n">
        <v>0</v>
      </c>
      <c r="N157" t="n">
        <v>0</v>
      </c>
      <c r="O157" t="n">
        <v>1</v>
      </c>
      <c r="P157" t="n">
        <v>0</v>
      </c>
      <c r="Q157" t="n">
        <v>1</v>
      </c>
      <c r="R157" s="2" t="inlineStr">
        <is>
          <t>Igelkott</t>
        </is>
      </c>
      <c r="S157">
        <f>HYPERLINK("https://klasma.github.io/Logging_0980/artfynd/A 1477-2024 artfynd.xlsx", "A 1477-2024")</f>
        <v/>
      </c>
      <c r="T157">
        <f>HYPERLINK("https://klasma.github.io/Logging_0980/kartor/A 1477-2024 karta.png", "A 1477-2024")</f>
        <v/>
      </c>
      <c r="V157">
        <f>HYPERLINK("https://klasma.github.io/Logging_0980/klagomål/A 1477-2024 FSC-klagomål.docx", "A 1477-2024")</f>
        <v/>
      </c>
      <c r="W157">
        <f>HYPERLINK("https://klasma.github.io/Logging_0980/klagomålsmail/A 1477-2024 FSC-klagomål mail.docx", "A 1477-2024")</f>
        <v/>
      </c>
      <c r="X157">
        <f>HYPERLINK("https://klasma.github.io/Logging_0980/tillsyn/A 1477-2024 tillsynsbegäran.docx", "A 1477-2024")</f>
        <v/>
      </c>
      <c r="Y157">
        <f>HYPERLINK("https://klasma.github.io/Logging_0980/tillsynsmail/A 1477-2024 tillsynsbegäran mail.docx", "A 1477-2024")</f>
        <v/>
      </c>
    </row>
    <row r="158" ht="15" customHeight="1">
      <c r="A158" t="inlineStr">
        <is>
          <t>A 35574-2024</t>
        </is>
      </c>
      <c r="B158" s="1" t="n">
        <v>45531</v>
      </c>
      <c r="C158" s="1" t="n">
        <v>45997</v>
      </c>
      <c r="D158" t="inlineStr">
        <is>
          <t>GOTLANDS LÄN</t>
        </is>
      </c>
      <c r="E158" t="inlineStr">
        <is>
          <t>GOTLAND</t>
        </is>
      </c>
      <c r="G158" t="n">
        <v>5.7</v>
      </c>
      <c r="H158" t="n">
        <v>0</v>
      </c>
      <c r="I158" t="n">
        <v>1</v>
      </c>
      <c r="J158" t="n">
        <v>0</v>
      </c>
      <c r="K158" t="n">
        <v>0</v>
      </c>
      <c r="L158" t="n">
        <v>0</v>
      </c>
      <c r="M158" t="n">
        <v>0</v>
      </c>
      <c r="N158" t="n">
        <v>0</v>
      </c>
      <c r="O158" t="n">
        <v>0</v>
      </c>
      <c r="P158" t="n">
        <v>0</v>
      </c>
      <c r="Q158" t="n">
        <v>1</v>
      </c>
      <c r="R158" s="2" t="inlineStr">
        <is>
          <t>Murgröna</t>
        </is>
      </c>
      <c r="S158">
        <f>HYPERLINK("https://klasma.github.io/Logging_0980/artfynd/A 35574-2024 artfynd.xlsx", "A 35574-2024")</f>
        <v/>
      </c>
      <c r="T158">
        <f>HYPERLINK("https://klasma.github.io/Logging_0980/kartor/A 35574-2024 karta.png", "A 35574-2024")</f>
        <v/>
      </c>
      <c r="V158">
        <f>HYPERLINK("https://klasma.github.io/Logging_0980/klagomål/A 35574-2024 FSC-klagomål.docx", "A 35574-2024")</f>
        <v/>
      </c>
      <c r="W158">
        <f>HYPERLINK("https://klasma.github.io/Logging_0980/klagomålsmail/A 35574-2024 FSC-klagomål mail.docx", "A 35574-2024")</f>
        <v/>
      </c>
      <c r="X158">
        <f>HYPERLINK("https://klasma.github.io/Logging_0980/tillsyn/A 35574-2024 tillsynsbegäran.docx", "A 35574-2024")</f>
        <v/>
      </c>
      <c r="Y158">
        <f>HYPERLINK("https://klasma.github.io/Logging_0980/tillsynsmail/A 35574-2024 tillsynsbegäran mail.docx", "A 35574-2024")</f>
        <v/>
      </c>
    </row>
    <row r="159" ht="15" customHeight="1">
      <c r="A159" t="inlineStr">
        <is>
          <t>A 7637-2025</t>
        </is>
      </c>
      <c r="B159" s="1" t="n">
        <v>45705.77181712963</v>
      </c>
      <c r="C159" s="1" t="n">
        <v>45997</v>
      </c>
      <c r="D159" t="inlineStr">
        <is>
          <t>GOTLANDS LÄN</t>
        </is>
      </c>
      <c r="E159" t="inlineStr">
        <is>
          <t>GOTLAND</t>
        </is>
      </c>
      <c r="G159" t="n">
        <v>3.7</v>
      </c>
      <c r="H159" t="n">
        <v>0</v>
      </c>
      <c r="I159" t="n">
        <v>0</v>
      </c>
      <c r="J159" t="n">
        <v>0</v>
      </c>
      <c r="K159" t="n">
        <v>0</v>
      </c>
      <c r="L159" t="n">
        <v>0</v>
      </c>
      <c r="M159" t="n">
        <v>1</v>
      </c>
      <c r="N159" t="n">
        <v>0</v>
      </c>
      <c r="O159" t="n">
        <v>1</v>
      </c>
      <c r="P159" t="n">
        <v>1</v>
      </c>
      <c r="Q159" t="n">
        <v>1</v>
      </c>
      <c r="R159" s="2" t="inlineStr">
        <is>
          <t>Skogsalm</t>
        </is>
      </c>
      <c r="S159">
        <f>HYPERLINK("https://klasma.github.io/Logging_0980/artfynd/A 7637-2025 artfynd.xlsx", "A 7637-2025")</f>
        <v/>
      </c>
      <c r="T159">
        <f>HYPERLINK("https://klasma.github.io/Logging_0980/kartor/A 7637-2025 karta.png", "A 7637-2025")</f>
        <v/>
      </c>
      <c r="V159">
        <f>HYPERLINK("https://klasma.github.io/Logging_0980/klagomål/A 7637-2025 FSC-klagomål.docx", "A 7637-2025")</f>
        <v/>
      </c>
      <c r="W159">
        <f>HYPERLINK("https://klasma.github.io/Logging_0980/klagomålsmail/A 7637-2025 FSC-klagomål mail.docx", "A 7637-2025")</f>
        <v/>
      </c>
      <c r="X159">
        <f>HYPERLINK("https://klasma.github.io/Logging_0980/tillsyn/A 7637-2025 tillsynsbegäran.docx", "A 7637-2025")</f>
        <v/>
      </c>
      <c r="Y159">
        <f>HYPERLINK("https://klasma.github.io/Logging_0980/tillsynsmail/A 7637-2025 tillsynsbegäran mail.docx", "A 7637-2025")</f>
        <v/>
      </c>
    </row>
    <row r="160" ht="15" customHeight="1">
      <c r="A160" t="inlineStr">
        <is>
          <t>A 22782-2023</t>
        </is>
      </c>
      <c r="B160" s="1" t="n">
        <v>45072</v>
      </c>
      <c r="C160" s="1" t="n">
        <v>45997</v>
      </c>
      <c r="D160" t="inlineStr">
        <is>
          <t>GOTLANDS LÄN</t>
        </is>
      </c>
      <c r="E160" t="inlineStr">
        <is>
          <t>GOTLAND</t>
        </is>
      </c>
      <c r="F160" t="inlineStr">
        <is>
          <t>Kyrkan</t>
        </is>
      </c>
      <c r="G160" t="n">
        <v>3.1</v>
      </c>
      <c r="H160" t="n">
        <v>1</v>
      </c>
      <c r="I160" t="n">
        <v>0</v>
      </c>
      <c r="J160" t="n">
        <v>0</v>
      </c>
      <c r="K160" t="n">
        <v>0</v>
      </c>
      <c r="L160" t="n">
        <v>0</v>
      </c>
      <c r="M160" t="n">
        <v>0</v>
      </c>
      <c r="N160" t="n">
        <v>0</v>
      </c>
      <c r="O160" t="n">
        <v>0</v>
      </c>
      <c r="P160" t="n">
        <v>0</v>
      </c>
      <c r="Q160" t="n">
        <v>1</v>
      </c>
      <c r="R160" s="2" t="inlineStr">
        <is>
          <t>Ängsnycklar × skogsnycklar</t>
        </is>
      </c>
      <c r="S160">
        <f>HYPERLINK("https://klasma.github.io/Logging_0980/artfynd/A 22782-2023 artfynd.xlsx", "A 22782-2023")</f>
        <v/>
      </c>
      <c r="T160">
        <f>HYPERLINK("https://klasma.github.io/Logging_0980/kartor/A 22782-2023 karta.png", "A 22782-2023")</f>
        <v/>
      </c>
      <c r="V160">
        <f>HYPERLINK("https://klasma.github.io/Logging_0980/klagomål/A 22782-2023 FSC-klagomål.docx", "A 22782-2023")</f>
        <v/>
      </c>
      <c r="W160">
        <f>HYPERLINK("https://klasma.github.io/Logging_0980/klagomålsmail/A 22782-2023 FSC-klagomål mail.docx", "A 22782-2023")</f>
        <v/>
      </c>
      <c r="X160">
        <f>HYPERLINK("https://klasma.github.io/Logging_0980/tillsyn/A 22782-2023 tillsynsbegäran.docx", "A 22782-2023")</f>
        <v/>
      </c>
      <c r="Y160">
        <f>HYPERLINK("https://klasma.github.io/Logging_0980/tillsynsmail/A 22782-2023 tillsynsbegäran mail.docx", "A 22782-2023")</f>
        <v/>
      </c>
    </row>
    <row r="161" ht="15" customHeight="1">
      <c r="A161" t="inlineStr">
        <is>
          <t>A 25977-2024</t>
        </is>
      </c>
      <c r="B161" s="1" t="n">
        <v>45467.69356481481</v>
      </c>
      <c r="C161" s="1" t="n">
        <v>45997</v>
      </c>
      <c r="D161" t="inlineStr">
        <is>
          <t>GOTLANDS LÄN</t>
        </is>
      </c>
      <c r="E161" t="inlineStr">
        <is>
          <t>GOTLAND</t>
        </is>
      </c>
      <c r="G161" t="n">
        <v>3</v>
      </c>
      <c r="H161" t="n">
        <v>1</v>
      </c>
      <c r="I161" t="n">
        <v>0</v>
      </c>
      <c r="J161" t="n">
        <v>0</v>
      </c>
      <c r="K161" t="n">
        <v>0</v>
      </c>
      <c r="L161" t="n">
        <v>0</v>
      </c>
      <c r="M161" t="n">
        <v>0</v>
      </c>
      <c r="N161" t="n">
        <v>0</v>
      </c>
      <c r="O161" t="n">
        <v>0</v>
      </c>
      <c r="P161" t="n">
        <v>0</v>
      </c>
      <c r="Q161" t="n">
        <v>1</v>
      </c>
      <c r="R161" s="2" t="inlineStr">
        <is>
          <t>Nattviol</t>
        </is>
      </c>
      <c r="S161">
        <f>HYPERLINK("https://klasma.github.io/Logging_0980/artfynd/A 25977-2024 artfynd.xlsx", "A 25977-2024")</f>
        <v/>
      </c>
      <c r="T161">
        <f>HYPERLINK("https://klasma.github.io/Logging_0980/kartor/A 25977-2024 karta.png", "A 25977-2024")</f>
        <v/>
      </c>
      <c r="V161">
        <f>HYPERLINK("https://klasma.github.io/Logging_0980/klagomål/A 25977-2024 FSC-klagomål.docx", "A 25977-2024")</f>
        <v/>
      </c>
      <c r="W161">
        <f>HYPERLINK("https://klasma.github.io/Logging_0980/klagomålsmail/A 25977-2024 FSC-klagomål mail.docx", "A 25977-2024")</f>
        <v/>
      </c>
      <c r="X161">
        <f>HYPERLINK("https://klasma.github.io/Logging_0980/tillsyn/A 25977-2024 tillsynsbegäran.docx", "A 25977-2024")</f>
        <v/>
      </c>
      <c r="Y161">
        <f>HYPERLINK("https://klasma.github.io/Logging_0980/tillsynsmail/A 25977-2024 tillsynsbegäran mail.docx", "A 25977-2024")</f>
        <v/>
      </c>
    </row>
    <row r="162" ht="15" customHeight="1">
      <c r="A162" t="inlineStr">
        <is>
          <t>A 22883-2024</t>
        </is>
      </c>
      <c r="B162" s="1" t="n">
        <v>45448.66368055555</v>
      </c>
      <c r="C162" s="1" t="n">
        <v>45997</v>
      </c>
      <c r="D162" t="inlineStr">
        <is>
          <t>GOTLANDS LÄN</t>
        </is>
      </c>
      <c r="E162" t="inlineStr">
        <is>
          <t>GOTLAND</t>
        </is>
      </c>
      <c r="G162" t="n">
        <v>0.5</v>
      </c>
      <c r="H162" t="n">
        <v>0</v>
      </c>
      <c r="I162" t="n">
        <v>0</v>
      </c>
      <c r="J162" t="n">
        <v>0</v>
      </c>
      <c r="K162" t="n">
        <v>1</v>
      </c>
      <c r="L162" t="n">
        <v>0</v>
      </c>
      <c r="M162" t="n">
        <v>0</v>
      </c>
      <c r="N162" t="n">
        <v>0</v>
      </c>
      <c r="O162" t="n">
        <v>1</v>
      </c>
      <c r="P162" t="n">
        <v>1</v>
      </c>
      <c r="Q162" t="n">
        <v>1</v>
      </c>
      <c r="R162" s="2" t="inlineStr">
        <is>
          <t>Gotlandsmåra</t>
        </is>
      </c>
      <c r="S162">
        <f>HYPERLINK("https://klasma.github.io/Logging_0980/artfynd/A 22883-2024 artfynd.xlsx", "A 22883-2024")</f>
        <v/>
      </c>
      <c r="T162">
        <f>HYPERLINK("https://klasma.github.io/Logging_0980/kartor/A 22883-2024 karta.png", "A 22883-2024")</f>
        <v/>
      </c>
      <c r="V162">
        <f>HYPERLINK("https://klasma.github.io/Logging_0980/klagomål/A 22883-2024 FSC-klagomål.docx", "A 22883-2024")</f>
        <v/>
      </c>
      <c r="W162">
        <f>HYPERLINK("https://klasma.github.io/Logging_0980/klagomålsmail/A 22883-2024 FSC-klagomål mail.docx", "A 22883-2024")</f>
        <v/>
      </c>
      <c r="X162">
        <f>HYPERLINK("https://klasma.github.io/Logging_0980/tillsyn/A 22883-2024 tillsynsbegäran.docx", "A 22883-2024")</f>
        <v/>
      </c>
      <c r="Y162">
        <f>HYPERLINK("https://klasma.github.io/Logging_0980/tillsynsmail/A 22883-2024 tillsynsbegäran mail.docx", "A 22883-2024")</f>
        <v/>
      </c>
    </row>
    <row r="163" ht="15" customHeight="1">
      <c r="A163" t="inlineStr">
        <is>
          <t>A 6303-2024</t>
        </is>
      </c>
      <c r="B163" s="1" t="n">
        <v>45338.35376157407</v>
      </c>
      <c r="C163" s="1" t="n">
        <v>45997</v>
      </c>
      <c r="D163" t="inlineStr">
        <is>
          <t>GOTLANDS LÄN</t>
        </is>
      </c>
      <c r="E163" t="inlineStr">
        <is>
          <t>GOTLAND</t>
        </is>
      </c>
      <c r="G163" t="n">
        <v>0.6</v>
      </c>
      <c r="H163" t="n">
        <v>0</v>
      </c>
      <c r="I163" t="n">
        <v>1</v>
      </c>
      <c r="J163" t="n">
        <v>0</v>
      </c>
      <c r="K163" t="n">
        <v>0</v>
      </c>
      <c r="L163" t="n">
        <v>0</v>
      </c>
      <c r="M163" t="n">
        <v>0</v>
      </c>
      <c r="N163" t="n">
        <v>0</v>
      </c>
      <c r="O163" t="n">
        <v>0</v>
      </c>
      <c r="P163" t="n">
        <v>0</v>
      </c>
      <c r="Q163" t="n">
        <v>1</v>
      </c>
      <c r="R163" s="2" t="inlineStr">
        <is>
          <t>Strävlosta</t>
        </is>
      </c>
      <c r="S163">
        <f>HYPERLINK("https://klasma.github.io/Logging_0980/artfynd/A 6303-2024 artfynd.xlsx", "A 6303-2024")</f>
        <v/>
      </c>
      <c r="T163">
        <f>HYPERLINK("https://klasma.github.io/Logging_0980/kartor/A 6303-2024 karta.png", "A 6303-2024")</f>
        <v/>
      </c>
      <c r="V163">
        <f>HYPERLINK("https://klasma.github.io/Logging_0980/klagomål/A 6303-2024 FSC-klagomål.docx", "A 6303-2024")</f>
        <v/>
      </c>
      <c r="W163">
        <f>HYPERLINK("https://klasma.github.io/Logging_0980/klagomålsmail/A 6303-2024 FSC-klagomål mail.docx", "A 6303-2024")</f>
        <v/>
      </c>
      <c r="X163">
        <f>HYPERLINK("https://klasma.github.io/Logging_0980/tillsyn/A 6303-2024 tillsynsbegäran.docx", "A 6303-2024")</f>
        <v/>
      </c>
      <c r="Y163">
        <f>HYPERLINK("https://klasma.github.io/Logging_0980/tillsynsmail/A 6303-2024 tillsynsbegäran mail.docx", "A 6303-2024")</f>
        <v/>
      </c>
    </row>
    <row r="164" ht="15" customHeight="1">
      <c r="A164" t="inlineStr">
        <is>
          <t>A 21466-2025</t>
        </is>
      </c>
      <c r="B164" s="1" t="n">
        <v>45782</v>
      </c>
      <c r="C164" s="1" t="n">
        <v>45997</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24245-2022</t>
        </is>
      </c>
      <c r="B165" s="1" t="n">
        <v>44725</v>
      </c>
      <c r="C165" s="1" t="n">
        <v>45997</v>
      </c>
      <c r="D165" t="inlineStr">
        <is>
          <t>GOTLANDS LÄN</t>
        </is>
      </c>
      <c r="E165" t="inlineStr">
        <is>
          <t>GOTLAND</t>
        </is>
      </c>
      <c r="G165" t="n">
        <v>4.9</v>
      </c>
      <c r="H165" t="n">
        <v>0</v>
      </c>
      <c r="I165" t="n">
        <v>0</v>
      </c>
      <c r="J165" t="n">
        <v>0</v>
      </c>
      <c r="K165" t="n">
        <v>0</v>
      </c>
      <c r="L165" t="n">
        <v>1</v>
      </c>
      <c r="M165" t="n">
        <v>0</v>
      </c>
      <c r="N165" t="n">
        <v>0</v>
      </c>
      <c r="O165" t="n">
        <v>1</v>
      </c>
      <c r="P165" t="n">
        <v>1</v>
      </c>
      <c r="Q165" t="n">
        <v>1</v>
      </c>
      <c r="R165" s="2" t="inlineStr">
        <is>
          <t>Slät taggsvamp</t>
        </is>
      </c>
      <c r="S165">
        <f>HYPERLINK("https://klasma.github.io/Logging_0980/artfynd/A 24245-2022 artfynd.xlsx", "A 24245-2022")</f>
        <v/>
      </c>
      <c r="T165">
        <f>HYPERLINK("https://klasma.github.io/Logging_0980/kartor/A 24245-2022 karta.png", "A 24245-2022")</f>
        <v/>
      </c>
      <c r="V165">
        <f>HYPERLINK("https://klasma.github.io/Logging_0980/klagomål/A 24245-2022 FSC-klagomål.docx", "A 24245-2022")</f>
        <v/>
      </c>
      <c r="W165">
        <f>HYPERLINK("https://klasma.github.io/Logging_0980/klagomålsmail/A 24245-2022 FSC-klagomål mail.docx", "A 24245-2022")</f>
        <v/>
      </c>
      <c r="X165">
        <f>HYPERLINK("https://klasma.github.io/Logging_0980/tillsyn/A 24245-2022 tillsynsbegäran.docx", "A 24245-2022")</f>
        <v/>
      </c>
      <c r="Y165">
        <f>HYPERLINK("https://klasma.github.io/Logging_0980/tillsynsmail/A 24245-2022 tillsynsbegäran mail.docx", "A 24245-2022")</f>
        <v/>
      </c>
    </row>
    <row r="166" ht="15" customHeight="1">
      <c r="A166" t="inlineStr">
        <is>
          <t>A 34809-2024</t>
        </is>
      </c>
      <c r="B166" s="1" t="n">
        <v>45526</v>
      </c>
      <c r="C166" s="1" t="n">
        <v>45997</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49847-2023</t>
        </is>
      </c>
      <c r="B167" s="1" t="n">
        <v>45212</v>
      </c>
      <c r="C167" s="1" t="n">
        <v>45997</v>
      </c>
      <c r="D167" t="inlineStr">
        <is>
          <t>GOTLANDS LÄN</t>
        </is>
      </c>
      <c r="E167" t="inlineStr">
        <is>
          <t>GOTLAND</t>
        </is>
      </c>
      <c r="G167" t="n">
        <v>35.2</v>
      </c>
      <c r="H167" t="n">
        <v>0</v>
      </c>
      <c r="I167" t="n">
        <v>0</v>
      </c>
      <c r="J167" t="n">
        <v>0</v>
      </c>
      <c r="K167" t="n">
        <v>1</v>
      </c>
      <c r="L167" t="n">
        <v>0</v>
      </c>
      <c r="M167" t="n">
        <v>0</v>
      </c>
      <c r="N167" t="n">
        <v>0</v>
      </c>
      <c r="O167" t="n">
        <v>1</v>
      </c>
      <c r="P167" t="n">
        <v>1</v>
      </c>
      <c r="Q167" t="n">
        <v>1</v>
      </c>
      <c r="R167" s="2" t="inlineStr">
        <is>
          <t>Strandviol</t>
        </is>
      </c>
      <c r="S167">
        <f>HYPERLINK("https://klasma.github.io/Logging_0980/artfynd/A 49847-2023 artfynd.xlsx", "A 49847-2023")</f>
        <v/>
      </c>
      <c r="T167">
        <f>HYPERLINK("https://klasma.github.io/Logging_0980/kartor/A 49847-2023 karta.png", "A 49847-2023")</f>
        <v/>
      </c>
      <c r="V167">
        <f>HYPERLINK("https://klasma.github.io/Logging_0980/klagomål/A 49847-2023 FSC-klagomål.docx", "A 49847-2023")</f>
        <v/>
      </c>
      <c r="W167">
        <f>HYPERLINK("https://klasma.github.io/Logging_0980/klagomålsmail/A 49847-2023 FSC-klagomål mail.docx", "A 49847-2023")</f>
        <v/>
      </c>
      <c r="X167">
        <f>HYPERLINK("https://klasma.github.io/Logging_0980/tillsyn/A 49847-2023 tillsynsbegäran.docx", "A 49847-2023")</f>
        <v/>
      </c>
      <c r="Y167">
        <f>HYPERLINK("https://klasma.github.io/Logging_0980/tillsynsmail/A 49847-2023 tillsynsbegäran mail.docx", "A 49847-2023")</f>
        <v/>
      </c>
    </row>
    <row r="168" ht="15" customHeight="1">
      <c r="A168" t="inlineStr">
        <is>
          <t>A 46527-2023</t>
        </is>
      </c>
      <c r="B168" s="1" t="n">
        <v>45197</v>
      </c>
      <c r="C168" s="1" t="n">
        <v>45997</v>
      </c>
      <c r="D168" t="inlineStr">
        <is>
          <t>GOTLANDS LÄN</t>
        </is>
      </c>
      <c r="E168" t="inlineStr">
        <is>
          <t>GOTLAND</t>
        </is>
      </c>
      <c r="G168" t="n">
        <v>0.9</v>
      </c>
      <c r="H168" t="n">
        <v>0</v>
      </c>
      <c r="I168" t="n">
        <v>0</v>
      </c>
      <c r="J168" t="n">
        <v>1</v>
      </c>
      <c r="K168" t="n">
        <v>0</v>
      </c>
      <c r="L168" t="n">
        <v>0</v>
      </c>
      <c r="M168" t="n">
        <v>0</v>
      </c>
      <c r="N168" t="n">
        <v>0</v>
      </c>
      <c r="O168" t="n">
        <v>1</v>
      </c>
      <c r="P168" t="n">
        <v>0</v>
      </c>
      <c r="Q168" t="n">
        <v>1</v>
      </c>
      <c r="R168" s="2" t="inlineStr">
        <is>
          <t>Guldgräshoppa</t>
        </is>
      </c>
      <c r="S168">
        <f>HYPERLINK("https://klasma.github.io/Logging_0980/artfynd/A 46527-2023 artfynd.xlsx", "A 46527-2023")</f>
        <v/>
      </c>
      <c r="T168">
        <f>HYPERLINK("https://klasma.github.io/Logging_0980/kartor/A 46527-2023 karta.png", "A 46527-2023")</f>
        <v/>
      </c>
      <c r="V168">
        <f>HYPERLINK("https://klasma.github.io/Logging_0980/klagomål/A 46527-2023 FSC-klagomål.docx", "A 46527-2023")</f>
        <v/>
      </c>
      <c r="W168">
        <f>HYPERLINK("https://klasma.github.io/Logging_0980/klagomålsmail/A 46527-2023 FSC-klagomål mail.docx", "A 46527-2023")</f>
        <v/>
      </c>
      <c r="X168">
        <f>HYPERLINK("https://klasma.github.io/Logging_0980/tillsyn/A 46527-2023 tillsynsbegäran.docx", "A 46527-2023")</f>
        <v/>
      </c>
      <c r="Y168">
        <f>HYPERLINK("https://klasma.github.io/Logging_0980/tillsynsmail/A 46527-2023 tillsynsbegäran mail.docx", "A 46527-2023")</f>
        <v/>
      </c>
    </row>
    <row r="169" ht="15" customHeight="1">
      <c r="A169" t="inlineStr">
        <is>
          <t>A 12324-2025</t>
        </is>
      </c>
      <c r="B169" s="1" t="n">
        <v>45730</v>
      </c>
      <c r="C169" s="1" t="n">
        <v>45997</v>
      </c>
      <c r="D169" t="inlineStr">
        <is>
          <t>GOTLANDS LÄN</t>
        </is>
      </c>
      <c r="E169" t="inlineStr">
        <is>
          <t>GOTLAND</t>
        </is>
      </c>
      <c r="G169" t="n">
        <v>5</v>
      </c>
      <c r="H169" t="n">
        <v>0</v>
      </c>
      <c r="I169" t="n">
        <v>0</v>
      </c>
      <c r="J169" t="n">
        <v>0</v>
      </c>
      <c r="K169" t="n">
        <v>1</v>
      </c>
      <c r="L169" t="n">
        <v>0</v>
      </c>
      <c r="M169" t="n">
        <v>0</v>
      </c>
      <c r="N169" t="n">
        <v>0</v>
      </c>
      <c r="O169" t="n">
        <v>1</v>
      </c>
      <c r="P169" t="n">
        <v>1</v>
      </c>
      <c r="Q169" t="n">
        <v>1</v>
      </c>
      <c r="R169" s="2" t="inlineStr">
        <is>
          <t>Sommarklynne</t>
        </is>
      </c>
      <c r="S169">
        <f>HYPERLINK("https://klasma.github.io/Logging_0980/artfynd/A 12324-2025 artfynd.xlsx", "A 12324-2025")</f>
        <v/>
      </c>
      <c r="T169">
        <f>HYPERLINK("https://klasma.github.io/Logging_0980/kartor/A 12324-2025 karta.png", "A 12324-2025")</f>
        <v/>
      </c>
      <c r="V169">
        <f>HYPERLINK("https://klasma.github.io/Logging_0980/klagomål/A 12324-2025 FSC-klagomål.docx", "A 12324-2025")</f>
        <v/>
      </c>
      <c r="W169">
        <f>HYPERLINK("https://klasma.github.io/Logging_0980/klagomålsmail/A 12324-2025 FSC-klagomål mail.docx", "A 12324-2025")</f>
        <v/>
      </c>
      <c r="X169">
        <f>HYPERLINK("https://klasma.github.io/Logging_0980/tillsyn/A 12324-2025 tillsynsbegäran.docx", "A 12324-2025")</f>
        <v/>
      </c>
      <c r="Y169">
        <f>HYPERLINK("https://klasma.github.io/Logging_0980/tillsynsmail/A 12324-2025 tillsynsbegäran mail.docx", "A 12324-2025")</f>
        <v/>
      </c>
    </row>
    <row r="170" ht="15" customHeight="1">
      <c r="A170" t="inlineStr">
        <is>
          <t>A 13939-2021</t>
        </is>
      </c>
      <c r="B170" s="1" t="n">
        <v>44277</v>
      </c>
      <c r="C170" s="1" t="n">
        <v>45997</v>
      </c>
      <c r="D170" t="inlineStr">
        <is>
          <t>GOTLANDS LÄN</t>
        </is>
      </c>
      <c r="E170" t="inlineStr">
        <is>
          <t>GOTLAND</t>
        </is>
      </c>
      <c r="G170" t="n">
        <v>1</v>
      </c>
      <c r="H170" t="n">
        <v>0</v>
      </c>
      <c r="I170" t="n">
        <v>0</v>
      </c>
      <c r="J170" t="n">
        <v>1</v>
      </c>
      <c r="K170" t="n">
        <v>0</v>
      </c>
      <c r="L170" t="n">
        <v>0</v>
      </c>
      <c r="M170" t="n">
        <v>0</v>
      </c>
      <c r="N170" t="n">
        <v>0</v>
      </c>
      <c r="O170" t="n">
        <v>1</v>
      </c>
      <c r="P170" t="n">
        <v>0</v>
      </c>
      <c r="Q170" t="n">
        <v>1</v>
      </c>
      <c r="R170" s="2" t="inlineStr">
        <is>
          <t>Axveronika</t>
        </is>
      </c>
      <c r="S170">
        <f>HYPERLINK("https://klasma.github.io/Logging_0980/artfynd/A 13939-2021 artfynd.xlsx", "A 13939-2021")</f>
        <v/>
      </c>
      <c r="T170">
        <f>HYPERLINK("https://klasma.github.io/Logging_0980/kartor/A 13939-2021 karta.png", "A 13939-2021")</f>
        <v/>
      </c>
      <c r="V170">
        <f>HYPERLINK("https://klasma.github.io/Logging_0980/klagomål/A 13939-2021 FSC-klagomål.docx", "A 13939-2021")</f>
        <v/>
      </c>
      <c r="W170">
        <f>HYPERLINK("https://klasma.github.io/Logging_0980/klagomålsmail/A 13939-2021 FSC-klagomål mail.docx", "A 13939-2021")</f>
        <v/>
      </c>
      <c r="X170">
        <f>HYPERLINK("https://klasma.github.io/Logging_0980/tillsyn/A 13939-2021 tillsynsbegäran.docx", "A 13939-2021")</f>
        <v/>
      </c>
      <c r="Y170">
        <f>HYPERLINK("https://klasma.github.io/Logging_0980/tillsynsmail/A 13939-2021 tillsynsbegäran mail.docx", "A 13939-2021")</f>
        <v/>
      </c>
    </row>
    <row r="171" ht="15" customHeight="1">
      <c r="A171" t="inlineStr">
        <is>
          <t>A 65927-2021</t>
        </is>
      </c>
      <c r="B171" s="1" t="n">
        <v>44516</v>
      </c>
      <c r="C171" s="1" t="n">
        <v>45997</v>
      </c>
      <c r="D171" t="inlineStr">
        <is>
          <t>GOTLANDS LÄN</t>
        </is>
      </c>
      <c r="E171" t="inlineStr">
        <is>
          <t>GOTLAND</t>
        </is>
      </c>
      <c r="G171" t="n">
        <v>3.1</v>
      </c>
      <c r="H171" t="n">
        <v>1</v>
      </c>
      <c r="I171" t="n">
        <v>0</v>
      </c>
      <c r="J171" t="n">
        <v>0</v>
      </c>
      <c r="K171" t="n">
        <v>1</v>
      </c>
      <c r="L171" t="n">
        <v>0</v>
      </c>
      <c r="M171" t="n">
        <v>0</v>
      </c>
      <c r="N171" t="n">
        <v>0</v>
      </c>
      <c r="O171" t="n">
        <v>1</v>
      </c>
      <c r="P171" t="n">
        <v>1</v>
      </c>
      <c r="Q171" t="n">
        <v>1</v>
      </c>
      <c r="R171" s="2" t="inlineStr">
        <is>
          <t>Grenigt kungsljus</t>
        </is>
      </c>
      <c r="S171">
        <f>HYPERLINK("https://klasma.github.io/Logging_0980/artfynd/A 65927-2021 artfynd.xlsx", "A 65927-2021")</f>
        <v/>
      </c>
      <c r="T171">
        <f>HYPERLINK("https://klasma.github.io/Logging_0980/kartor/A 65927-2021 karta.png", "A 65927-2021")</f>
        <v/>
      </c>
      <c r="V171">
        <f>HYPERLINK("https://klasma.github.io/Logging_0980/klagomål/A 65927-2021 FSC-klagomål.docx", "A 65927-2021")</f>
        <v/>
      </c>
      <c r="W171">
        <f>HYPERLINK("https://klasma.github.io/Logging_0980/klagomålsmail/A 65927-2021 FSC-klagomål mail.docx", "A 65927-2021")</f>
        <v/>
      </c>
      <c r="X171">
        <f>HYPERLINK("https://klasma.github.io/Logging_0980/tillsyn/A 65927-2021 tillsynsbegäran.docx", "A 65927-2021")</f>
        <v/>
      </c>
      <c r="Y171">
        <f>HYPERLINK("https://klasma.github.io/Logging_0980/tillsynsmail/A 65927-2021 tillsynsbegäran mail.docx", "A 65927-2021")</f>
        <v/>
      </c>
    </row>
    <row r="172" ht="15" customHeight="1">
      <c r="A172" t="inlineStr">
        <is>
          <t>A 10440-2024</t>
        </is>
      </c>
      <c r="B172" s="1" t="n">
        <v>45366.32818287037</v>
      </c>
      <c r="C172" s="1" t="n">
        <v>45997</v>
      </c>
      <c r="D172" t="inlineStr">
        <is>
          <t>GOTLANDS LÄN</t>
        </is>
      </c>
      <c r="E172" t="inlineStr">
        <is>
          <t>GOTLAND</t>
        </is>
      </c>
      <c r="G172" t="n">
        <v>2.5</v>
      </c>
      <c r="H172" t="n">
        <v>1</v>
      </c>
      <c r="I172" t="n">
        <v>0</v>
      </c>
      <c r="J172" t="n">
        <v>1</v>
      </c>
      <c r="K172" t="n">
        <v>0</v>
      </c>
      <c r="L172" t="n">
        <v>0</v>
      </c>
      <c r="M172" t="n">
        <v>0</v>
      </c>
      <c r="N172" t="n">
        <v>0</v>
      </c>
      <c r="O172" t="n">
        <v>1</v>
      </c>
      <c r="P172" t="n">
        <v>0</v>
      </c>
      <c r="Q172" t="n">
        <v>1</v>
      </c>
      <c r="R172" s="2" t="inlineStr">
        <is>
          <t>Mindre hackspett</t>
        </is>
      </c>
      <c r="S172">
        <f>HYPERLINK("https://klasma.github.io/Logging_0980/artfynd/A 10440-2024 artfynd.xlsx", "A 10440-2024")</f>
        <v/>
      </c>
      <c r="T172">
        <f>HYPERLINK("https://klasma.github.io/Logging_0980/kartor/A 10440-2024 karta.png", "A 10440-2024")</f>
        <v/>
      </c>
      <c r="V172">
        <f>HYPERLINK("https://klasma.github.io/Logging_0980/klagomål/A 10440-2024 FSC-klagomål.docx", "A 10440-2024")</f>
        <v/>
      </c>
      <c r="W172">
        <f>HYPERLINK("https://klasma.github.io/Logging_0980/klagomålsmail/A 10440-2024 FSC-klagomål mail.docx", "A 10440-2024")</f>
        <v/>
      </c>
      <c r="X172">
        <f>HYPERLINK("https://klasma.github.io/Logging_0980/tillsyn/A 10440-2024 tillsynsbegäran.docx", "A 10440-2024")</f>
        <v/>
      </c>
      <c r="Y172">
        <f>HYPERLINK("https://klasma.github.io/Logging_0980/tillsynsmail/A 10440-2024 tillsynsbegäran mail.docx", "A 10440-2024")</f>
        <v/>
      </c>
      <c r="Z172">
        <f>HYPERLINK("https://klasma.github.io/Logging_0980/fåglar/A 10440-2024 prioriterade fågelarter.docx", "A 10440-2024")</f>
        <v/>
      </c>
    </row>
    <row r="173" ht="15" customHeight="1">
      <c r="A173" t="inlineStr">
        <is>
          <t>A 12924-2025</t>
        </is>
      </c>
      <c r="B173" s="1" t="n">
        <v>45734</v>
      </c>
      <c r="C173" s="1" t="n">
        <v>45997</v>
      </c>
      <c r="D173" t="inlineStr">
        <is>
          <t>GOTLANDS LÄN</t>
        </is>
      </c>
      <c r="E173" t="inlineStr">
        <is>
          <t>GOTLAND</t>
        </is>
      </c>
      <c r="G173" t="n">
        <v>11.7</v>
      </c>
      <c r="H173" t="n">
        <v>0</v>
      </c>
      <c r="I173" t="n">
        <v>0</v>
      </c>
      <c r="J173" t="n">
        <v>0</v>
      </c>
      <c r="K173" t="n">
        <v>1</v>
      </c>
      <c r="L173" t="n">
        <v>0</v>
      </c>
      <c r="M173" t="n">
        <v>0</v>
      </c>
      <c r="N173" t="n">
        <v>0</v>
      </c>
      <c r="O173" t="n">
        <v>1</v>
      </c>
      <c r="P173" t="n">
        <v>1</v>
      </c>
      <c r="Q173" t="n">
        <v>1</v>
      </c>
      <c r="R173" s="2" t="inlineStr">
        <is>
          <t>Gotlandsmåra</t>
        </is>
      </c>
      <c r="S173">
        <f>HYPERLINK("https://klasma.github.io/Logging_0980/artfynd/A 12924-2025 artfynd.xlsx", "A 12924-2025")</f>
        <v/>
      </c>
      <c r="T173">
        <f>HYPERLINK("https://klasma.github.io/Logging_0980/kartor/A 12924-2025 karta.png", "A 12924-2025")</f>
        <v/>
      </c>
      <c r="V173">
        <f>HYPERLINK("https://klasma.github.io/Logging_0980/klagomål/A 12924-2025 FSC-klagomål.docx", "A 12924-2025")</f>
        <v/>
      </c>
      <c r="W173">
        <f>HYPERLINK("https://klasma.github.io/Logging_0980/klagomålsmail/A 12924-2025 FSC-klagomål mail.docx", "A 12924-2025")</f>
        <v/>
      </c>
      <c r="X173">
        <f>HYPERLINK("https://klasma.github.io/Logging_0980/tillsyn/A 12924-2025 tillsynsbegäran.docx", "A 12924-2025")</f>
        <v/>
      </c>
      <c r="Y173">
        <f>HYPERLINK("https://klasma.github.io/Logging_0980/tillsynsmail/A 12924-2025 tillsynsbegäran mail.docx", "A 12924-2025")</f>
        <v/>
      </c>
    </row>
    <row r="174" ht="15" customHeight="1">
      <c r="A174" t="inlineStr">
        <is>
          <t>A 39812-2025</t>
        </is>
      </c>
      <c r="B174" s="1" t="n">
        <v>45891</v>
      </c>
      <c r="C174" s="1" t="n">
        <v>45997</v>
      </c>
      <c r="D174" t="inlineStr">
        <is>
          <t>GOTLANDS LÄN</t>
        </is>
      </c>
      <c r="E174" t="inlineStr">
        <is>
          <t>GOTLAND</t>
        </is>
      </c>
      <c r="G174" t="n">
        <v>6</v>
      </c>
      <c r="H174" t="n">
        <v>1</v>
      </c>
      <c r="I174" t="n">
        <v>0</v>
      </c>
      <c r="J174" t="n">
        <v>0</v>
      </c>
      <c r="K174" t="n">
        <v>0</v>
      </c>
      <c r="L174" t="n">
        <v>1</v>
      </c>
      <c r="M174" t="n">
        <v>0</v>
      </c>
      <c r="N174" t="n">
        <v>0</v>
      </c>
      <c r="O174" t="n">
        <v>1</v>
      </c>
      <c r="P174" t="n">
        <v>1</v>
      </c>
      <c r="Q174" t="n">
        <v>1</v>
      </c>
      <c r="R174" s="2" t="inlineStr">
        <is>
          <t>Nålkörvel</t>
        </is>
      </c>
      <c r="S174">
        <f>HYPERLINK("https://klasma.github.io/Logging_0980/artfynd/A 39812-2025 artfynd.xlsx", "A 39812-2025")</f>
        <v/>
      </c>
      <c r="T174">
        <f>HYPERLINK("https://klasma.github.io/Logging_0980/kartor/A 39812-2025 karta.png", "A 39812-2025")</f>
        <v/>
      </c>
      <c r="V174">
        <f>HYPERLINK("https://klasma.github.io/Logging_0980/klagomål/A 39812-2025 FSC-klagomål.docx", "A 39812-2025")</f>
        <v/>
      </c>
      <c r="W174">
        <f>HYPERLINK("https://klasma.github.io/Logging_0980/klagomålsmail/A 39812-2025 FSC-klagomål mail.docx", "A 39812-2025")</f>
        <v/>
      </c>
      <c r="X174">
        <f>HYPERLINK("https://klasma.github.io/Logging_0980/tillsyn/A 39812-2025 tillsynsbegäran.docx", "A 39812-2025")</f>
        <v/>
      </c>
      <c r="Y174">
        <f>HYPERLINK("https://klasma.github.io/Logging_0980/tillsynsmail/A 39812-2025 tillsynsbegäran mail.docx", "A 39812-2025")</f>
        <v/>
      </c>
    </row>
    <row r="175" ht="15" customHeight="1">
      <c r="A175" t="inlineStr">
        <is>
          <t>A 61796-2022</t>
        </is>
      </c>
      <c r="B175" s="1" t="n">
        <v>44917</v>
      </c>
      <c r="C175" s="1" t="n">
        <v>45997</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35467-2021</t>
        </is>
      </c>
      <c r="B176" s="1" t="n">
        <v>44385</v>
      </c>
      <c r="C176" s="1" t="n">
        <v>45997</v>
      </c>
      <c r="D176" t="inlineStr">
        <is>
          <t>GOTLANDS LÄN</t>
        </is>
      </c>
      <c r="E176" t="inlineStr">
        <is>
          <t>GOTLAND</t>
        </is>
      </c>
      <c r="G176" t="n">
        <v>12.7</v>
      </c>
      <c r="H176" t="n">
        <v>0</v>
      </c>
      <c r="I176" t="n">
        <v>0</v>
      </c>
      <c r="J176" t="n">
        <v>1</v>
      </c>
      <c r="K176" t="n">
        <v>0</v>
      </c>
      <c r="L176" t="n">
        <v>0</v>
      </c>
      <c r="M176" t="n">
        <v>0</v>
      </c>
      <c r="N176" t="n">
        <v>0</v>
      </c>
      <c r="O176" t="n">
        <v>1</v>
      </c>
      <c r="P176" t="n">
        <v>0</v>
      </c>
      <c r="Q176" t="n">
        <v>1</v>
      </c>
      <c r="R176" s="2" t="inlineStr">
        <is>
          <t>Loppstarr</t>
        </is>
      </c>
      <c r="S176">
        <f>HYPERLINK("https://klasma.github.io/Logging_0980/artfynd/A 35467-2021 artfynd.xlsx", "A 35467-2021")</f>
        <v/>
      </c>
      <c r="T176">
        <f>HYPERLINK("https://klasma.github.io/Logging_0980/kartor/A 35467-2021 karta.png", "A 35467-2021")</f>
        <v/>
      </c>
      <c r="V176">
        <f>HYPERLINK("https://klasma.github.io/Logging_0980/klagomål/A 35467-2021 FSC-klagomål.docx", "A 35467-2021")</f>
        <v/>
      </c>
      <c r="W176">
        <f>HYPERLINK("https://klasma.github.io/Logging_0980/klagomålsmail/A 35467-2021 FSC-klagomål mail.docx", "A 35467-2021")</f>
        <v/>
      </c>
      <c r="X176">
        <f>HYPERLINK("https://klasma.github.io/Logging_0980/tillsyn/A 35467-2021 tillsynsbegäran.docx", "A 35467-2021")</f>
        <v/>
      </c>
      <c r="Y176">
        <f>HYPERLINK("https://klasma.github.io/Logging_0980/tillsynsmail/A 35467-2021 tillsynsbegäran mail.docx", "A 35467-2021")</f>
        <v/>
      </c>
    </row>
    <row r="177" ht="15" customHeight="1">
      <c r="A177" t="inlineStr">
        <is>
          <t>A 44619-2025</t>
        </is>
      </c>
      <c r="B177" s="1" t="n">
        <v>45917</v>
      </c>
      <c r="C177" s="1" t="n">
        <v>45997</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Ögonpyrola</t>
        </is>
      </c>
      <c r="S177">
        <f>HYPERLINK("https://klasma.github.io/Logging_0980/artfynd/A 44619-2025 artfynd.xlsx", "A 44619-2025")</f>
        <v/>
      </c>
      <c r="T177">
        <f>HYPERLINK("https://klasma.github.io/Logging_0980/kartor/A 44619-2025 karta.png", "A 44619-2025")</f>
        <v/>
      </c>
      <c r="V177">
        <f>HYPERLINK("https://klasma.github.io/Logging_0980/klagomål/A 44619-2025 FSC-klagomål.docx", "A 44619-2025")</f>
        <v/>
      </c>
      <c r="W177">
        <f>HYPERLINK("https://klasma.github.io/Logging_0980/klagomålsmail/A 44619-2025 FSC-klagomål mail.docx", "A 44619-2025")</f>
        <v/>
      </c>
      <c r="X177">
        <f>HYPERLINK("https://klasma.github.io/Logging_0980/tillsyn/A 44619-2025 tillsynsbegäran.docx", "A 44619-2025")</f>
        <v/>
      </c>
      <c r="Y177">
        <f>HYPERLINK("https://klasma.github.io/Logging_0980/tillsynsmail/A 44619-2025 tillsynsbegäran mail.docx", "A 44619-2025")</f>
        <v/>
      </c>
    </row>
    <row r="178" ht="15" customHeight="1">
      <c r="A178" t="inlineStr">
        <is>
          <t>A 49726-2025</t>
        </is>
      </c>
      <c r="B178" s="1" t="n">
        <v>45939.84466435185</v>
      </c>
      <c r="C178" s="1" t="n">
        <v>45997</v>
      </c>
      <c r="D178" t="inlineStr">
        <is>
          <t>GOTLANDS LÄN</t>
        </is>
      </c>
      <c r="E178" t="inlineStr">
        <is>
          <t>GOTLAND</t>
        </is>
      </c>
      <c r="F178" t="inlineStr">
        <is>
          <t>Kyrkan</t>
        </is>
      </c>
      <c r="G178" t="n">
        <v>5.4</v>
      </c>
      <c r="H178" t="n">
        <v>0</v>
      </c>
      <c r="I178" t="n">
        <v>0</v>
      </c>
      <c r="J178" t="n">
        <v>1</v>
      </c>
      <c r="K178" t="n">
        <v>0</v>
      </c>
      <c r="L178" t="n">
        <v>0</v>
      </c>
      <c r="M178" t="n">
        <v>0</v>
      </c>
      <c r="N178" t="n">
        <v>0</v>
      </c>
      <c r="O178" t="n">
        <v>1</v>
      </c>
      <c r="P178" t="n">
        <v>0</v>
      </c>
      <c r="Q178" t="n">
        <v>1</v>
      </c>
      <c r="R178" s="2" t="inlineStr">
        <is>
          <t>Odörspindling</t>
        </is>
      </c>
      <c r="S178">
        <f>HYPERLINK("https://klasma.github.io/Logging_0980/artfynd/A 49726-2025 artfynd.xlsx", "A 49726-2025")</f>
        <v/>
      </c>
      <c r="T178">
        <f>HYPERLINK("https://klasma.github.io/Logging_0980/kartor/A 49726-2025 karta.png", "A 49726-2025")</f>
        <v/>
      </c>
      <c r="V178">
        <f>HYPERLINK("https://klasma.github.io/Logging_0980/klagomål/A 49726-2025 FSC-klagomål.docx", "A 49726-2025")</f>
        <v/>
      </c>
      <c r="W178">
        <f>HYPERLINK("https://klasma.github.io/Logging_0980/klagomålsmail/A 49726-2025 FSC-klagomål mail.docx", "A 49726-2025")</f>
        <v/>
      </c>
      <c r="X178">
        <f>HYPERLINK("https://klasma.github.io/Logging_0980/tillsyn/A 49726-2025 tillsynsbegäran.docx", "A 49726-2025")</f>
        <v/>
      </c>
      <c r="Y178">
        <f>HYPERLINK("https://klasma.github.io/Logging_0980/tillsynsmail/A 49726-2025 tillsynsbegäran mail.docx", "A 49726-2025")</f>
        <v/>
      </c>
    </row>
    <row r="179" ht="15" customHeight="1">
      <c r="A179" t="inlineStr">
        <is>
          <t>A 20429-2025</t>
        </is>
      </c>
      <c r="B179" s="1" t="n">
        <v>45775.47728009259</v>
      </c>
      <c r="C179" s="1" t="n">
        <v>45997</v>
      </c>
      <c r="D179" t="inlineStr">
        <is>
          <t>GOTLANDS LÄN</t>
        </is>
      </c>
      <c r="E179" t="inlineStr">
        <is>
          <t>GOTLAND</t>
        </is>
      </c>
      <c r="G179" t="n">
        <v>1.4</v>
      </c>
      <c r="H179" t="n">
        <v>1</v>
      </c>
      <c r="I179" t="n">
        <v>0</v>
      </c>
      <c r="J179" t="n">
        <v>0</v>
      </c>
      <c r="K179" t="n">
        <v>0</v>
      </c>
      <c r="L179" t="n">
        <v>0</v>
      </c>
      <c r="M179" t="n">
        <v>0</v>
      </c>
      <c r="N179" t="n">
        <v>0</v>
      </c>
      <c r="O179" t="n">
        <v>0</v>
      </c>
      <c r="P179" t="n">
        <v>0</v>
      </c>
      <c r="Q179" t="n">
        <v>1</v>
      </c>
      <c r="R179" s="2" t="inlineStr">
        <is>
          <t>Äkta lopplummer</t>
        </is>
      </c>
      <c r="S179">
        <f>HYPERLINK("https://klasma.github.io/Logging_0980/artfynd/A 20429-2025 artfynd.xlsx", "A 20429-2025")</f>
        <v/>
      </c>
      <c r="T179">
        <f>HYPERLINK("https://klasma.github.io/Logging_0980/kartor/A 20429-2025 karta.png", "A 20429-2025")</f>
        <v/>
      </c>
      <c r="V179">
        <f>HYPERLINK("https://klasma.github.io/Logging_0980/klagomål/A 20429-2025 FSC-klagomål.docx", "A 20429-2025")</f>
        <v/>
      </c>
      <c r="W179">
        <f>HYPERLINK("https://klasma.github.io/Logging_0980/klagomålsmail/A 20429-2025 FSC-klagomål mail.docx", "A 20429-2025")</f>
        <v/>
      </c>
      <c r="X179">
        <f>HYPERLINK("https://klasma.github.io/Logging_0980/tillsyn/A 20429-2025 tillsynsbegäran.docx", "A 20429-2025")</f>
        <v/>
      </c>
      <c r="Y179">
        <f>HYPERLINK("https://klasma.github.io/Logging_0980/tillsynsmail/A 20429-2025 tillsynsbegäran mail.docx", "A 20429-2025")</f>
        <v/>
      </c>
    </row>
    <row r="180" ht="15" customHeight="1">
      <c r="A180" t="inlineStr">
        <is>
          <t>A 26461-2025</t>
        </is>
      </c>
      <c r="B180" s="1" t="n">
        <v>45807.43337962963</v>
      </c>
      <c r="C180" s="1" t="n">
        <v>45997</v>
      </c>
      <c r="D180" t="inlineStr">
        <is>
          <t>GOTLANDS LÄN</t>
        </is>
      </c>
      <c r="E180" t="inlineStr">
        <is>
          <t>GOTLAND</t>
        </is>
      </c>
      <c r="G180" t="n">
        <v>4.1</v>
      </c>
      <c r="H180" t="n">
        <v>0</v>
      </c>
      <c r="I180" t="n">
        <v>0</v>
      </c>
      <c r="J180" t="n">
        <v>0</v>
      </c>
      <c r="K180" t="n">
        <v>1</v>
      </c>
      <c r="L180" t="n">
        <v>0</v>
      </c>
      <c r="M180" t="n">
        <v>0</v>
      </c>
      <c r="N180" t="n">
        <v>0</v>
      </c>
      <c r="O180" t="n">
        <v>1</v>
      </c>
      <c r="P180" t="n">
        <v>1</v>
      </c>
      <c r="Q180" t="n">
        <v>1</v>
      </c>
      <c r="R180" s="2" t="inlineStr">
        <is>
          <t>Gotlandsmåra</t>
        </is>
      </c>
      <c r="S180">
        <f>HYPERLINK("https://klasma.github.io/Logging_0980/artfynd/A 26461-2025 artfynd.xlsx", "A 26461-2025")</f>
        <v/>
      </c>
      <c r="T180">
        <f>HYPERLINK("https://klasma.github.io/Logging_0980/kartor/A 26461-2025 karta.png", "A 26461-2025")</f>
        <v/>
      </c>
      <c r="V180">
        <f>HYPERLINK("https://klasma.github.io/Logging_0980/klagomål/A 26461-2025 FSC-klagomål.docx", "A 26461-2025")</f>
        <v/>
      </c>
      <c r="W180">
        <f>HYPERLINK("https://klasma.github.io/Logging_0980/klagomålsmail/A 26461-2025 FSC-klagomål mail.docx", "A 26461-2025")</f>
        <v/>
      </c>
      <c r="X180">
        <f>HYPERLINK("https://klasma.github.io/Logging_0980/tillsyn/A 26461-2025 tillsynsbegäran.docx", "A 26461-2025")</f>
        <v/>
      </c>
      <c r="Y180">
        <f>HYPERLINK("https://klasma.github.io/Logging_0980/tillsynsmail/A 26461-2025 tillsynsbegäran mail.docx", "A 26461-2025")</f>
        <v/>
      </c>
    </row>
    <row r="181" ht="15" customHeight="1">
      <c r="A181" t="inlineStr">
        <is>
          <t>A 34141-2024</t>
        </is>
      </c>
      <c r="B181" s="1" t="n">
        <v>45524.36229166666</v>
      </c>
      <c r="C181" s="1" t="n">
        <v>45997</v>
      </c>
      <c r="D181" t="inlineStr">
        <is>
          <t>GOTLANDS LÄN</t>
        </is>
      </c>
      <c r="E181" t="inlineStr">
        <is>
          <t>GOTLAND</t>
        </is>
      </c>
      <c r="G181" t="n">
        <v>0.9</v>
      </c>
      <c r="H181" t="n">
        <v>0</v>
      </c>
      <c r="I181" t="n">
        <v>1</v>
      </c>
      <c r="J181" t="n">
        <v>0</v>
      </c>
      <c r="K181" t="n">
        <v>0</v>
      </c>
      <c r="L181" t="n">
        <v>0</v>
      </c>
      <c r="M181" t="n">
        <v>0</v>
      </c>
      <c r="N181" t="n">
        <v>0</v>
      </c>
      <c r="O181" t="n">
        <v>0</v>
      </c>
      <c r="P181" t="n">
        <v>0</v>
      </c>
      <c r="Q181" t="n">
        <v>1</v>
      </c>
      <c r="R181" s="2" t="inlineStr">
        <is>
          <t>Strävlosta</t>
        </is>
      </c>
      <c r="S181">
        <f>HYPERLINK("https://klasma.github.io/Logging_0980/artfynd/A 34141-2024 artfynd.xlsx", "A 34141-2024")</f>
        <v/>
      </c>
      <c r="T181">
        <f>HYPERLINK("https://klasma.github.io/Logging_0980/kartor/A 34141-2024 karta.png", "A 34141-2024")</f>
        <v/>
      </c>
      <c r="V181">
        <f>HYPERLINK("https://klasma.github.io/Logging_0980/klagomål/A 34141-2024 FSC-klagomål.docx", "A 34141-2024")</f>
        <v/>
      </c>
      <c r="W181">
        <f>HYPERLINK("https://klasma.github.io/Logging_0980/klagomålsmail/A 34141-2024 FSC-klagomål mail.docx", "A 34141-2024")</f>
        <v/>
      </c>
      <c r="X181">
        <f>HYPERLINK("https://klasma.github.io/Logging_0980/tillsyn/A 34141-2024 tillsynsbegäran.docx", "A 34141-2024")</f>
        <v/>
      </c>
      <c r="Y181">
        <f>HYPERLINK("https://klasma.github.io/Logging_0980/tillsynsmail/A 34141-2024 tillsynsbegäran mail.docx", "A 34141-2024")</f>
        <v/>
      </c>
    </row>
    <row r="182" ht="15" customHeight="1">
      <c r="A182" t="inlineStr">
        <is>
          <t>A 9862-2024</t>
        </is>
      </c>
      <c r="B182" s="1" t="n">
        <v>45363</v>
      </c>
      <c r="C182" s="1" t="n">
        <v>45997</v>
      </c>
      <c r="D182" t="inlineStr">
        <is>
          <t>GOTLANDS LÄN</t>
        </is>
      </c>
      <c r="E182" t="inlineStr">
        <is>
          <t>GOTLAND</t>
        </is>
      </c>
      <c r="G182" t="n">
        <v>3.5</v>
      </c>
      <c r="H182" t="n">
        <v>1</v>
      </c>
      <c r="I182" t="n">
        <v>0</v>
      </c>
      <c r="J182" t="n">
        <v>0</v>
      </c>
      <c r="K182" t="n">
        <v>0</v>
      </c>
      <c r="L182" t="n">
        <v>0</v>
      </c>
      <c r="M182" t="n">
        <v>0</v>
      </c>
      <c r="N182" t="n">
        <v>0</v>
      </c>
      <c r="O182" t="n">
        <v>0</v>
      </c>
      <c r="P182" t="n">
        <v>0</v>
      </c>
      <c r="Q182" t="n">
        <v>1</v>
      </c>
      <c r="R182" s="2" t="inlineStr">
        <is>
          <t>Nattviol</t>
        </is>
      </c>
      <c r="S182">
        <f>HYPERLINK("https://klasma.github.io/Logging_0980/artfynd/A 9862-2024 artfynd.xlsx", "A 9862-2024")</f>
        <v/>
      </c>
      <c r="T182">
        <f>HYPERLINK("https://klasma.github.io/Logging_0980/kartor/A 9862-2024 karta.png", "A 9862-2024")</f>
        <v/>
      </c>
      <c r="V182">
        <f>HYPERLINK("https://klasma.github.io/Logging_0980/klagomål/A 9862-2024 FSC-klagomål.docx", "A 9862-2024")</f>
        <v/>
      </c>
      <c r="W182">
        <f>HYPERLINK("https://klasma.github.io/Logging_0980/klagomålsmail/A 9862-2024 FSC-klagomål mail.docx", "A 9862-2024")</f>
        <v/>
      </c>
      <c r="X182">
        <f>HYPERLINK("https://klasma.github.io/Logging_0980/tillsyn/A 9862-2024 tillsynsbegäran.docx", "A 9862-2024")</f>
        <v/>
      </c>
      <c r="Y182">
        <f>HYPERLINK("https://klasma.github.io/Logging_0980/tillsynsmail/A 9862-2024 tillsynsbegäran mail.docx", "A 9862-2024")</f>
        <v/>
      </c>
    </row>
    <row r="183" ht="15" customHeight="1">
      <c r="A183" t="inlineStr">
        <is>
          <t>A 15637-2024</t>
        </is>
      </c>
      <c r="B183" s="1" t="n">
        <v>45403.6684837963</v>
      </c>
      <c r="C183" s="1" t="n">
        <v>45997</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2476-2025</t>
        </is>
      </c>
      <c r="B184" s="1" t="n">
        <v>45673</v>
      </c>
      <c r="C184" s="1" t="n">
        <v>45997</v>
      </c>
      <c r="D184" t="inlineStr">
        <is>
          <t>GOTLANDS LÄN</t>
        </is>
      </c>
      <c r="E184" t="inlineStr">
        <is>
          <t>GOTLAND</t>
        </is>
      </c>
      <c r="G184" t="n">
        <v>3.1</v>
      </c>
      <c r="H184" t="n">
        <v>0</v>
      </c>
      <c r="I184" t="n">
        <v>1</v>
      </c>
      <c r="J184" t="n">
        <v>0</v>
      </c>
      <c r="K184" t="n">
        <v>0</v>
      </c>
      <c r="L184" t="n">
        <v>0</v>
      </c>
      <c r="M184" t="n">
        <v>0</v>
      </c>
      <c r="N184" t="n">
        <v>0</v>
      </c>
      <c r="O184" t="n">
        <v>0</v>
      </c>
      <c r="P184" t="n">
        <v>0</v>
      </c>
      <c r="Q184" t="n">
        <v>1</v>
      </c>
      <c r="R184" s="2" t="inlineStr">
        <is>
          <t>Kryddspindling</t>
        </is>
      </c>
      <c r="S184">
        <f>HYPERLINK("https://klasma.github.io/Logging_0980/artfynd/A 2476-2025 artfynd.xlsx", "A 2476-2025")</f>
        <v/>
      </c>
      <c r="T184">
        <f>HYPERLINK("https://klasma.github.io/Logging_0980/kartor/A 2476-2025 karta.png", "A 2476-2025")</f>
        <v/>
      </c>
      <c r="V184">
        <f>HYPERLINK("https://klasma.github.io/Logging_0980/klagomål/A 2476-2025 FSC-klagomål.docx", "A 2476-2025")</f>
        <v/>
      </c>
      <c r="W184">
        <f>HYPERLINK("https://klasma.github.io/Logging_0980/klagomålsmail/A 2476-2025 FSC-klagomål mail.docx", "A 2476-2025")</f>
        <v/>
      </c>
      <c r="X184">
        <f>HYPERLINK("https://klasma.github.io/Logging_0980/tillsyn/A 2476-2025 tillsynsbegäran.docx", "A 2476-2025")</f>
        <v/>
      </c>
      <c r="Y184">
        <f>HYPERLINK("https://klasma.github.io/Logging_0980/tillsynsmail/A 2476-2025 tillsynsbegäran mail.docx", "A 2476-2025")</f>
        <v/>
      </c>
    </row>
    <row r="185" ht="15" customHeight="1">
      <c r="A185" t="inlineStr">
        <is>
          <t>A 10995-2023</t>
        </is>
      </c>
      <c r="B185" s="1" t="n">
        <v>44986</v>
      </c>
      <c r="C185" s="1" t="n">
        <v>45997</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62552-2022</t>
        </is>
      </c>
      <c r="B186" s="1" t="n">
        <v>44924</v>
      </c>
      <c r="C186" s="1" t="n">
        <v>45997</v>
      </c>
      <c r="D186" t="inlineStr">
        <is>
          <t>GOTLANDS LÄN</t>
        </is>
      </c>
      <c r="E186" t="inlineStr">
        <is>
          <t>GOTLAND</t>
        </is>
      </c>
      <c r="G186" t="n">
        <v>1.6</v>
      </c>
      <c r="H186" t="n">
        <v>0</v>
      </c>
      <c r="I186" t="n">
        <v>0</v>
      </c>
      <c r="J186" t="n">
        <v>1</v>
      </c>
      <c r="K186" t="n">
        <v>0</v>
      </c>
      <c r="L186" t="n">
        <v>0</v>
      </c>
      <c r="M186" t="n">
        <v>0</v>
      </c>
      <c r="N186" t="n">
        <v>0</v>
      </c>
      <c r="O186" t="n">
        <v>1</v>
      </c>
      <c r="P186" t="n">
        <v>0</v>
      </c>
      <c r="Q186" t="n">
        <v>1</v>
      </c>
      <c r="R186" s="2" t="inlineStr">
        <is>
          <t>Äggspindling</t>
        </is>
      </c>
      <c r="S186">
        <f>HYPERLINK("https://klasma.github.io/Logging_0980/artfynd/A 62552-2022 artfynd.xlsx", "A 62552-2022")</f>
        <v/>
      </c>
      <c r="T186">
        <f>HYPERLINK("https://klasma.github.io/Logging_0980/kartor/A 62552-2022 karta.png", "A 62552-2022")</f>
        <v/>
      </c>
      <c r="V186">
        <f>HYPERLINK("https://klasma.github.io/Logging_0980/klagomål/A 62552-2022 FSC-klagomål.docx", "A 62552-2022")</f>
        <v/>
      </c>
      <c r="W186">
        <f>HYPERLINK("https://klasma.github.io/Logging_0980/klagomålsmail/A 62552-2022 FSC-klagomål mail.docx", "A 62552-2022")</f>
        <v/>
      </c>
      <c r="X186">
        <f>HYPERLINK("https://klasma.github.io/Logging_0980/tillsyn/A 62552-2022 tillsynsbegäran.docx", "A 62552-2022")</f>
        <v/>
      </c>
      <c r="Y186">
        <f>HYPERLINK("https://klasma.github.io/Logging_0980/tillsynsmail/A 62552-2022 tillsynsbegäran mail.docx", "A 62552-2022")</f>
        <v/>
      </c>
    </row>
    <row r="187" ht="15" customHeight="1">
      <c r="A187" t="inlineStr">
        <is>
          <t>A 44088-2022</t>
        </is>
      </c>
      <c r="B187" s="1" t="n">
        <v>44839</v>
      </c>
      <c r="C187" s="1" t="n">
        <v>45997</v>
      </c>
      <c r="D187" t="inlineStr">
        <is>
          <t>GOTLANDS LÄN</t>
        </is>
      </c>
      <c r="E187" t="inlineStr">
        <is>
          <t>GOTLAND</t>
        </is>
      </c>
      <c r="G187" t="n">
        <v>1.5</v>
      </c>
      <c r="H187" t="n">
        <v>0</v>
      </c>
      <c r="I187" t="n">
        <v>1</v>
      </c>
      <c r="J187" t="n">
        <v>0</v>
      </c>
      <c r="K187" t="n">
        <v>0</v>
      </c>
      <c r="L187" t="n">
        <v>0</v>
      </c>
      <c r="M187" t="n">
        <v>0</v>
      </c>
      <c r="N187" t="n">
        <v>0</v>
      </c>
      <c r="O187" t="n">
        <v>0</v>
      </c>
      <c r="P187" t="n">
        <v>0</v>
      </c>
      <c r="Q187" t="n">
        <v>1</v>
      </c>
      <c r="R187" s="2" t="inlineStr">
        <is>
          <t>Strävlosta</t>
        </is>
      </c>
      <c r="S187">
        <f>HYPERLINK("https://klasma.github.io/Logging_0980/artfynd/A 44088-2022 artfynd.xlsx", "A 44088-2022")</f>
        <v/>
      </c>
      <c r="T187">
        <f>HYPERLINK("https://klasma.github.io/Logging_0980/kartor/A 44088-2022 karta.png", "A 44088-2022")</f>
        <v/>
      </c>
      <c r="V187">
        <f>HYPERLINK("https://klasma.github.io/Logging_0980/klagomål/A 44088-2022 FSC-klagomål.docx", "A 44088-2022")</f>
        <v/>
      </c>
      <c r="W187">
        <f>HYPERLINK("https://klasma.github.io/Logging_0980/klagomålsmail/A 44088-2022 FSC-klagomål mail.docx", "A 44088-2022")</f>
        <v/>
      </c>
      <c r="X187">
        <f>HYPERLINK("https://klasma.github.io/Logging_0980/tillsyn/A 44088-2022 tillsynsbegäran.docx", "A 44088-2022")</f>
        <v/>
      </c>
      <c r="Y187">
        <f>HYPERLINK("https://klasma.github.io/Logging_0980/tillsynsmail/A 44088-2022 tillsynsbegäran mail.docx", "A 44088-2022")</f>
        <v/>
      </c>
    </row>
    <row r="188" ht="15" customHeight="1">
      <c r="A188" t="inlineStr">
        <is>
          <t>A 19901-2021</t>
        </is>
      </c>
      <c r="B188" s="1" t="n">
        <v>44312</v>
      </c>
      <c r="C188" s="1" t="n">
        <v>45997</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45997</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45997</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45997</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45997</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45997</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45997</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45997</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45997</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45997</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45997</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45997</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45997</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45997</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58815-2021</t>
        </is>
      </c>
      <c r="B202" s="1" t="n">
        <v>44489</v>
      </c>
      <c r="C202" s="1" t="n">
        <v>45997</v>
      </c>
      <c r="D202" t="inlineStr">
        <is>
          <t>GOTLANDS LÄN</t>
        </is>
      </c>
      <c r="E202" t="inlineStr">
        <is>
          <t>GOTLAND</t>
        </is>
      </c>
      <c r="G202" t="n">
        <v>4.1</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45997</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45997</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45997</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45997</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22155-2021</t>
        </is>
      </c>
      <c r="B207" s="1" t="n">
        <v>44325.49369212963</v>
      </c>
      <c r="C207" s="1" t="n">
        <v>45997</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45997</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11402-2021</t>
        </is>
      </c>
      <c r="B209" s="1" t="n">
        <v>44263</v>
      </c>
      <c r="C209" s="1" t="n">
        <v>45997</v>
      </c>
      <c r="D209" t="inlineStr">
        <is>
          <t>GOTLANDS LÄN</t>
        </is>
      </c>
      <c r="E209" t="inlineStr">
        <is>
          <t>GOTLAND</t>
        </is>
      </c>
      <c r="G209" t="n">
        <v>2.9</v>
      </c>
      <c r="H209" t="n">
        <v>0</v>
      </c>
      <c r="I209" t="n">
        <v>0</v>
      </c>
      <c r="J209" t="n">
        <v>0</v>
      </c>
      <c r="K209" t="n">
        <v>0</v>
      </c>
      <c r="L209" t="n">
        <v>0</v>
      </c>
      <c r="M209" t="n">
        <v>0</v>
      </c>
      <c r="N209" t="n">
        <v>0</v>
      </c>
      <c r="O209" t="n">
        <v>0</v>
      </c>
      <c r="P209" t="n">
        <v>0</v>
      </c>
      <c r="Q209" t="n">
        <v>0</v>
      </c>
      <c r="R209" s="2" t="inlineStr"/>
    </row>
    <row r="210" ht="15" customHeight="1">
      <c r="A210" t="inlineStr">
        <is>
          <t>A 19892-2021</t>
        </is>
      </c>
      <c r="B210" s="1" t="n">
        <v>44312</v>
      </c>
      <c r="C210" s="1" t="n">
        <v>45997</v>
      </c>
      <c r="D210" t="inlineStr">
        <is>
          <t>GOTLANDS LÄN</t>
        </is>
      </c>
      <c r="E210" t="inlineStr">
        <is>
          <t>GOTLAND</t>
        </is>
      </c>
      <c r="G210" t="n">
        <v>5.3</v>
      </c>
      <c r="H210" t="n">
        <v>0</v>
      </c>
      <c r="I210" t="n">
        <v>0</v>
      </c>
      <c r="J210" t="n">
        <v>0</v>
      </c>
      <c r="K210" t="n">
        <v>0</v>
      </c>
      <c r="L210" t="n">
        <v>0</v>
      </c>
      <c r="M210" t="n">
        <v>0</v>
      </c>
      <c r="N210" t="n">
        <v>0</v>
      </c>
      <c r="O210" t="n">
        <v>0</v>
      </c>
      <c r="P210" t="n">
        <v>0</v>
      </c>
      <c r="Q210" t="n">
        <v>0</v>
      </c>
      <c r="R210" s="2" t="inlineStr"/>
    </row>
    <row r="211" ht="15" customHeight="1">
      <c r="A211" t="inlineStr">
        <is>
          <t>A 39909-2021</t>
        </is>
      </c>
      <c r="B211" s="1" t="n">
        <v>44417.82444444444</v>
      </c>
      <c r="C211" s="1" t="n">
        <v>45997</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22498-2022</t>
        </is>
      </c>
      <c r="B212" s="1" t="n">
        <v>44713.64682870371</v>
      </c>
      <c r="C212" s="1" t="n">
        <v>45997</v>
      </c>
      <c r="D212" t="inlineStr">
        <is>
          <t>GOTLANDS LÄN</t>
        </is>
      </c>
      <c r="E212" t="inlineStr">
        <is>
          <t>GOTLAND</t>
        </is>
      </c>
      <c r="G212" t="n">
        <v>0.7</v>
      </c>
      <c r="H212" t="n">
        <v>0</v>
      </c>
      <c r="I212" t="n">
        <v>0</v>
      </c>
      <c r="J212" t="n">
        <v>0</v>
      </c>
      <c r="K212" t="n">
        <v>0</v>
      </c>
      <c r="L212" t="n">
        <v>0</v>
      </c>
      <c r="M212" t="n">
        <v>0</v>
      </c>
      <c r="N212" t="n">
        <v>0</v>
      </c>
      <c r="O212" t="n">
        <v>0</v>
      </c>
      <c r="P212" t="n">
        <v>0</v>
      </c>
      <c r="Q212" t="n">
        <v>0</v>
      </c>
      <c r="R212" s="2" t="inlineStr"/>
    </row>
    <row r="213" ht="15" customHeight="1">
      <c r="A213" t="inlineStr">
        <is>
          <t>A 71010-2021</t>
        </is>
      </c>
      <c r="B213" s="1" t="n">
        <v>44538.63775462963</v>
      </c>
      <c r="C213" s="1" t="n">
        <v>45997</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45997</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44942-2022</t>
        </is>
      </c>
      <c r="B215" s="1" t="n">
        <v>44841</v>
      </c>
      <c r="C215" s="1" t="n">
        <v>45997</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45997</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30055-2021</t>
        </is>
      </c>
      <c r="B217" s="1" t="n">
        <v>44363</v>
      </c>
      <c r="C217" s="1" t="n">
        <v>45997</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45997</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45997</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45997</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14413-2022</t>
        </is>
      </c>
      <c r="B221" s="1" t="n">
        <v>44652</v>
      </c>
      <c r="C221" s="1" t="n">
        <v>45997</v>
      </c>
      <c r="D221" t="inlineStr">
        <is>
          <t>GOTLANDS LÄN</t>
        </is>
      </c>
      <c r="E221" t="inlineStr">
        <is>
          <t>GOTLAND</t>
        </is>
      </c>
      <c r="G221" t="n">
        <v>3.1</v>
      </c>
      <c r="H221" t="n">
        <v>0</v>
      </c>
      <c r="I221" t="n">
        <v>0</v>
      </c>
      <c r="J221" t="n">
        <v>0</v>
      </c>
      <c r="K221" t="n">
        <v>0</v>
      </c>
      <c r="L221" t="n">
        <v>0</v>
      </c>
      <c r="M221" t="n">
        <v>0</v>
      </c>
      <c r="N221" t="n">
        <v>0</v>
      </c>
      <c r="O221" t="n">
        <v>0</v>
      </c>
      <c r="P221" t="n">
        <v>0</v>
      </c>
      <c r="Q221" t="n">
        <v>0</v>
      </c>
      <c r="R221" s="2" t="inlineStr"/>
    </row>
    <row r="222" ht="15" customHeight="1">
      <c r="A222" t="inlineStr">
        <is>
          <t>A 17920-2021</t>
        </is>
      </c>
      <c r="B222" s="1" t="n">
        <v>44301</v>
      </c>
      <c r="C222" s="1" t="n">
        <v>45997</v>
      </c>
      <c r="D222" t="inlineStr">
        <is>
          <t>GOTLANDS LÄN</t>
        </is>
      </c>
      <c r="E222" t="inlineStr">
        <is>
          <t>GOTLAND</t>
        </is>
      </c>
      <c r="G222" t="n">
        <v>1.7</v>
      </c>
      <c r="H222" t="n">
        <v>0</v>
      </c>
      <c r="I222" t="n">
        <v>0</v>
      </c>
      <c r="J222" t="n">
        <v>0</v>
      </c>
      <c r="K222" t="n">
        <v>0</v>
      </c>
      <c r="L222" t="n">
        <v>0</v>
      </c>
      <c r="M222" t="n">
        <v>0</v>
      </c>
      <c r="N222" t="n">
        <v>0</v>
      </c>
      <c r="O222" t="n">
        <v>0</v>
      </c>
      <c r="P222" t="n">
        <v>0</v>
      </c>
      <c r="Q222" t="n">
        <v>0</v>
      </c>
      <c r="R222" s="2" t="inlineStr"/>
    </row>
    <row r="223" ht="15" customHeight="1">
      <c r="A223" t="inlineStr">
        <is>
          <t>A 8700-2021</t>
        </is>
      </c>
      <c r="B223" s="1" t="n">
        <v>44246</v>
      </c>
      <c r="C223" s="1" t="n">
        <v>45997</v>
      </c>
      <c r="D223" t="inlineStr">
        <is>
          <t>GOTLANDS LÄN</t>
        </is>
      </c>
      <c r="E223" t="inlineStr">
        <is>
          <t>GOTLAND</t>
        </is>
      </c>
      <c r="G223" t="n">
        <v>0.1</v>
      </c>
      <c r="H223" t="n">
        <v>0</v>
      </c>
      <c r="I223" t="n">
        <v>0</v>
      </c>
      <c r="J223" t="n">
        <v>0</v>
      </c>
      <c r="K223" t="n">
        <v>0</v>
      </c>
      <c r="L223" t="n">
        <v>0</v>
      </c>
      <c r="M223" t="n">
        <v>0</v>
      </c>
      <c r="N223" t="n">
        <v>0</v>
      </c>
      <c r="O223" t="n">
        <v>0</v>
      </c>
      <c r="P223" t="n">
        <v>0</v>
      </c>
      <c r="Q223" t="n">
        <v>0</v>
      </c>
      <c r="R223" s="2" t="inlineStr"/>
    </row>
    <row r="224" ht="15" customHeight="1">
      <c r="A224" t="inlineStr">
        <is>
          <t>A 47369-2021</t>
        </is>
      </c>
      <c r="B224" s="1" t="n">
        <v>44447</v>
      </c>
      <c r="C224" s="1" t="n">
        <v>45997</v>
      </c>
      <c r="D224" t="inlineStr">
        <is>
          <t>GOTLANDS LÄN</t>
        </is>
      </c>
      <c r="E224" t="inlineStr">
        <is>
          <t>GOTLAND</t>
        </is>
      </c>
      <c r="G224" t="n">
        <v>2.3</v>
      </c>
      <c r="H224" t="n">
        <v>0</v>
      </c>
      <c r="I224" t="n">
        <v>0</v>
      </c>
      <c r="J224" t="n">
        <v>0</v>
      </c>
      <c r="K224" t="n">
        <v>0</v>
      </c>
      <c r="L224" t="n">
        <v>0</v>
      </c>
      <c r="M224" t="n">
        <v>0</v>
      </c>
      <c r="N224" t="n">
        <v>0</v>
      </c>
      <c r="O224" t="n">
        <v>0</v>
      </c>
      <c r="P224" t="n">
        <v>0</v>
      </c>
      <c r="Q224" t="n">
        <v>0</v>
      </c>
      <c r="R224" s="2" t="inlineStr"/>
    </row>
    <row r="225" ht="15" customHeight="1">
      <c r="A225" t="inlineStr">
        <is>
          <t>A 12318-2021</t>
        </is>
      </c>
      <c r="B225" s="1" t="n">
        <v>44266</v>
      </c>
      <c r="C225" s="1" t="n">
        <v>45997</v>
      </c>
      <c r="D225" t="inlineStr">
        <is>
          <t>GOTLANDS LÄN</t>
        </is>
      </c>
      <c r="E225" t="inlineStr">
        <is>
          <t>GOTLAND</t>
        </is>
      </c>
      <c r="G225" t="n">
        <v>1</v>
      </c>
      <c r="H225" t="n">
        <v>0</v>
      </c>
      <c r="I225" t="n">
        <v>0</v>
      </c>
      <c r="J225" t="n">
        <v>0</v>
      </c>
      <c r="K225" t="n">
        <v>0</v>
      </c>
      <c r="L225" t="n">
        <v>0</v>
      </c>
      <c r="M225" t="n">
        <v>0</v>
      </c>
      <c r="N225" t="n">
        <v>0</v>
      </c>
      <c r="O225" t="n">
        <v>0</v>
      </c>
      <c r="P225" t="n">
        <v>0</v>
      </c>
      <c r="Q225" t="n">
        <v>0</v>
      </c>
      <c r="R225" s="2" t="inlineStr"/>
    </row>
    <row r="226" ht="15" customHeight="1">
      <c r="A226" t="inlineStr">
        <is>
          <t>A 17354-2022</t>
        </is>
      </c>
      <c r="B226" s="1" t="n">
        <v>44678</v>
      </c>
      <c r="C226" s="1" t="n">
        <v>45997</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11029-2022</t>
        </is>
      </c>
      <c r="B227" s="1" t="n">
        <v>44628</v>
      </c>
      <c r="C227" s="1" t="n">
        <v>45997</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15127-2021</t>
        </is>
      </c>
      <c r="B228" s="1" t="n">
        <v>44283</v>
      </c>
      <c r="C228" s="1" t="n">
        <v>45997</v>
      </c>
      <c r="D228" t="inlineStr">
        <is>
          <t>GOTLANDS LÄN</t>
        </is>
      </c>
      <c r="E228" t="inlineStr">
        <is>
          <t>GOTLAND</t>
        </is>
      </c>
      <c r="G228" t="n">
        <v>0.4</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45997</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31239-2022</t>
        </is>
      </c>
      <c r="B230" s="1" t="n">
        <v>44771.49383101852</v>
      </c>
      <c r="C230" s="1" t="n">
        <v>45997</v>
      </c>
      <c r="D230" t="inlineStr">
        <is>
          <t>GOTLANDS LÄN</t>
        </is>
      </c>
      <c r="E230" t="inlineStr">
        <is>
          <t>GOTLAND</t>
        </is>
      </c>
      <c r="G230" t="n">
        <v>1.9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45997</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13498-2022</t>
        </is>
      </c>
      <c r="B232" s="1" t="n">
        <v>44647.78866898148</v>
      </c>
      <c r="C232" s="1" t="n">
        <v>45997</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13500-2022</t>
        </is>
      </c>
      <c r="B233" s="1" t="n">
        <v>44647.79513888889</v>
      </c>
      <c r="C233" s="1" t="n">
        <v>45997</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58224-2021</t>
        </is>
      </c>
      <c r="B234" s="1" t="n">
        <v>44487</v>
      </c>
      <c r="C234" s="1" t="n">
        <v>45997</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1229-2021</t>
        </is>
      </c>
      <c r="B235" s="1" t="n">
        <v>44208</v>
      </c>
      <c r="C235" s="1" t="n">
        <v>45997</v>
      </c>
      <c r="D235" t="inlineStr">
        <is>
          <t>GOTLANDS LÄN</t>
        </is>
      </c>
      <c r="E235" t="inlineStr">
        <is>
          <t>GOTLAND</t>
        </is>
      </c>
      <c r="G235" t="n">
        <v>5.3</v>
      </c>
      <c r="H235" t="n">
        <v>0</v>
      </c>
      <c r="I235" t="n">
        <v>0</v>
      </c>
      <c r="J235" t="n">
        <v>0</v>
      </c>
      <c r="K235" t="n">
        <v>0</v>
      </c>
      <c r="L235" t="n">
        <v>0</v>
      </c>
      <c r="M235" t="n">
        <v>0</v>
      </c>
      <c r="N235" t="n">
        <v>0</v>
      </c>
      <c r="O235" t="n">
        <v>0</v>
      </c>
      <c r="P235" t="n">
        <v>0</v>
      </c>
      <c r="Q235" t="n">
        <v>0</v>
      </c>
      <c r="R235" s="2" t="inlineStr"/>
    </row>
    <row r="236" ht="15" customHeight="1">
      <c r="A236" t="inlineStr">
        <is>
          <t>A 3271-2021</t>
        </is>
      </c>
      <c r="B236" s="1" t="n">
        <v>44217</v>
      </c>
      <c r="C236" s="1" t="n">
        <v>45997</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45997</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45997</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45997</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52892-2021</t>
        </is>
      </c>
      <c r="B240" s="1" t="n">
        <v>44467.49048611111</v>
      </c>
      <c r="C240" s="1" t="n">
        <v>45997</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30282-2022</t>
        </is>
      </c>
      <c r="B241" s="1" t="n">
        <v>44760</v>
      </c>
      <c r="C241" s="1" t="n">
        <v>45997</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4868-2024</t>
        </is>
      </c>
      <c r="B242" s="1" t="n">
        <v>45329</v>
      </c>
      <c r="C242" s="1" t="n">
        <v>45997</v>
      </c>
      <c r="D242" t="inlineStr">
        <is>
          <t>GOTLANDS LÄN</t>
        </is>
      </c>
      <c r="E242" t="inlineStr">
        <is>
          <t>GOTLAND</t>
        </is>
      </c>
      <c r="G242" t="n">
        <v>7.1</v>
      </c>
      <c r="H242" t="n">
        <v>0</v>
      </c>
      <c r="I242" t="n">
        <v>0</v>
      </c>
      <c r="J242" t="n">
        <v>0</v>
      </c>
      <c r="K242" t="n">
        <v>0</v>
      </c>
      <c r="L242" t="n">
        <v>0</v>
      </c>
      <c r="M242" t="n">
        <v>0</v>
      </c>
      <c r="N242" t="n">
        <v>0</v>
      </c>
      <c r="O242" t="n">
        <v>0</v>
      </c>
      <c r="P242" t="n">
        <v>0</v>
      </c>
      <c r="Q242" t="n">
        <v>0</v>
      </c>
      <c r="R242" s="2" t="inlineStr"/>
    </row>
    <row r="243" ht="15" customHeight="1">
      <c r="A243" t="inlineStr">
        <is>
          <t>A 46396-2023</t>
        </is>
      </c>
      <c r="B243" s="1" t="n">
        <v>45197</v>
      </c>
      <c r="C243" s="1" t="n">
        <v>45997</v>
      </c>
      <c r="D243" t="inlineStr">
        <is>
          <t>GOTLANDS LÄN</t>
        </is>
      </c>
      <c r="E243" t="inlineStr">
        <is>
          <t>GOTLAND</t>
        </is>
      </c>
      <c r="G243" t="n">
        <v>1.4</v>
      </c>
      <c r="H243" t="n">
        <v>0</v>
      </c>
      <c r="I243" t="n">
        <v>0</v>
      </c>
      <c r="J243" t="n">
        <v>0</v>
      </c>
      <c r="K243" t="n">
        <v>0</v>
      </c>
      <c r="L243" t="n">
        <v>0</v>
      </c>
      <c r="M243" t="n">
        <v>0</v>
      </c>
      <c r="N243" t="n">
        <v>0</v>
      </c>
      <c r="O243" t="n">
        <v>0</v>
      </c>
      <c r="P243" t="n">
        <v>0</v>
      </c>
      <c r="Q243" t="n">
        <v>0</v>
      </c>
      <c r="R243" s="2" t="inlineStr"/>
    </row>
    <row r="244" ht="15" customHeight="1">
      <c r="A244" t="inlineStr">
        <is>
          <t>A 32330-2024</t>
        </is>
      </c>
      <c r="B244" s="1" t="n">
        <v>45512</v>
      </c>
      <c r="C244" s="1" t="n">
        <v>45997</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9613-2025</t>
        </is>
      </c>
      <c r="B245" s="1" t="n">
        <v>45715</v>
      </c>
      <c r="C245" s="1" t="n">
        <v>45997</v>
      </c>
      <c r="D245" t="inlineStr">
        <is>
          <t>GOTLANDS LÄN</t>
        </is>
      </c>
      <c r="E245" t="inlineStr">
        <is>
          <t>GOTLAND</t>
        </is>
      </c>
      <c r="G245" t="n">
        <v>3.5</v>
      </c>
      <c r="H245" t="n">
        <v>0</v>
      </c>
      <c r="I245" t="n">
        <v>0</v>
      </c>
      <c r="J245" t="n">
        <v>0</v>
      </c>
      <c r="K245" t="n">
        <v>0</v>
      </c>
      <c r="L245" t="n">
        <v>0</v>
      </c>
      <c r="M245" t="n">
        <v>0</v>
      </c>
      <c r="N245" t="n">
        <v>0</v>
      </c>
      <c r="O245" t="n">
        <v>0</v>
      </c>
      <c r="P245" t="n">
        <v>0</v>
      </c>
      <c r="Q245" t="n">
        <v>0</v>
      </c>
      <c r="R245" s="2" t="inlineStr"/>
    </row>
    <row r="246" ht="15" customHeight="1">
      <c r="A246" t="inlineStr">
        <is>
          <t>A 15595-2024</t>
        </is>
      </c>
      <c r="B246" s="1" t="n">
        <v>45401.81480324074</v>
      </c>
      <c r="C246" s="1" t="n">
        <v>45997</v>
      </c>
      <c r="D246" t="inlineStr">
        <is>
          <t>GOTLANDS LÄN</t>
        </is>
      </c>
      <c r="E246" t="inlineStr">
        <is>
          <t>GOTLAND</t>
        </is>
      </c>
      <c r="G246" t="n">
        <v>6.4</v>
      </c>
      <c r="H246" t="n">
        <v>0</v>
      </c>
      <c r="I246" t="n">
        <v>0</v>
      </c>
      <c r="J246" t="n">
        <v>0</v>
      </c>
      <c r="K246" t="n">
        <v>0</v>
      </c>
      <c r="L246" t="n">
        <v>0</v>
      </c>
      <c r="M246" t="n">
        <v>0</v>
      </c>
      <c r="N246" t="n">
        <v>0</v>
      </c>
      <c r="O246" t="n">
        <v>0</v>
      </c>
      <c r="P246" t="n">
        <v>0</v>
      </c>
      <c r="Q246" t="n">
        <v>0</v>
      </c>
      <c r="R246" s="2" t="inlineStr"/>
    </row>
    <row r="247" ht="15" customHeight="1">
      <c r="A247" t="inlineStr">
        <is>
          <t>A 17724-2024</t>
        </is>
      </c>
      <c r="B247" s="1" t="n">
        <v>45418.55096064815</v>
      </c>
      <c r="C247" s="1" t="n">
        <v>45997</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5751-2024</t>
        </is>
      </c>
      <c r="B248" s="1" t="n">
        <v>45335.32702546296</v>
      </c>
      <c r="C248" s="1" t="n">
        <v>45997</v>
      </c>
      <c r="D248" t="inlineStr">
        <is>
          <t>GOTLANDS LÄN</t>
        </is>
      </c>
      <c r="E248" t="inlineStr">
        <is>
          <t>GOTLAND</t>
        </is>
      </c>
      <c r="G248" t="n">
        <v>4.2</v>
      </c>
      <c r="H248" t="n">
        <v>0</v>
      </c>
      <c r="I248" t="n">
        <v>0</v>
      </c>
      <c r="J248" t="n">
        <v>0</v>
      </c>
      <c r="K248" t="n">
        <v>0</v>
      </c>
      <c r="L248" t="n">
        <v>0</v>
      </c>
      <c r="M248" t="n">
        <v>0</v>
      </c>
      <c r="N248" t="n">
        <v>0</v>
      </c>
      <c r="O248" t="n">
        <v>0</v>
      </c>
      <c r="P248" t="n">
        <v>0</v>
      </c>
      <c r="Q248" t="n">
        <v>0</v>
      </c>
      <c r="R248" s="2" t="inlineStr"/>
    </row>
    <row r="249" ht="15" customHeight="1">
      <c r="A249" t="inlineStr">
        <is>
          <t>A 34312-2024</t>
        </is>
      </c>
      <c r="B249" s="1" t="n">
        <v>45524.69703703704</v>
      </c>
      <c r="C249" s="1" t="n">
        <v>45997</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24966-2023</t>
        </is>
      </c>
      <c r="B250" s="1" t="n">
        <v>45085</v>
      </c>
      <c r="C250" s="1" t="n">
        <v>45997</v>
      </c>
      <c r="D250" t="inlineStr">
        <is>
          <t>GOTLANDS LÄN</t>
        </is>
      </c>
      <c r="E250" t="inlineStr">
        <is>
          <t>GOTLAND</t>
        </is>
      </c>
      <c r="G250" t="n">
        <v>7</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45997</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69112-2021</t>
        </is>
      </c>
      <c r="B252" s="1" t="n">
        <v>44530</v>
      </c>
      <c r="C252" s="1" t="n">
        <v>45997</v>
      </c>
      <c r="D252" t="inlineStr">
        <is>
          <t>GOTLANDS LÄN</t>
        </is>
      </c>
      <c r="E252" t="inlineStr">
        <is>
          <t>GOTLAND</t>
        </is>
      </c>
      <c r="G252" t="n">
        <v>4.2</v>
      </c>
      <c r="H252" t="n">
        <v>0</v>
      </c>
      <c r="I252" t="n">
        <v>0</v>
      </c>
      <c r="J252" t="n">
        <v>0</v>
      </c>
      <c r="K252" t="n">
        <v>0</v>
      </c>
      <c r="L252" t="n">
        <v>0</v>
      </c>
      <c r="M252" t="n">
        <v>0</v>
      </c>
      <c r="N252" t="n">
        <v>0</v>
      </c>
      <c r="O252" t="n">
        <v>0</v>
      </c>
      <c r="P252" t="n">
        <v>0</v>
      </c>
      <c r="Q252" t="n">
        <v>0</v>
      </c>
      <c r="R252" s="2" t="inlineStr"/>
    </row>
    <row r="253" ht="15" customHeight="1">
      <c r="A253" t="inlineStr">
        <is>
          <t>A 22031-2024</t>
        </is>
      </c>
      <c r="B253" s="1" t="n">
        <v>45443.60075231481</v>
      </c>
      <c r="C253" s="1" t="n">
        <v>45997</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49314-2024</t>
        </is>
      </c>
      <c r="B254" s="1" t="n">
        <v>45595.55893518519</v>
      </c>
      <c r="C254" s="1" t="n">
        <v>45997</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44919-2022</t>
        </is>
      </c>
      <c r="B255" s="1" t="n">
        <v>44841</v>
      </c>
      <c r="C255" s="1" t="n">
        <v>45997</v>
      </c>
      <c r="D255" t="inlineStr">
        <is>
          <t>GOTLANDS LÄN</t>
        </is>
      </c>
      <c r="E255" t="inlineStr">
        <is>
          <t>GOTLAND</t>
        </is>
      </c>
      <c r="G255" t="n">
        <v>2.2</v>
      </c>
      <c r="H255" t="n">
        <v>0</v>
      </c>
      <c r="I255" t="n">
        <v>0</v>
      </c>
      <c r="J255" t="n">
        <v>0</v>
      </c>
      <c r="K255" t="n">
        <v>0</v>
      </c>
      <c r="L255" t="n">
        <v>0</v>
      </c>
      <c r="M255" t="n">
        <v>0</v>
      </c>
      <c r="N255" t="n">
        <v>0</v>
      </c>
      <c r="O255" t="n">
        <v>0</v>
      </c>
      <c r="P255" t="n">
        <v>0</v>
      </c>
      <c r="Q255" t="n">
        <v>0</v>
      </c>
      <c r="R255" s="2" t="inlineStr"/>
    </row>
    <row r="256" ht="15" customHeight="1">
      <c r="A256" t="inlineStr">
        <is>
          <t>A 7638-2025</t>
        </is>
      </c>
      <c r="B256" s="1" t="n">
        <v>45705.77306712963</v>
      </c>
      <c r="C256" s="1" t="n">
        <v>45997</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50482-2024</t>
        </is>
      </c>
      <c r="B257" s="1" t="n">
        <v>45601.48114583334</v>
      </c>
      <c r="C257" s="1" t="n">
        <v>45997</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48503-2023</t>
        </is>
      </c>
      <c r="B258" s="1" t="n">
        <v>45207</v>
      </c>
      <c r="C258" s="1" t="n">
        <v>45997</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1394-2023</t>
        </is>
      </c>
      <c r="B259" s="1" t="n">
        <v>44936.72997685185</v>
      </c>
      <c r="C259" s="1" t="n">
        <v>45997</v>
      </c>
      <c r="D259" t="inlineStr">
        <is>
          <t>GOTLANDS LÄN</t>
        </is>
      </c>
      <c r="E259" t="inlineStr">
        <is>
          <t>GOTLAND</t>
        </is>
      </c>
      <c r="G259" t="n">
        <v>2.1</v>
      </c>
      <c r="H259" t="n">
        <v>0</v>
      </c>
      <c r="I259" t="n">
        <v>0</v>
      </c>
      <c r="J259" t="n">
        <v>0</v>
      </c>
      <c r="K259" t="n">
        <v>0</v>
      </c>
      <c r="L259" t="n">
        <v>0</v>
      </c>
      <c r="M259" t="n">
        <v>0</v>
      </c>
      <c r="N259" t="n">
        <v>0</v>
      </c>
      <c r="O259" t="n">
        <v>0</v>
      </c>
      <c r="P259" t="n">
        <v>0</v>
      </c>
      <c r="Q259" t="n">
        <v>0</v>
      </c>
      <c r="R259" s="2" t="inlineStr"/>
    </row>
    <row r="260" ht="15" customHeight="1">
      <c r="A260" t="inlineStr">
        <is>
          <t>A 65901-2021</t>
        </is>
      </c>
      <c r="B260" s="1" t="n">
        <v>44516</v>
      </c>
      <c r="C260" s="1" t="n">
        <v>45997</v>
      </c>
      <c r="D260" t="inlineStr">
        <is>
          <t>GOTLANDS LÄN</t>
        </is>
      </c>
      <c r="E260" t="inlineStr">
        <is>
          <t>GOTLAND</t>
        </is>
      </c>
      <c r="G260" t="n">
        <v>4.9</v>
      </c>
      <c r="H260" t="n">
        <v>0</v>
      </c>
      <c r="I260" t="n">
        <v>0</v>
      </c>
      <c r="J260" t="n">
        <v>0</v>
      </c>
      <c r="K260" t="n">
        <v>0</v>
      </c>
      <c r="L260" t="n">
        <v>0</v>
      </c>
      <c r="M260" t="n">
        <v>0</v>
      </c>
      <c r="N260" t="n">
        <v>0</v>
      </c>
      <c r="O260" t="n">
        <v>0</v>
      </c>
      <c r="P260" t="n">
        <v>0</v>
      </c>
      <c r="Q260" t="n">
        <v>0</v>
      </c>
      <c r="R260" s="2" t="inlineStr"/>
    </row>
    <row r="261" ht="15" customHeight="1">
      <c r="A261" t="inlineStr">
        <is>
          <t>A 58230-2024</t>
        </is>
      </c>
      <c r="B261" s="1" t="n">
        <v>45632.51625</v>
      </c>
      <c r="C261" s="1" t="n">
        <v>45997</v>
      </c>
      <c r="D261" t="inlineStr">
        <is>
          <t>GOTLANDS LÄN</t>
        </is>
      </c>
      <c r="E261" t="inlineStr">
        <is>
          <t>GOTLAND</t>
        </is>
      </c>
      <c r="G261" t="n">
        <v>7.3</v>
      </c>
      <c r="H261" t="n">
        <v>0</v>
      </c>
      <c r="I261" t="n">
        <v>0</v>
      </c>
      <c r="J261" t="n">
        <v>0</v>
      </c>
      <c r="K261" t="n">
        <v>0</v>
      </c>
      <c r="L261" t="n">
        <v>0</v>
      </c>
      <c r="M261" t="n">
        <v>0</v>
      </c>
      <c r="N261" t="n">
        <v>0</v>
      </c>
      <c r="O261" t="n">
        <v>0</v>
      </c>
      <c r="P261" t="n">
        <v>0</v>
      </c>
      <c r="Q261" t="n">
        <v>0</v>
      </c>
      <c r="R261" s="2" t="inlineStr"/>
    </row>
    <row r="262" ht="15" customHeight="1">
      <c r="A262" t="inlineStr">
        <is>
          <t>A 1462-2025</t>
        </is>
      </c>
      <c r="B262" s="1" t="n">
        <v>45670.36319444444</v>
      </c>
      <c r="C262" s="1" t="n">
        <v>45997</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44649-2021</t>
        </is>
      </c>
      <c r="B263" s="1" t="n">
        <v>44437</v>
      </c>
      <c r="C263" s="1" t="n">
        <v>45997</v>
      </c>
      <c r="D263" t="inlineStr">
        <is>
          <t>GOTLANDS LÄN</t>
        </is>
      </c>
      <c r="E263" t="inlineStr">
        <is>
          <t>GOTLAND</t>
        </is>
      </c>
      <c r="G263" t="n">
        <v>8.1</v>
      </c>
      <c r="H263" t="n">
        <v>0</v>
      </c>
      <c r="I263" t="n">
        <v>0</v>
      </c>
      <c r="J263" t="n">
        <v>0</v>
      </c>
      <c r="K263" t="n">
        <v>0</v>
      </c>
      <c r="L263" t="n">
        <v>0</v>
      </c>
      <c r="M263" t="n">
        <v>0</v>
      </c>
      <c r="N263" t="n">
        <v>0</v>
      </c>
      <c r="O263" t="n">
        <v>0</v>
      </c>
      <c r="P263" t="n">
        <v>0</v>
      </c>
      <c r="Q263" t="n">
        <v>0</v>
      </c>
      <c r="R263" s="2" t="inlineStr"/>
    </row>
    <row r="264" ht="15" customHeight="1">
      <c r="A264" t="inlineStr">
        <is>
          <t>A 9947-2024</t>
        </is>
      </c>
      <c r="B264" s="1" t="n">
        <v>45363</v>
      </c>
      <c r="C264" s="1" t="n">
        <v>45997</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17682-2024</t>
        </is>
      </c>
      <c r="B265" s="1" t="n">
        <v>45418.42966435185</v>
      </c>
      <c r="C265" s="1" t="n">
        <v>45997</v>
      </c>
      <c r="D265" t="inlineStr">
        <is>
          <t>GOTLANDS LÄN</t>
        </is>
      </c>
      <c r="E265" t="inlineStr">
        <is>
          <t>GOTLAND</t>
        </is>
      </c>
      <c r="G265" t="n">
        <v>2.9</v>
      </c>
      <c r="H265" t="n">
        <v>0</v>
      </c>
      <c r="I265" t="n">
        <v>0</v>
      </c>
      <c r="J265" t="n">
        <v>0</v>
      </c>
      <c r="K265" t="n">
        <v>0</v>
      </c>
      <c r="L265" t="n">
        <v>0</v>
      </c>
      <c r="M265" t="n">
        <v>0</v>
      </c>
      <c r="N265" t="n">
        <v>0</v>
      </c>
      <c r="O265" t="n">
        <v>0</v>
      </c>
      <c r="P265" t="n">
        <v>0</v>
      </c>
      <c r="Q265" t="n">
        <v>0</v>
      </c>
      <c r="R265" s="2" t="inlineStr"/>
    </row>
    <row r="266" ht="15" customHeight="1">
      <c r="A266" t="inlineStr">
        <is>
          <t>A 57522-2022</t>
        </is>
      </c>
      <c r="B266" s="1" t="n">
        <v>44896</v>
      </c>
      <c r="C266" s="1" t="n">
        <v>45997</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25129-2023</t>
        </is>
      </c>
      <c r="B267" s="1" t="n">
        <v>45086.44261574074</v>
      </c>
      <c r="C267" s="1" t="n">
        <v>45997</v>
      </c>
      <c r="D267" t="inlineStr">
        <is>
          <t>GOTLANDS LÄN</t>
        </is>
      </c>
      <c r="E267" t="inlineStr">
        <is>
          <t>GOTLAND</t>
        </is>
      </c>
      <c r="G267" t="n">
        <v>1.5</v>
      </c>
      <c r="H267" t="n">
        <v>0</v>
      </c>
      <c r="I267" t="n">
        <v>0</v>
      </c>
      <c r="J267" t="n">
        <v>0</v>
      </c>
      <c r="K267" t="n">
        <v>0</v>
      </c>
      <c r="L267" t="n">
        <v>0</v>
      </c>
      <c r="M267" t="n">
        <v>0</v>
      </c>
      <c r="N267" t="n">
        <v>0</v>
      </c>
      <c r="O267" t="n">
        <v>0</v>
      </c>
      <c r="P267" t="n">
        <v>0</v>
      </c>
      <c r="Q267" t="n">
        <v>0</v>
      </c>
      <c r="R267" s="2" t="inlineStr"/>
    </row>
    <row r="268" ht="15" customHeight="1">
      <c r="A268" t="inlineStr">
        <is>
          <t>A 24192-2023</t>
        </is>
      </c>
      <c r="B268" s="1" t="n">
        <v>45079</v>
      </c>
      <c r="C268" s="1" t="n">
        <v>45997</v>
      </c>
      <c r="D268" t="inlineStr">
        <is>
          <t>GOTLANDS LÄN</t>
        </is>
      </c>
      <c r="E268" t="inlineStr">
        <is>
          <t>GOTLAND</t>
        </is>
      </c>
      <c r="G268" t="n">
        <v>2.1</v>
      </c>
      <c r="H268" t="n">
        <v>0</v>
      </c>
      <c r="I268" t="n">
        <v>0</v>
      </c>
      <c r="J268" t="n">
        <v>0</v>
      </c>
      <c r="K268" t="n">
        <v>0</v>
      </c>
      <c r="L268" t="n">
        <v>0</v>
      </c>
      <c r="M268" t="n">
        <v>0</v>
      </c>
      <c r="N268" t="n">
        <v>0</v>
      </c>
      <c r="O268" t="n">
        <v>0</v>
      </c>
      <c r="P268" t="n">
        <v>0</v>
      </c>
      <c r="Q268" t="n">
        <v>0</v>
      </c>
      <c r="R268" s="2" t="inlineStr"/>
    </row>
    <row r="269" ht="15" customHeight="1">
      <c r="A269" t="inlineStr">
        <is>
          <t>A 27593-2023</t>
        </is>
      </c>
      <c r="B269" s="1" t="n">
        <v>45097</v>
      </c>
      <c r="C269" s="1" t="n">
        <v>45997</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5386-2023</t>
        </is>
      </c>
      <c r="B270" s="1" t="n">
        <v>44959</v>
      </c>
      <c r="C270" s="1" t="n">
        <v>45997</v>
      </c>
      <c r="D270" t="inlineStr">
        <is>
          <t>GOTLANDS LÄN</t>
        </is>
      </c>
      <c r="E270" t="inlineStr">
        <is>
          <t>GOTLAND</t>
        </is>
      </c>
      <c r="G270" t="n">
        <v>5.4</v>
      </c>
      <c r="H270" t="n">
        <v>0</v>
      </c>
      <c r="I270" t="n">
        <v>0</v>
      </c>
      <c r="J270" t="n">
        <v>0</v>
      </c>
      <c r="K270" t="n">
        <v>0</v>
      </c>
      <c r="L270" t="n">
        <v>0</v>
      </c>
      <c r="M270" t="n">
        <v>0</v>
      </c>
      <c r="N270" t="n">
        <v>0</v>
      </c>
      <c r="O270" t="n">
        <v>0</v>
      </c>
      <c r="P270" t="n">
        <v>0</v>
      </c>
      <c r="Q270" t="n">
        <v>0</v>
      </c>
      <c r="R270" s="2" t="inlineStr"/>
    </row>
    <row r="271" ht="15" customHeight="1">
      <c r="A271" t="inlineStr">
        <is>
          <t>A 7026-2023</t>
        </is>
      </c>
      <c r="B271" s="1" t="n">
        <v>44968.30340277778</v>
      </c>
      <c r="C271" s="1" t="n">
        <v>45997</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63516-2023</t>
        </is>
      </c>
      <c r="B272" s="1" t="n">
        <v>45274</v>
      </c>
      <c r="C272" s="1" t="n">
        <v>45997</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20855-2023</t>
        </is>
      </c>
      <c r="B273" s="1" t="n">
        <v>45058.82172453704</v>
      </c>
      <c r="C273" s="1" t="n">
        <v>45997</v>
      </c>
      <c r="D273" t="inlineStr">
        <is>
          <t>GOTLANDS LÄN</t>
        </is>
      </c>
      <c r="E273" t="inlineStr">
        <is>
          <t>GOTLAND</t>
        </is>
      </c>
      <c r="G273" t="n">
        <v>1.7</v>
      </c>
      <c r="H273" t="n">
        <v>0</v>
      </c>
      <c r="I273" t="n">
        <v>0</v>
      </c>
      <c r="J273" t="n">
        <v>0</v>
      </c>
      <c r="K273" t="n">
        <v>0</v>
      </c>
      <c r="L273" t="n">
        <v>0</v>
      </c>
      <c r="M273" t="n">
        <v>0</v>
      </c>
      <c r="N273" t="n">
        <v>0</v>
      </c>
      <c r="O273" t="n">
        <v>0</v>
      </c>
      <c r="P273" t="n">
        <v>0</v>
      </c>
      <c r="Q273" t="n">
        <v>0</v>
      </c>
      <c r="R273" s="2" t="inlineStr"/>
    </row>
    <row r="274" ht="15" customHeight="1">
      <c r="A274" t="inlineStr">
        <is>
          <t>A 6099-2024</t>
        </is>
      </c>
      <c r="B274" s="1" t="n">
        <v>45337</v>
      </c>
      <c r="C274" s="1" t="n">
        <v>45997</v>
      </c>
      <c r="D274" t="inlineStr">
        <is>
          <t>GOTLANDS LÄN</t>
        </is>
      </c>
      <c r="E274" t="inlineStr">
        <is>
          <t>GOTLAND</t>
        </is>
      </c>
      <c r="G274" t="n">
        <v>12.6</v>
      </c>
      <c r="H274" t="n">
        <v>0</v>
      </c>
      <c r="I274" t="n">
        <v>0</v>
      </c>
      <c r="J274" t="n">
        <v>0</v>
      </c>
      <c r="K274" t="n">
        <v>0</v>
      </c>
      <c r="L274" t="n">
        <v>0</v>
      </c>
      <c r="M274" t="n">
        <v>0</v>
      </c>
      <c r="N274" t="n">
        <v>0</v>
      </c>
      <c r="O274" t="n">
        <v>0</v>
      </c>
      <c r="P274" t="n">
        <v>0</v>
      </c>
      <c r="Q274" t="n">
        <v>0</v>
      </c>
      <c r="R274" s="2" t="inlineStr"/>
    </row>
    <row r="275" ht="15" customHeight="1">
      <c r="A275" t="inlineStr">
        <is>
          <t>A 24001-2021</t>
        </is>
      </c>
      <c r="B275" s="1" t="n">
        <v>44335</v>
      </c>
      <c r="C275" s="1" t="n">
        <v>45997</v>
      </c>
      <c r="D275" t="inlineStr">
        <is>
          <t>GOTLANDS LÄN</t>
        </is>
      </c>
      <c r="E275" t="inlineStr">
        <is>
          <t>GOTLAND</t>
        </is>
      </c>
      <c r="G275" t="n">
        <v>3.4</v>
      </c>
      <c r="H275" t="n">
        <v>0</v>
      </c>
      <c r="I275" t="n">
        <v>0</v>
      </c>
      <c r="J275" t="n">
        <v>0</v>
      </c>
      <c r="K275" t="n">
        <v>0</v>
      </c>
      <c r="L275" t="n">
        <v>0</v>
      </c>
      <c r="M275" t="n">
        <v>0</v>
      </c>
      <c r="N275" t="n">
        <v>0</v>
      </c>
      <c r="O275" t="n">
        <v>0</v>
      </c>
      <c r="P275" t="n">
        <v>0</v>
      </c>
      <c r="Q275" t="n">
        <v>0</v>
      </c>
      <c r="R275" s="2" t="inlineStr"/>
    </row>
    <row r="276" ht="15" customHeight="1">
      <c r="A276" t="inlineStr">
        <is>
          <t>A 1000-2024</t>
        </is>
      </c>
      <c r="B276" s="1" t="n">
        <v>45301.63371527778</v>
      </c>
      <c r="C276" s="1" t="n">
        <v>45997</v>
      </c>
      <c r="D276" t="inlineStr">
        <is>
          <t>GOTLANDS LÄN</t>
        </is>
      </c>
      <c r="E276" t="inlineStr">
        <is>
          <t>GOTLAND</t>
        </is>
      </c>
      <c r="G276" t="n">
        <v>1</v>
      </c>
      <c r="H276" t="n">
        <v>0</v>
      </c>
      <c r="I276" t="n">
        <v>0</v>
      </c>
      <c r="J276" t="n">
        <v>0</v>
      </c>
      <c r="K276" t="n">
        <v>0</v>
      </c>
      <c r="L276" t="n">
        <v>0</v>
      </c>
      <c r="M276" t="n">
        <v>0</v>
      </c>
      <c r="N276" t="n">
        <v>0</v>
      </c>
      <c r="O276" t="n">
        <v>0</v>
      </c>
      <c r="P276" t="n">
        <v>0</v>
      </c>
      <c r="Q276" t="n">
        <v>0</v>
      </c>
      <c r="R276" s="2" t="inlineStr"/>
    </row>
    <row r="277" ht="15" customHeight="1">
      <c r="A277" t="inlineStr">
        <is>
          <t>A 1010-2024</t>
        </is>
      </c>
      <c r="B277" s="1" t="n">
        <v>45301</v>
      </c>
      <c r="C277" s="1" t="n">
        <v>45997</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30365-2024</t>
        </is>
      </c>
      <c r="B278" s="1" t="n">
        <v>45491.3716087963</v>
      </c>
      <c r="C278" s="1" t="n">
        <v>45997</v>
      </c>
      <c r="D278" t="inlineStr">
        <is>
          <t>GOTLANDS LÄN</t>
        </is>
      </c>
      <c r="E278" t="inlineStr">
        <is>
          <t>GOTLAND</t>
        </is>
      </c>
      <c r="G278" t="n">
        <v>0.5</v>
      </c>
      <c r="H278" t="n">
        <v>0</v>
      </c>
      <c r="I278" t="n">
        <v>0</v>
      </c>
      <c r="J278" t="n">
        <v>0</v>
      </c>
      <c r="K278" t="n">
        <v>0</v>
      </c>
      <c r="L278" t="n">
        <v>0</v>
      </c>
      <c r="M278" t="n">
        <v>0</v>
      </c>
      <c r="N278" t="n">
        <v>0</v>
      </c>
      <c r="O278" t="n">
        <v>0</v>
      </c>
      <c r="P278" t="n">
        <v>0</v>
      </c>
      <c r="Q278" t="n">
        <v>0</v>
      </c>
      <c r="R278" s="2" t="inlineStr"/>
    </row>
    <row r="279" ht="15" customHeight="1">
      <c r="A279" t="inlineStr">
        <is>
          <t>A 1681-2023</t>
        </is>
      </c>
      <c r="B279" s="1" t="n">
        <v>44938.39715277778</v>
      </c>
      <c r="C279" s="1" t="n">
        <v>45997</v>
      </c>
      <c r="D279" t="inlineStr">
        <is>
          <t>GOTLANDS LÄN</t>
        </is>
      </c>
      <c r="E279" t="inlineStr">
        <is>
          <t>GOTLAND</t>
        </is>
      </c>
      <c r="G279" t="n">
        <v>2.4</v>
      </c>
      <c r="H279" t="n">
        <v>0</v>
      </c>
      <c r="I279" t="n">
        <v>0</v>
      </c>
      <c r="J279" t="n">
        <v>0</v>
      </c>
      <c r="K279" t="n">
        <v>0</v>
      </c>
      <c r="L279" t="n">
        <v>0</v>
      </c>
      <c r="M279" t="n">
        <v>0</v>
      </c>
      <c r="N279" t="n">
        <v>0</v>
      </c>
      <c r="O279" t="n">
        <v>0</v>
      </c>
      <c r="P279" t="n">
        <v>0</v>
      </c>
      <c r="Q279" t="n">
        <v>0</v>
      </c>
      <c r="R279" s="2" t="inlineStr"/>
    </row>
    <row r="280" ht="15" customHeight="1">
      <c r="A280" t="inlineStr">
        <is>
          <t>A 47762-2023</t>
        </is>
      </c>
      <c r="B280" s="1" t="n">
        <v>45203.86256944444</v>
      </c>
      <c r="C280" s="1" t="n">
        <v>45997</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46545-2024</t>
        </is>
      </c>
      <c r="B281" s="1" t="n">
        <v>45582.65831018519</v>
      </c>
      <c r="C281" s="1" t="n">
        <v>45997</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581-2023</t>
        </is>
      </c>
      <c r="B282" s="1" t="n">
        <v>44930</v>
      </c>
      <c r="C282" s="1" t="n">
        <v>45997</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60086-2022</t>
        </is>
      </c>
      <c r="B283" s="1" t="n">
        <v>44909</v>
      </c>
      <c r="C283" s="1" t="n">
        <v>45997</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61386-2023</t>
        </is>
      </c>
      <c r="B284" s="1" t="n">
        <v>45264</v>
      </c>
      <c r="C284" s="1" t="n">
        <v>45997</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28480-2023</t>
        </is>
      </c>
      <c r="B285" s="1" t="n">
        <v>45103</v>
      </c>
      <c r="C285" s="1" t="n">
        <v>45997</v>
      </c>
      <c r="D285" t="inlineStr">
        <is>
          <t>GOTLANDS LÄN</t>
        </is>
      </c>
      <c r="E285" t="inlineStr">
        <is>
          <t>GOTLAND</t>
        </is>
      </c>
      <c r="G285" t="n">
        <v>5.7</v>
      </c>
      <c r="H285" t="n">
        <v>0</v>
      </c>
      <c r="I285" t="n">
        <v>0</v>
      </c>
      <c r="J285" t="n">
        <v>0</v>
      </c>
      <c r="K285" t="n">
        <v>0</v>
      </c>
      <c r="L285" t="n">
        <v>0</v>
      </c>
      <c r="M285" t="n">
        <v>0</v>
      </c>
      <c r="N285" t="n">
        <v>0</v>
      </c>
      <c r="O285" t="n">
        <v>0</v>
      </c>
      <c r="P285" t="n">
        <v>0</v>
      </c>
      <c r="Q285" t="n">
        <v>0</v>
      </c>
      <c r="R285" s="2" t="inlineStr"/>
    </row>
    <row r="286" ht="15" customHeight="1">
      <c r="A286" t="inlineStr">
        <is>
          <t>A 28485-2023</t>
        </is>
      </c>
      <c r="B286" s="1" t="n">
        <v>45103.43731481482</v>
      </c>
      <c r="C286" s="1" t="n">
        <v>45997</v>
      </c>
      <c r="D286" t="inlineStr">
        <is>
          <t>GOTLANDS LÄN</t>
        </is>
      </c>
      <c r="E286" t="inlineStr">
        <is>
          <t>GOTLAND</t>
        </is>
      </c>
      <c r="G286" t="n">
        <v>2.3</v>
      </c>
      <c r="H286" t="n">
        <v>0</v>
      </c>
      <c r="I286" t="n">
        <v>0</v>
      </c>
      <c r="J286" t="n">
        <v>0</v>
      </c>
      <c r="K286" t="n">
        <v>0</v>
      </c>
      <c r="L286" t="n">
        <v>0</v>
      </c>
      <c r="M286" t="n">
        <v>0</v>
      </c>
      <c r="N286" t="n">
        <v>0</v>
      </c>
      <c r="O286" t="n">
        <v>0</v>
      </c>
      <c r="P286" t="n">
        <v>0</v>
      </c>
      <c r="Q286" t="n">
        <v>0</v>
      </c>
      <c r="R286" s="2" t="inlineStr"/>
    </row>
    <row r="287" ht="15" customHeight="1">
      <c r="A287" t="inlineStr">
        <is>
          <t>A 873-2024</t>
        </is>
      </c>
      <c r="B287" s="1" t="n">
        <v>45301</v>
      </c>
      <c r="C287" s="1" t="n">
        <v>45997</v>
      </c>
      <c r="D287" t="inlineStr">
        <is>
          <t>GOTLANDS LÄN</t>
        </is>
      </c>
      <c r="E287" t="inlineStr">
        <is>
          <t>GOTLAND</t>
        </is>
      </c>
      <c r="G287" t="n">
        <v>2.7</v>
      </c>
      <c r="H287" t="n">
        <v>0</v>
      </c>
      <c r="I287" t="n">
        <v>0</v>
      </c>
      <c r="J287" t="n">
        <v>0</v>
      </c>
      <c r="K287" t="n">
        <v>0</v>
      </c>
      <c r="L287" t="n">
        <v>0</v>
      </c>
      <c r="M287" t="n">
        <v>0</v>
      </c>
      <c r="N287" t="n">
        <v>0</v>
      </c>
      <c r="O287" t="n">
        <v>0</v>
      </c>
      <c r="P287" t="n">
        <v>0</v>
      </c>
      <c r="Q287" t="n">
        <v>0</v>
      </c>
      <c r="R287" s="2" t="inlineStr"/>
    </row>
    <row r="288" ht="15" customHeight="1">
      <c r="A288" t="inlineStr">
        <is>
          <t>A 49411-2023</t>
        </is>
      </c>
      <c r="B288" s="1" t="n">
        <v>45205</v>
      </c>
      <c r="C288" s="1" t="n">
        <v>45997</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62915-2021</t>
        </is>
      </c>
      <c r="B289" s="1" t="n">
        <v>44504</v>
      </c>
      <c r="C289" s="1" t="n">
        <v>45997</v>
      </c>
      <c r="D289" t="inlineStr">
        <is>
          <t>GOTLANDS LÄN</t>
        </is>
      </c>
      <c r="E289" t="inlineStr">
        <is>
          <t>GOTLAND</t>
        </is>
      </c>
      <c r="G289" t="n">
        <v>1.1</v>
      </c>
      <c r="H289" t="n">
        <v>0</v>
      </c>
      <c r="I289" t="n">
        <v>0</v>
      </c>
      <c r="J289" t="n">
        <v>0</v>
      </c>
      <c r="K289" t="n">
        <v>0</v>
      </c>
      <c r="L289" t="n">
        <v>0</v>
      </c>
      <c r="M289" t="n">
        <v>0</v>
      </c>
      <c r="N289" t="n">
        <v>0</v>
      </c>
      <c r="O289" t="n">
        <v>0</v>
      </c>
      <c r="P289" t="n">
        <v>0</v>
      </c>
      <c r="Q289" t="n">
        <v>0</v>
      </c>
      <c r="R289" s="2" t="inlineStr"/>
    </row>
    <row r="290" ht="15" customHeight="1">
      <c r="A290" t="inlineStr">
        <is>
          <t>A 22275-2023</t>
        </is>
      </c>
      <c r="B290" s="1" t="n">
        <v>45070.39875</v>
      </c>
      <c r="C290" s="1" t="n">
        <v>45997</v>
      </c>
      <c r="D290" t="inlineStr">
        <is>
          <t>GOTLANDS LÄN</t>
        </is>
      </c>
      <c r="E290" t="inlineStr">
        <is>
          <t>GOTLAND</t>
        </is>
      </c>
      <c r="G290" t="n">
        <v>7.2</v>
      </c>
      <c r="H290" t="n">
        <v>0</v>
      </c>
      <c r="I290" t="n">
        <v>0</v>
      </c>
      <c r="J290" t="n">
        <v>0</v>
      </c>
      <c r="K290" t="n">
        <v>0</v>
      </c>
      <c r="L290" t="n">
        <v>0</v>
      </c>
      <c r="M290" t="n">
        <v>0</v>
      </c>
      <c r="N290" t="n">
        <v>0</v>
      </c>
      <c r="O290" t="n">
        <v>0</v>
      </c>
      <c r="P290" t="n">
        <v>0</v>
      </c>
      <c r="Q290" t="n">
        <v>0</v>
      </c>
      <c r="R290" s="2" t="inlineStr"/>
    </row>
    <row r="291" ht="15" customHeight="1">
      <c r="A291" t="inlineStr">
        <is>
          <t>A 12322-2025</t>
        </is>
      </c>
      <c r="B291" s="1" t="n">
        <v>45730</v>
      </c>
      <c r="C291" s="1" t="n">
        <v>45997</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44949-2023</t>
        </is>
      </c>
      <c r="B292" s="1" t="n">
        <v>45190.69520833333</v>
      </c>
      <c r="C292" s="1" t="n">
        <v>45997</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1273-2023</t>
        </is>
      </c>
      <c r="B293" s="1" t="n">
        <v>44936</v>
      </c>
      <c r="C293" s="1" t="n">
        <v>45997</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14797-2024</t>
        </is>
      </c>
      <c r="B294" s="1" t="n">
        <v>45397.87030092593</v>
      </c>
      <c r="C294" s="1" t="n">
        <v>45997</v>
      </c>
      <c r="D294" t="inlineStr">
        <is>
          <t>GOTLANDS LÄN</t>
        </is>
      </c>
      <c r="E294" t="inlineStr">
        <is>
          <t>GOTLAND</t>
        </is>
      </c>
      <c r="G294" t="n">
        <v>8.1</v>
      </c>
      <c r="H294" t="n">
        <v>0</v>
      </c>
      <c r="I294" t="n">
        <v>0</v>
      </c>
      <c r="J294" t="n">
        <v>0</v>
      </c>
      <c r="K294" t="n">
        <v>0</v>
      </c>
      <c r="L294" t="n">
        <v>0</v>
      </c>
      <c r="M294" t="n">
        <v>0</v>
      </c>
      <c r="N294" t="n">
        <v>0</v>
      </c>
      <c r="O294" t="n">
        <v>0</v>
      </c>
      <c r="P294" t="n">
        <v>0</v>
      </c>
      <c r="Q294" t="n">
        <v>0</v>
      </c>
      <c r="R294" s="2" t="inlineStr"/>
    </row>
    <row r="295" ht="15" customHeight="1">
      <c r="A295" t="inlineStr">
        <is>
          <t>A 999-2024</t>
        </is>
      </c>
      <c r="B295" s="1" t="n">
        <v>45301</v>
      </c>
      <c r="C295" s="1" t="n">
        <v>45997</v>
      </c>
      <c r="D295" t="inlineStr">
        <is>
          <t>GOTLANDS LÄN</t>
        </is>
      </c>
      <c r="E295" t="inlineStr">
        <is>
          <t>GOTLAND</t>
        </is>
      </c>
      <c r="G295" t="n">
        <v>1</v>
      </c>
      <c r="H295" t="n">
        <v>0</v>
      </c>
      <c r="I295" t="n">
        <v>0</v>
      </c>
      <c r="J295" t="n">
        <v>0</v>
      </c>
      <c r="K295" t="n">
        <v>0</v>
      </c>
      <c r="L295" t="n">
        <v>0</v>
      </c>
      <c r="M295" t="n">
        <v>0</v>
      </c>
      <c r="N295" t="n">
        <v>0</v>
      </c>
      <c r="O295" t="n">
        <v>0</v>
      </c>
      <c r="P295" t="n">
        <v>0</v>
      </c>
      <c r="Q295" t="n">
        <v>0</v>
      </c>
      <c r="R295" s="2" t="inlineStr"/>
    </row>
    <row r="296" ht="15" customHeight="1">
      <c r="A296" t="inlineStr">
        <is>
          <t>A 37222-2021</t>
        </is>
      </c>
      <c r="B296" s="1" t="n">
        <v>44396</v>
      </c>
      <c r="C296" s="1" t="n">
        <v>45997</v>
      </c>
      <c r="D296" t="inlineStr">
        <is>
          <t>GOTLANDS LÄN</t>
        </is>
      </c>
      <c r="E296" t="inlineStr">
        <is>
          <t>GOTLAND</t>
        </is>
      </c>
      <c r="G296" t="n">
        <v>3</v>
      </c>
      <c r="H296" t="n">
        <v>0</v>
      </c>
      <c r="I296" t="n">
        <v>0</v>
      </c>
      <c r="J296" t="n">
        <v>0</v>
      </c>
      <c r="K296" t="n">
        <v>0</v>
      </c>
      <c r="L296" t="n">
        <v>0</v>
      </c>
      <c r="M296" t="n">
        <v>0</v>
      </c>
      <c r="N296" t="n">
        <v>0</v>
      </c>
      <c r="O296" t="n">
        <v>0</v>
      </c>
      <c r="P296" t="n">
        <v>0</v>
      </c>
      <c r="Q296" t="n">
        <v>0</v>
      </c>
      <c r="R296" s="2" t="inlineStr"/>
    </row>
    <row r="297" ht="15" customHeight="1">
      <c r="A297" t="inlineStr">
        <is>
          <t>A 61596-2023</t>
        </is>
      </c>
      <c r="B297" s="1" t="n">
        <v>45265</v>
      </c>
      <c r="C297" s="1" t="n">
        <v>45997</v>
      </c>
      <c r="D297" t="inlineStr">
        <is>
          <t>GOTLANDS LÄN</t>
        </is>
      </c>
      <c r="E297" t="inlineStr">
        <is>
          <t>GOTLAND</t>
        </is>
      </c>
      <c r="G297" t="n">
        <v>1.7</v>
      </c>
      <c r="H297" t="n">
        <v>0</v>
      </c>
      <c r="I297" t="n">
        <v>0</v>
      </c>
      <c r="J297" t="n">
        <v>0</v>
      </c>
      <c r="K297" t="n">
        <v>0</v>
      </c>
      <c r="L297" t="n">
        <v>0</v>
      </c>
      <c r="M297" t="n">
        <v>0</v>
      </c>
      <c r="N297" t="n">
        <v>0</v>
      </c>
      <c r="O297" t="n">
        <v>0</v>
      </c>
      <c r="P297" t="n">
        <v>0</v>
      </c>
      <c r="Q297" t="n">
        <v>0</v>
      </c>
      <c r="R297" s="2" t="inlineStr"/>
    </row>
    <row r="298" ht="15" customHeight="1">
      <c r="A298" t="inlineStr">
        <is>
          <t>A 14638-2025</t>
        </is>
      </c>
      <c r="B298" s="1" t="n">
        <v>45742</v>
      </c>
      <c r="C298" s="1" t="n">
        <v>45997</v>
      </c>
      <c r="D298" t="inlineStr">
        <is>
          <t>GOTLANDS LÄN</t>
        </is>
      </c>
      <c r="E298" t="inlineStr">
        <is>
          <t>GOTLAND</t>
        </is>
      </c>
      <c r="G298" t="n">
        <v>13.4</v>
      </c>
      <c r="H298" t="n">
        <v>0</v>
      </c>
      <c r="I298" t="n">
        <v>0</v>
      </c>
      <c r="J298" t="n">
        <v>0</v>
      </c>
      <c r="K298" t="n">
        <v>0</v>
      </c>
      <c r="L298" t="n">
        <v>0</v>
      </c>
      <c r="M298" t="n">
        <v>0</v>
      </c>
      <c r="N298" t="n">
        <v>0</v>
      </c>
      <c r="O298" t="n">
        <v>0</v>
      </c>
      <c r="P298" t="n">
        <v>0</v>
      </c>
      <c r="Q298" t="n">
        <v>0</v>
      </c>
      <c r="R298" s="2" t="inlineStr"/>
    </row>
    <row r="299" ht="15" customHeight="1">
      <c r="A299" t="inlineStr">
        <is>
          <t>A 60675-2021</t>
        </is>
      </c>
      <c r="B299" s="1" t="n">
        <v>44496.64855324074</v>
      </c>
      <c r="C299" s="1" t="n">
        <v>45997</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37728-2024</t>
        </is>
      </c>
      <c r="B300" s="1" t="n">
        <v>45541</v>
      </c>
      <c r="C300" s="1" t="n">
        <v>45997</v>
      </c>
      <c r="D300" t="inlineStr">
        <is>
          <t>GOTLANDS LÄN</t>
        </is>
      </c>
      <c r="E300" t="inlineStr">
        <is>
          <t>GOTLAND</t>
        </is>
      </c>
      <c r="G300" t="n">
        <v>0.4</v>
      </c>
      <c r="H300" t="n">
        <v>0</v>
      </c>
      <c r="I300" t="n">
        <v>0</v>
      </c>
      <c r="J300" t="n">
        <v>0</v>
      </c>
      <c r="K300" t="n">
        <v>0</v>
      </c>
      <c r="L300" t="n">
        <v>0</v>
      </c>
      <c r="M300" t="n">
        <v>0</v>
      </c>
      <c r="N300" t="n">
        <v>0</v>
      </c>
      <c r="O300" t="n">
        <v>0</v>
      </c>
      <c r="P300" t="n">
        <v>0</v>
      </c>
      <c r="Q300" t="n">
        <v>0</v>
      </c>
      <c r="R300" s="2" t="inlineStr"/>
    </row>
    <row r="301" ht="15" customHeight="1">
      <c r="A301" t="inlineStr">
        <is>
          <t>A 3964-2024</t>
        </is>
      </c>
      <c r="B301" s="1" t="n">
        <v>45322</v>
      </c>
      <c r="C301" s="1" t="n">
        <v>45997</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45084-2024</t>
        </is>
      </c>
      <c r="B302" s="1" t="n">
        <v>45575</v>
      </c>
      <c r="C302" s="1" t="n">
        <v>45997</v>
      </c>
      <c r="D302" t="inlineStr">
        <is>
          <t>GOTLANDS LÄN</t>
        </is>
      </c>
      <c r="E302" t="inlineStr">
        <is>
          <t>GOTLAND</t>
        </is>
      </c>
      <c r="G302" t="n">
        <v>6.8</v>
      </c>
      <c r="H302" t="n">
        <v>0</v>
      </c>
      <c r="I302" t="n">
        <v>0</v>
      </c>
      <c r="J302" t="n">
        <v>0</v>
      </c>
      <c r="K302" t="n">
        <v>0</v>
      </c>
      <c r="L302" t="n">
        <v>0</v>
      </c>
      <c r="M302" t="n">
        <v>0</v>
      </c>
      <c r="N302" t="n">
        <v>0</v>
      </c>
      <c r="O302" t="n">
        <v>0</v>
      </c>
      <c r="P302" t="n">
        <v>0</v>
      </c>
      <c r="Q302" t="n">
        <v>0</v>
      </c>
      <c r="R302" s="2" t="inlineStr"/>
    </row>
    <row r="303" ht="15" customHeight="1">
      <c r="A303" t="inlineStr">
        <is>
          <t>A 22287-2022</t>
        </is>
      </c>
      <c r="B303" s="1" t="n">
        <v>44712</v>
      </c>
      <c r="C303" s="1" t="n">
        <v>45997</v>
      </c>
      <c r="D303" t="inlineStr">
        <is>
          <t>GOTLANDS LÄN</t>
        </is>
      </c>
      <c r="E303" t="inlineStr">
        <is>
          <t>GOTLAND</t>
        </is>
      </c>
      <c r="G303" t="n">
        <v>6.1</v>
      </c>
      <c r="H303" t="n">
        <v>0</v>
      </c>
      <c r="I303" t="n">
        <v>0</v>
      </c>
      <c r="J303" t="n">
        <v>0</v>
      </c>
      <c r="K303" t="n">
        <v>0</v>
      </c>
      <c r="L303" t="n">
        <v>0</v>
      </c>
      <c r="M303" t="n">
        <v>0</v>
      </c>
      <c r="N303" t="n">
        <v>0</v>
      </c>
      <c r="O303" t="n">
        <v>0</v>
      </c>
      <c r="P303" t="n">
        <v>0</v>
      </c>
      <c r="Q303" t="n">
        <v>0</v>
      </c>
      <c r="R303" s="2" t="inlineStr"/>
    </row>
    <row r="304" ht="15" customHeight="1">
      <c r="A304" t="inlineStr">
        <is>
          <t>A 54074-2022</t>
        </is>
      </c>
      <c r="B304" s="1" t="n">
        <v>44881</v>
      </c>
      <c r="C304" s="1" t="n">
        <v>45997</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53935-2024</t>
        </is>
      </c>
      <c r="B305" s="1" t="n">
        <v>45615</v>
      </c>
      <c r="C305" s="1" t="n">
        <v>45997</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18223-2025</t>
        </is>
      </c>
      <c r="B306" s="1" t="n">
        <v>45761</v>
      </c>
      <c r="C306" s="1" t="n">
        <v>45997</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4420-2025</t>
        </is>
      </c>
      <c r="B307" s="1" t="n">
        <v>45686.47157407407</v>
      </c>
      <c r="C307" s="1" t="n">
        <v>45997</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65249-2023</t>
        </is>
      </c>
      <c r="B308" s="1" t="n">
        <v>45290</v>
      </c>
      <c r="C308" s="1" t="n">
        <v>45997</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5891-2025</t>
        </is>
      </c>
      <c r="B309" s="1" t="n">
        <v>45695.38327546296</v>
      </c>
      <c r="C309" s="1" t="n">
        <v>45997</v>
      </c>
      <c r="D309" t="inlineStr">
        <is>
          <t>GOTLANDS LÄN</t>
        </is>
      </c>
      <c r="E309" t="inlineStr">
        <is>
          <t>GOTLAND</t>
        </is>
      </c>
      <c r="G309" t="n">
        <v>0.8</v>
      </c>
      <c r="H309" t="n">
        <v>0</v>
      </c>
      <c r="I309" t="n">
        <v>0</v>
      </c>
      <c r="J309" t="n">
        <v>0</v>
      </c>
      <c r="K309" t="n">
        <v>0</v>
      </c>
      <c r="L309" t="n">
        <v>0</v>
      </c>
      <c r="M309" t="n">
        <v>0</v>
      </c>
      <c r="N309" t="n">
        <v>0</v>
      </c>
      <c r="O309" t="n">
        <v>0</v>
      </c>
      <c r="P309" t="n">
        <v>0</v>
      </c>
      <c r="Q309" t="n">
        <v>0</v>
      </c>
      <c r="R309" s="2" t="inlineStr"/>
    </row>
    <row r="310" ht="15" customHeight="1">
      <c r="A310" t="inlineStr">
        <is>
          <t>A 5217-2023</t>
        </is>
      </c>
      <c r="B310" s="1" t="n">
        <v>44959.39582175926</v>
      </c>
      <c r="C310" s="1" t="n">
        <v>45997</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1677-2023</t>
        </is>
      </c>
      <c r="B311" s="1" t="n">
        <v>44938</v>
      </c>
      <c r="C311" s="1" t="n">
        <v>45997</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45244-2024</t>
        </is>
      </c>
      <c r="B312" s="1" t="n">
        <v>45576</v>
      </c>
      <c r="C312" s="1" t="n">
        <v>45997</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13910-2025</t>
        </is>
      </c>
      <c r="B313" s="1" t="n">
        <v>45737</v>
      </c>
      <c r="C313" s="1" t="n">
        <v>45997</v>
      </c>
      <c r="D313" t="inlineStr">
        <is>
          <t>GOTLANDS LÄN</t>
        </is>
      </c>
      <c r="E313" t="inlineStr">
        <is>
          <t>GOTLAND</t>
        </is>
      </c>
      <c r="F313" t="inlineStr">
        <is>
          <t>Kommuner</t>
        </is>
      </c>
      <c r="G313" t="n">
        <v>3.2</v>
      </c>
      <c r="H313" t="n">
        <v>0</v>
      </c>
      <c r="I313" t="n">
        <v>0</v>
      </c>
      <c r="J313" t="n">
        <v>0</v>
      </c>
      <c r="K313" t="n">
        <v>0</v>
      </c>
      <c r="L313" t="n">
        <v>0</v>
      </c>
      <c r="M313" t="n">
        <v>0</v>
      </c>
      <c r="N313" t="n">
        <v>0</v>
      </c>
      <c r="O313" t="n">
        <v>0</v>
      </c>
      <c r="P313" t="n">
        <v>0</v>
      </c>
      <c r="Q313" t="n">
        <v>0</v>
      </c>
      <c r="R313" s="2" t="inlineStr"/>
    </row>
    <row r="314" ht="15" customHeight="1">
      <c r="A314" t="inlineStr">
        <is>
          <t>A 8260-2023</t>
        </is>
      </c>
      <c r="B314" s="1" t="n">
        <v>44974.61608796296</v>
      </c>
      <c r="C314" s="1" t="n">
        <v>45997</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64969-2023</t>
        </is>
      </c>
      <c r="B315" s="1" t="n">
        <v>45284.54009259259</v>
      </c>
      <c r="C315" s="1" t="n">
        <v>45997</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48843-2024</t>
        </is>
      </c>
      <c r="B316" s="1" t="n">
        <v>45593</v>
      </c>
      <c r="C316" s="1" t="n">
        <v>45997</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17541-2024</t>
        </is>
      </c>
      <c r="B317" s="1" t="n">
        <v>45415</v>
      </c>
      <c r="C317" s="1" t="n">
        <v>45997</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17780-2022</t>
        </is>
      </c>
      <c r="B318" s="1" t="n">
        <v>44682.82622685185</v>
      </c>
      <c r="C318" s="1" t="n">
        <v>45997</v>
      </c>
      <c r="D318" t="inlineStr">
        <is>
          <t>GOTLANDS LÄN</t>
        </is>
      </c>
      <c r="E318" t="inlineStr">
        <is>
          <t>GOTLAND</t>
        </is>
      </c>
      <c r="G318" t="n">
        <v>2.2</v>
      </c>
      <c r="H318" t="n">
        <v>0</v>
      </c>
      <c r="I318" t="n">
        <v>0</v>
      </c>
      <c r="J318" t="n">
        <v>0</v>
      </c>
      <c r="K318" t="n">
        <v>0</v>
      </c>
      <c r="L318" t="n">
        <v>0</v>
      </c>
      <c r="M318" t="n">
        <v>0</v>
      </c>
      <c r="N318" t="n">
        <v>0</v>
      </c>
      <c r="O318" t="n">
        <v>0</v>
      </c>
      <c r="P318" t="n">
        <v>0</v>
      </c>
      <c r="Q318" t="n">
        <v>0</v>
      </c>
      <c r="R318" s="2" t="inlineStr"/>
    </row>
    <row r="319" ht="15" customHeight="1">
      <c r="A319" t="inlineStr">
        <is>
          <t>A 59986-2022</t>
        </is>
      </c>
      <c r="B319" s="1" t="n">
        <v>44909</v>
      </c>
      <c r="C319" s="1" t="n">
        <v>45997</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2241-2025</t>
        </is>
      </c>
      <c r="B320" s="1" t="n">
        <v>45673.48710648148</v>
      </c>
      <c r="C320" s="1" t="n">
        <v>45997</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14536-2021</t>
        </is>
      </c>
      <c r="B321" s="1" t="n">
        <v>44279.66168981481</v>
      </c>
      <c r="C321" s="1" t="n">
        <v>45997</v>
      </c>
      <c r="D321" t="inlineStr">
        <is>
          <t>GOTLANDS LÄN</t>
        </is>
      </c>
      <c r="E321" t="inlineStr">
        <is>
          <t>GOTLAND</t>
        </is>
      </c>
      <c r="G321" t="n">
        <v>8.5</v>
      </c>
      <c r="H321" t="n">
        <v>0</v>
      </c>
      <c r="I321" t="n">
        <v>0</v>
      </c>
      <c r="J321" t="n">
        <v>0</v>
      </c>
      <c r="K321" t="n">
        <v>0</v>
      </c>
      <c r="L321" t="n">
        <v>0</v>
      </c>
      <c r="M321" t="n">
        <v>0</v>
      </c>
      <c r="N321" t="n">
        <v>0</v>
      </c>
      <c r="O321" t="n">
        <v>0</v>
      </c>
      <c r="P321" t="n">
        <v>0</v>
      </c>
      <c r="Q321" t="n">
        <v>0</v>
      </c>
      <c r="R321" s="2" t="inlineStr"/>
    </row>
    <row r="322" ht="15" customHeight="1">
      <c r="A322" t="inlineStr">
        <is>
          <t>A 15434-2024</t>
        </is>
      </c>
      <c r="B322" s="1" t="n">
        <v>45401.38836805556</v>
      </c>
      <c r="C322" s="1" t="n">
        <v>45997</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5943-2024</t>
        </is>
      </c>
      <c r="B323" s="1" t="n">
        <v>45336</v>
      </c>
      <c r="C323" s="1" t="n">
        <v>45997</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11874-2024</t>
        </is>
      </c>
      <c r="B324" s="1" t="n">
        <v>45376.46956018519</v>
      </c>
      <c r="C324" s="1" t="n">
        <v>45997</v>
      </c>
      <c r="D324" t="inlineStr">
        <is>
          <t>GOTLANDS LÄN</t>
        </is>
      </c>
      <c r="E324" t="inlineStr">
        <is>
          <t>GOTLAND</t>
        </is>
      </c>
      <c r="G324" t="n">
        <v>0.8</v>
      </c>
      <c r="H324" t="n">
        <v>0</v>
      </c>
      <c r="I324" t="n">
        <v>0</v>
      </c>
      <c r="J324" t="n">
        <v>0</v>
      </c>
      <c r="K324" t="n">
        <v>0</v>
      </c>
      <c r="L324" t="n">
        <v>0</v>
      </c>
      <c r="M324" t="n">
        <v>0</v>
      </c>
      <c r="N324" t="n">
        <v>0</v>
      </c>
      <c r="O324" t="n">
        <v>0</v>
      </c>
      <c r="P324" t="n">
        <v>0</v>
      </c>
      <c r="Q324" t="n">
        <v>0</v>
      </c>
      <c r="R324" s="2" t="inlineStr"/>
    </row>
    <row r="325" ht="15" customHeight="1">
      <c r="A325" t="inlineStr">
        <is>
          <t>A 54073-2022</t>
        </is>
      </c>
      <c r="B325" s="1" t="n">
        <v>44881.50380787037</v>
      </c>
      <c r="C325" s="1" t="n">
        <v>45997</v>
      </c>
      <c r="D325" t="inlineStr">
        <is>
          <t>GOTLANDS LÄN</t>
        </is>
      </c>
      <c r="E325" t="inlineStr">
        <is>
          <t>GOTLAND</t>
        </is>
      </c>
      <c r="G325" t="n">
        <v>3.8</v>
      </c>
      <c r="H325" t="n">
        <v>0</v>
      </c>
      <c r="I325" t="n">
        <v>0</v>
      </c>
      <c r="J325" t="n">
        <v>0</v>
      </c>
      <c r="K325" t="n">
        <v>0</v>
      </c>
      <c r="L325" t="n">
        <v>0</v>
      </c>
      <c r="M325" t="n">
        <v>0</v>
      </c>
      <c r="N325" t="n">
        <v>0</v>
      </c>
      <c r="O325" t="n">
        <v>0</v>
      </c>
      <c r="P325" t="n">
        <v>0</v>
      </c>
      <c r="Q325" t="n">
        <v>0</v>
      </c>
      <c r="R325" s="2" t="inlineStr"/>
    </row>
    <row r="326" ht="15" customHeight="1">
      <c r="A326" t="inlineStr">
        <is>
          <t>A 16361-2024</t>
        </is>
      </c>
      <c r="B326" s="1" t="n">
        <v>45407</v>
      </c>
      <c r="C326" s="1" t="n">
        <v>45997</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42041-2024</t>
        </is>
      </c>
      <c r="B327" s="1" t="n">
        <v>45561</v>
      </c>
      <c r="C327" s="1" t="n">
        <v>45997</v>
      </c>
      <c r="D327" t="inlineStr">
        <is>
          <t>GOTLANDS LÄN</t>
        </is>
      </c>
      <c r="E327" t="inlineStr">
        <is>
          <t>GOTLAND</t>
        </is>
      </c>
      <c r="G327" t="n">
        <v>3.2</v>
      </c>
      <c r="H327" t="n">
        <v>0</v>
      </c>
      <c r="I327" t="n">
        <v>0</v>
      </c>
      <c r="J327" t="n">
        <v>0</v>
      </c>
      <c r="K327" t="n">
        <v>0</v>
      </c>
      <c r="L327" t="n">
        <v>0</v>
      </c>
      <c r="M327" t="n">
        <v>0</v>
      </c>
      <c r="N327" t="n">
        <v>0</v>
      </c>
      <c r="O327" t="n">
        <v>0</v>
      </c>
      <c r="P327" t="n">
        <v>0</v>
      </c>
      <c r="Q327" t="n">
        <v>0</v>
      </c>
      <c r="R327" s="2" t="inlineStr"/>
    </row>
    <row r="328" ht="15" customHeight="1">
      <c r="A328" t="inlineStr">
        <is>
          <t>A 61694-2023</t>
        </is>
      </c>
      <c r="B328" s="1" t="n">
        <v>45264</v>
      </c>
      <c r="C328" s="1" t="n">
        <v>45997</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41038-2023</t>
        </is>
      </c>
      <c r="B329" s="1" t="n">
        <v>45173.60959490741</v>
      </c>
      <c r="C329" s="1" t="n">
        <v>45997</v>
      </c>
      <c r="D329" t="inlineStr">
        <is>
          <t>GOTLANDS LÄN</t>
        </is>
      </c>
      <c r="E329" t="inlineStr">
        <is>
          <t>GOTLAND</t>
        </is>
      </c>
      <c r="G329" t="n">
        <v>2.7</v>
      </c>
      <c r="H329" t="n">
        <v>0</v>
      </c>
      <c r="I329" t="n">
        <v>0</v>
      </c>
      <c r="J329" t="n">
        <v>0</v>
      </c>
      <c r="K329" t="n">
        <v>0</v>
      </c>
      <c r="L329" t="n">
        <v>0</v>
      </c>
      <c r="M329" t="n">
        <v>0</v>
      </c>
      <c r="N329" t="n">
        <v>0</v>
      </c>
      <c r="O329" t="n">
        <v>0</v>
      </c>
      <c r="P329" t="n">
        <v>0</v>
      </c>
      <c r="Q329" t="n">
        <v>0</v>
      </c>
      <c r="R329" s="2" t="inlineStr"/>
    </row>
    <row r="330" ht="15" customHeight="1">
      <c r="A330" t="inlineStr">
        <is>
          <t>A 64555-2023</t>
        </is>
      </c>
      <c r="B330" s="1" t="n">
        <v>45281</v>
      </c>
      <c r="C330" s="1" t="n">
        <v>45997</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64831-2023</t>
        </is>
      </c>
      <c r="B331" s="1" t="n">
        <v>45282.44924768519</v>
      </c>
      <c r="C331" s="1" t="n">
        <v>45997</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14804-2021</t>
        </is>
      </c>
      <c r="B332" s="1" t="n">
        <v>44280</v>
      </c>
      <c r="C332" s="1" t="n">
        <v>45997</v>
      </c>
      <c r="D332" t="inlineStr">
        <is>
          <t>GOTLANDS LÄN</t>
        </is>
      </c>
      <c r="E332" t="inlineStr">
        <is>
          <t>GOTLAND</t>
        </is>
      </c>
      <c r="G332" t="n">
        <v>2.2</v>
      </c>
      <c r="H332" t="n">
        <v>0</v>
      </c>
      <c r="I332" t="n">
        <v>0</v>
      </c>
      <c r="J332" t="n">
        <v>0</v>
      </c>
      <c r="K332" t="n">
        <v>0</v>
      </c>
      <c r="L332" t="n">
        <v>0</v>
      </c>
      <c r="M332" t="n">
        <v>0</v>
      </c>
      <c r="N332" t="n">
        <v>0</v>
      </c>
      <c r="O332" t="n">
        <v>0</v>
      </c>
      <c r="P332" t="n">
        <v>0</v>
      </c>
      <c r="Q332" t="n">
        <v>0</v>
      </c>
      <c r="R332" s="2" t="inlineStr"/>
    </row>
    <row r="333" ht="15" customHeight="1">
      <c r="A333" t="inlineStr">
        <is>
          <t>A 999-2023</t>
        </is>
      </c>
      <c r="B333" s="1" t="n">
        <v>44935</v>
      </c>
      <c r="C333" s="1" t="n">
        <v>45997</v>
      </c>
      <c r="D333" t="inlineStr">
        <is>
          <t>GOTLANDS LÄN</t>
        </is>
      </c>
      <c r="E333" t="inlineStr">
        <is>
          <t>GOTLAND</t>
        </is>
      </c>
      <c r="G333" t="n">
        <v>4.7</v>
      </c>
      <c r="H333" t="n">
        <v>0</v>
      </c>
      <c r="I333" t="n">
        <v>0</v>
      </c>
      <c r="J333" t="n">
        <v>0</v>
      </c>
      <c r="K333" t="n">
        <v>0</v>
      </c>
      <c r="L333" t="n">
        <v>0</v>
      </c>
      <c r="M333" t="n">
        <v>0</v>
      </c>
      <c r="N333" t="n">
        <v>0</v>
      </c>
      <c r="O333" t="n">
        <v>0</v>
      </c>
      <c r="P333" t="n">
        <v>0</v>
      </c>
      <c r="Q333" t="n">
        <v>0</v>
      </c>
      <c r="R333" s="2" t="inlineStr"/>
    </row>
    <row r="334" ht="15" customHeight="1">
      <c r="A334" t="inlineStr">
        <is>
          <t>A 27602-2023</t>
        </is>
      </c>
      <c r="B334" s="1" t="n">
        <v>45097</v>
      </c>
      <c r="C334" s="1" t="n">
        <v>45997</v>
      </c>
      <c r="D334" t="inlineStr">
        <is>
          <t>GOTLANDS LÄN</t>
        </is>
      </c>
      <c r="E334" t="inlineStr">
        <is>
          <t>GOTLAND</t>
        </is>
      </c>
      <c r="G334" t="n">
        <v>2.7</v>
      </c>
      <c r="H334" t="n">
        <v>0</v>
      </c>
      <c r="I334" t="n">
        <v>0</v>
      </c>
      <c r="J334" t="n">
        <v>0</v>
      </c>
      <c r="K334" t="n">
        <v>0</v>
      </c>
      <c r="L334" t="n">
        <v>0</v>
      </c>
      <c r="M334" t="n">
        <v>0</v>
      </c>
      <c r="N334" t="n">
        <v>0</v>
      </c>
      <c r="O334" t="n">
        <v>0</v>
      </c>
      <c r="P334" t="n">
        <v>0</v>
      </c>
      <c r="Q334" t="n">
        <v>0</v>
      </c>
      <c r="R334" s="2" t="inlineStr"/>
    </row>
    <row r="335" ht="15" customHeight="1">
      <c r="A335" t="inlineStr">
        <is>
          <t>A 14427-2024</t>
        </is>
      </c>
      <c r="B335" s="1" t="n">
        <v>45394</v>
      </c>
      <c r="C335" s="1" t="n">
        <v>45997</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31802-2024</t>
        </is>
      </c>
      <c r="B336" s="1" t="n">
        <v>45509</v>
      </c>
      <c r="C336" s="1" t="n">
        <v>45997</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58780-2024</t>
        </is>
      </c>
      <c r="B337" s="1" t="n">
        <v>45635.84113425926</v>
      </c>
      <c r="C337" s="1" t="n">
        <v>45997</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4377-2023</t>
        </is>
      </c>
      <c r="B338" s="1" t="n">
        <v>44955.5502662037</v>
      </c>
      <c r="C338" s="1" t="n">
        <v>45997</v>
      </c>
      <c r="D338" t="inlineStr">
        <is>
          <t>GOTLANDS LÄN</t>
        </is>
      </c>
      <c r="E338" t="inlineStr">
        <is>
          <t>GOTLAND</t>
        </is>
      </c>
      <c r="F338" t="inlineStr">
        <is>
          <t>Kyrkan</t>
        </is>
      </c>
      <c r="G338" t="n">
        <v>0.6</v>
      </c>
      <c r="H338" t="n">
        <v>0</v>
      </c>
      <c r="I338" t="n">
        <v>0</v>
      </c>
      <c r="J338" t="n">
        <v>0</v>
      </c>
      <c r="K338" t="n">
        <v>0</v>
      </c>
      <c r="L338" t="n">
        <v>0</v>
      </c>
      <c r="M338" t="n">
        <v>0</v>
      </c>
      <c r="N338" t="n">
        <v>0</v>
      </c>
      <c r="O338" t="n">
        <v>0</v>
      </c>
      <c r="P338" t="n">
        <v>0</v>
      </c>
      <c r="Q338" t="n">
        <v>0</v>
      </c>
      <c r="R338" s="2" t="inlineStr"/>
    </row>
    <row r="339" ht="15" customHeight="1">
      <c r="A339" t="inlineStr">
        <is>
          <t>A 4387-2023</t>
        </is>
      </c>
      <c r="B339" s="1" t="n">
        <v>44955.73359953704</v>
      </c>
      <c r="C339" s="1" t="n">
        <v>45997</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39479-2022</t>
        </is>
      </c>
      <c r="B340" s="1" t="n">
        <v>44818</v>
      </c>
      <c r="C340" s="1" t="n">
        <v>45997</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8036-2022</t>
        </is>
      </c>
      <c r="B341" s="1" t="n">
        <v>44609.44362268518</v>
      </c>
      <c r="C341" s="1" t="n">
        <v>45997</v>
      </c>
      <c r="D341" t="inlineStr">
        <is>
          <t>GOTLANDS LÄN</t>
        </is>
      </c>
      <c r="E341" t="inlineStr">
        <is>
          <t>GOTLAND</t>
        </is>
      </c>
      <c r="G341" t="n">
        <v>6.1</v>
      </c>
      <c r="H341" t="n">
        <v>0</v>
      </c>
      <c r="I341" t="n">
        <v>0</v>
      </c>
      <c r="J341" t="n">
        <v>0</v>
      </c>
      <c r="K341" t="n">
        <v>0</v>
      </c>
      <c r="L341" t="n">
        <v>0</v>
      </c>
      <c r="M341" t="n">
        <v>0</v>
      </c>
      <c r="N341" t="n">
        <v>0</v>
      </c>
      <c r="O341" t="n">
        <v>0</v>
      </c>
      <c r="P341" t="n">
        <v>0</v>
      </c>
      <c r="Q341" t="n">
        <v>0</v>
      </c>
      <c r="R341" s="2" t="inlineStr"/>
    </row>
    <row r="342" ht="15" customHeight="1">
      <c r="A342" t="inlineStr">
        <is>
          <t>A 12846-2025</t>
        </is>
      </c>
      <c r="B342" s="1" t="n">
        <v>45733.65049768519</v>
      </c>
      <c r="C342" s="1" t="n">
        <v>45997</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51963-2024</t>
        </is>
      </c>
      <c r="B343" s="1" t="n">
        <v>45607.64833333333</v>
      </c>
      <c r="C343" s="1" t="n">
        <v>45997</v>
      </c>
      <c r="D343" t="inlineStr">
        <is>
          <t>GOTLANDS LÄN</t>
        </is>
      </c>
      <c r="E343" t="inlineStr">
        <is>
          <t>GOTLAND</t>
        </is>
      </c>
      <c r="G343" t="n">
        <v>2.4</v>
      </c>
      <c r="H343" t="n">
        <v>0</v>
      </c>
      <c r="I343" t="n">
        <v>0</v>
      </c>
      <c r="J343" t="n">
        <v>0</v>
      </c>
      <c r="K343" t="n">
        <v>0</v>
      </c>
      <c r="L343" t="n">
        <v>0</v>
      </c>
      <c r="M343" t="n">
        <v>0</v>
      </c>
      <c r="N343" t="n">
        <v>0</v>
      </c>
      <c r="O343" t="n">
        <v>0</v>
      </c>
      <c r="P343" t="n">
        <v>0</v>
      </c>
      <c r="Q343" t="n">
        <v>0</v>
      </c>
      <c r="R343" s="2" t="inlineStr"/>
    </row>
    <row r="344" ht="15" customHeight="1">
      <c r="A344" t="inlineStr">
        <is>
          <t>A 811-2023</t>
        </is>
      </c>
      <c r="B344" s="1" t="n">
        <v>44931</v>
      </c>
      <c r="C344" s="1" t="n">
        <v>45997</v>
      </c>
      <c r="D344" t="inlineStr">
        <is>
          <t>GOTLANDS LÄN</t>
        </is>
      </c>
      <c r="E344" t="inlineStr">
        <is>
          <t>GOTLAND</t>
        </is>
      </c>
      <c r="G344" t="n">
        <v>0.6</v>
      </c>
      <c r="H344" t="n">
        <v>0</v>
      </c>
      <c r="I344" t="n">
        <v>0</v>
      </c>
      <c r="J344" t="n">
        <v>0</v>
      </c>
      <c r="K344" t="n">
        <v>0</v>
      </c>
      <c r="L344" t="n">
        <v>0</v>
      </c>
      <c r="M344" t="n">
        <v>0</v>
      </c>
      <c r="N344" t="n">
        <v>0</v>
      </c>
      <c r="O344" t="n">
        <v>0</v>
      </c>
      <c r="P344" t="n">
        <v>0</v>
      </c>
      <c r="Q344" t="n">
        <v>0</v>
      </c>
      <c r="R344" s="2" t="inlineStr"/>
    </row>
    <row r="345" ht="15" customHeight="1">
      <c r="A345" t="inlineStr">
        <is>
          <t>A 46389-2021</t>
        </is>
      </c>
      <c r="B345" s="1" t="n">
        <v>44443</v>
      </c>
      <c r="C345" s="1" t="n">
        <v>45997</v>
      </c>
      <c r="D345" t="inlineStr">
        <is>
          <t>GOTLANDS LÄN</t>
        </is>
      </c>
      <c r="E345" t="inlineStr">
        <is>
          <t>GOTLAND</t>
        </is>
      </c>
      <c r="F345" t="inlineStr">
        <is>
          <t>Kyrkan</t>
        </is>
      </c>
      <c r="G345" t="n">
        <v>2.1</v>
      </c>
      <c r="H345" t="n">
        <v>0</v>
      </c>
      <c r="I345" t="n">
        <v>0</v>
      </c>
      <c r="J345" t="n">
        <v>0</v>
      </c>
      <c r="K345" t="n">
        <v>0</v>
      </c>
      <c r="L345" t="n">
        <v>0</v>
      </c>
      <c r="M345" t="n">
        <v>0</v>
      </c>
      <c r="N345" t="n">
        <v>0</v>
      </c>
      <c r="O345" t="n">
        <v>0</v>
      </c>
      <c r="P345" t="n">
        <v>0</v>
      </c>
      <c r="Q345" t="n">
        <v>0</v>
      </c>
      <c r="R345" s="2" t="inlineStr"/>
    </row>
    <row r="346" ht="15" customHeight="1">
      <c r="A346" t="inlineStr">
        <is>
          <t>A 26810-2021</t>
        </is>
      </c>
      <c r="B346" s="1" t="n">
        <v>44349.55087962963</v>
      </c>
      <c r="C346" s="1" t="n">
        <v>45997</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7835-2024</t>
        </is>
      </c>
      <c r="B347" s="1" t="n">
        <v>45349.83138888889</v>
      </c>
      <c r="C347" s="1" t="n">
        <v>45997</v>
      </c>
      <c r="D347" t="inlineStr">
        <is>
          <t>GOTLANDS LÄN</t>
        </is>
      </c>
      <c r="E347" t="inlineStr">
        <is>
          <t>GOTLAND</t>
        </is>
      </c>
      <c r="G347" t="n">
        <v>3.8</v>
      </c>
      <c r="H347" t="n">
        <v>0</v>
      </c>
      <c r="I347" t="n">
        <v>0</v>
      </c>
      <c r="J347" t="n">
        <v>0</v>
      </c>
      <c r="K347" t="n">
        <v>0</v>
      </c>
      <c r="L347" t="n">
        <v>0</v>
      </c>
      <c r="M347" t="n">
        <v>0</v>
      </c>
      <c r="N347" t="n">
        <v>0</v>
      </c>
      <c r="O347" t="n">
        <v>0</v>
      </c>
      <c r="P347" t="n">
        <v>0</v>
      </c>
      <c r="Q347" t="n">
        <v>0</v>
      </c>
      <c r="R347" s="2" t="inlineStr"/>
    </row>
    <row r="348" ht="15" customHeight="1">
      <c r="A348" t="inlineStr">
        <is>
          <t>A 46949-2024</t>
        </is>
      </c>
      <c r="B348" s="1" t="n">
        <v>45585</v>
      </c>
      <c r="C348" s="1" t="n">
        <v>45997</v>
      </c>
      <c r="D348" t="inlineStr">
        <is>
          <t>GOTLANDS LÄN</t>
        </is>
      </c>
      <c r="E348" t="inlineStr">
        <is>
          <t>GOTLAND</t>
        </is>
      </c>
      <c r="G348" t="n">
        <v>0.6</v>
      </c>
      <c r="H348" t="n">
        <v>0</v>
      </c>
      <c r="I348" t="n">
        <v>0</v>
      </c>
      <c r="J348" t="n">
        <v>0</v>
      </c>
      <c r="K348" t="n">
        <v>0</v>
      </c>
      <c r="L348" t="n">
        <v>0</v>
      </c>
      <c r="M348" t="n">
        <v>0</v>
      </c>
      <c r="N348" t="n">
        <v>0</v>
      </c>
      <c r="O348" t="n">
        <v>0</v>
      </c>
      <c r="P348" t="n">
        <v>0</v>
      </c>
      <c r="Q348" t="n">
        <v>0</v>
      </c>
      <c r="R348" s="2" t="inlineStr"/>
    </row>
    <row r="349" ht="15" customHeight="1">
      <c r="A349" t="inlineStr">
        <is>
          <t>A 5923-2023</t>
        </is>
      </c>
      <c r="B349" s="1" t="n">
        <v>44963.69503472222</v>
      </c>
      <c r="C349" s="1" t="n">
        <v>45997</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33853-2024</t>
        </is>
      </c>
      <c r="B350" s="1" t="n">
        <v>45520.64298611111</v>
      </c>
      <c r="C350" s="1" t="n">
        <v>45997</v>
      </c>
      <c r="D350" t="inlineStr">
        <is>
          <t>GOTLANDS LÄN</t>
        </is>
      </c>
      <c r="E350" t="inlineStr">
        <is>
          <t>GOTLAND</t>
        </is>
      </c>
      <c r="G350" t="n">
        <v>3.9</v>
      </c>
      <c r="H350" t="n">
        <v>0</v>
      </c>
      <c r="I350" t="n">
        <v>0</v>
      </c>
      <c r="J350" t="n">
        <v>0</v>
      </c>
      <c r="K350" t="n">
        <v>0</v>
      </c>
      <c r="L350" t="n">
        <v>0</v>
      </c>
      <c r="M350" t="n">
        <v>0</v>
      </c>
      <c r="N350" t="n">
        <v>0</v>
      </c>
      <c r="O350" t="n">
        <v>0</v>
      </c>
      <c r="P350" t="n">
        <v>0</v>
      </c>
      <c r="Q350" t="n">
        <v>0</v>
      </c>
      <c r="R350" s="2" t="inlineStr"/>
    </row>
    <row r="351" ht="15" customHeight="1">
      <c r="A351" t="inlineStr">
        <is>
          <t>A 18918-2025</t>
        </is>
      </c>
      <c r="B351" s="1" t="n">
        <v>45764</v>
      </c>
      <c r="C351" s="1" t="n">
        <v>45997</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20794-2025</t>
        </is>
      </c>
      <c r="B352" s="1" t="n">
        <v>45776</v>
      </c>
      <c r="C352" s="1" t="n">
        <v>45997</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2674-2023</t>
        </is>
      </c>
      <c r="B353" s="1" t="n">
        <v>44944</v>
      </c>
      <c r="C353" s="1" t="n">
        <v>45997</v>
      </c>
      <c r="D353" t="inlineStr">
        <is>
          <t>GOTLANDS LÄN</t>
        </is>
      </c>
      <c r="E353" t="inlineStr">
        <is>
          <t>GOTLAND</t>
        </is>
      </c>
      <c r="G353" t="n">
        <v>2.5</v>
      </c>
      <c r="H353" t="n">
        <v>0</v>
      </c>
      <c r="I353" t="n">
        <v>0</v>
      </c>
      <c r="J353" t="n">
        <v>0</v>
      </c>
      <c r="K353" t="n">
        <v>0</v>
      </c>
      <c r="L353" t="n">
        <v>0</v>
      </c>
      <c r="M353" t="n">
        <v>0</v>
      </c>
      <c r="N353" t="n">
        <v>0</v>
      </c>
      <c r="O353" t="n">
        <v>0</v>
      </c>
      <c r="P353" t="n">
        <v>0</v>
      </c>
      <c r="Q353" t="n">
        <v>0</v>
      </c>
      <c r="R353" s="2" t="inlineStr"/>
    </row>
    <row r="354" ht="15" customHeight="1">
      <c r="A354" t="inlineStr">
        <is>
          <t>A 10650-2022</t>
        </is>
      </c>
      <c r="B354" s="1" t="n">
        <v>44624.57945601852</v>
      </c>
      <c r="C354" s="1" t="n">
        <v>45997</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20805-2025</t>
        </is>
      </c>
      <c r="B355" s="1" t="n">
        <v>45776</v>
      </c>
      <c r="C355" s="1" t="n">
        <v>45997</v>
      </c>
      <c r="D355" t="inlineStr">
        <is>
          <t>GOTLANDS LÄN</t>
        </is>
      </c>
      <c r="E355" t="inlineStr">
        <is>
          <t>GOTLAND</t>
        </is>
      </c>
      <c r="G355" t="n">
        <v>3.1</v>
      </c>
      <c r="H355" t="n">
        <v>0</v>
      </c>
      <c r="I355" t="n">
        <v>0</v>
      </c>
      <c r="J355" t="n">
        <v>0</v>
      </c>
      <c r="K355" t="n">
        <v>0</v>
      </c>
      <c r="L355" t="n">
        <v>0</v>
      </c>
      <c r="M355" t="n">
        <v>0</v>
      </c>
      <c r="N355" t="n">
        <v>0</v>
      </c>
      <c r="O355" t="n">
        <v>0</v>
      </c>
      <c r="P355" t="n">
        <v>0</v>
      </c>
      <c r="Q355" t="n">
        <v>0</v>
      </c>
      <c r="R355" s="2" t="inlineStr"/>
    </row>
    <row r="356" ht="15" customHeight="1">
      <c r="A356" t="inlineStr">
        <is>
          <t>A 45692-2023</t>
        </is>
      </c>
      <c r="B356" s="1" t="n">
        <v>45195</v>
      </c>
      <c r="C356" s="1" t="n">
        <v>45997</v>
      </c>
      <c r="D356" t="inlineStr">
        <is>
          <t>GOTLANDS LÄN</t>
        </is>
      </c>
      <c r="E356" t="inlineStr">
        <is>
          <t>GOTLAND</t>
        </is>
      </c>
      <c r="G356" t="n">
        <v>5.3</v>
      </c>
      <c r="H356" t="n">
        <v>0</v>
      </c>
      <c r="I356" t="n">
        <v>0</v>
      </c>
      <c r="J356" t="n">
        <v>0</v>
      </c>
      <c r="K356" t="n">
        <v>0</v>
      </c>
      <c r="L356" t="n">
        <v>0</v>
      </c>
      <c r="M356" t="n">
        <v>0</v>
      </c>
      <c r="N356" t="n">
        <v>0</v>
      </c>
      <c r="O356" t="n">
        <v>0</v>
      </c>
      <c r="P356" t="n">
        <v>0</v>
      </c>
      <c r="Q356" t="n">
        <v>0</v>
      </c>
      <c r="R356" s="2" t="inlineStr"/>
    </row>
    <row r="357" ht="15" customHeight="1">
      <c r="A357" t="inlineStr">
        <is>
          <t>A 33876-2024</t>
        </is>
      </c>
      <c r="B357" s="1" t="n">
        <v>45521.87988425926</v>
      </c>
      <c r="C357" s="1" t="n">
        <v>45997</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10655-2023</t>
        </is>
      </c>
      <c r="B358" s="1" t="n">
        <v>44988.49543981482</v>
      </c>
      <c r="C358" s="1" t="n">
        <v>45997</v>
      </c>
      <c r="D358" t="inlineStr">
        <is>
          <t>GOTLANDS LÄN</t>
        </is>
      </c>
      <c r="E358" t="inlineStr">
        <is>
          <t>GOTLAND</t>
        </is>
      </c>
      <c r="F358" t="inlineStr">
        <is>
          <t>Kyrkan</t>
        </is>
      </c>
      <c r="G358" t="n">
        <v>2</v>
      </c>
      <c r="H358" t="n">
        <v>0</v>
      </c>
      <c r="I358" t="n">
        <v>0</v>
      </c>
      <c r="J358" t="n">
        <v>0</v>
      </c>
      <c r="K358" t="n">
        <v>0</v>
      </c>
      <c r="L358" t="n">
        <v>0</v>
      </c>
      <c r="M358" t="n">
        <v>0</v>
      </c>
      <c r="N358" t="n">
        <v>0</v>
      </c>
      <c r="O358" t="n">
        <v>0</v>
      </c>
      <c r="P358" t="n">
        <v>0</v>
      </c>
      <c r="Q358" t="n">
        <v>0</v>
      </c>
      <c r="R358" s="2" t="inlineStr"/>
    </row>
    <row r="359" ht="15" customHeight="1">
      <c r="A359" t="inlineStr">
        <is>
          <t>A 2719-2023</t>
        </is>
      </c>
      <c r="B359" s="1" t="n">
        <v>44944.55361111111</v>
      </c>
      <c r="C359" s="1" t="n">
        <v>45997</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26891-2024</t>
        </is>
      </c>
      <c r="B360" s="1" t="n">
        <v>45470.65540509259</v>
      </c>
      <c r="C360" s="1" t="n">
        <v>45997</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42007-2023</t>
        </is>
      </c>
      <c r="B361" s="1" t="n">
        <v>45177</v>
      </c>
      <c r="C361" s="1" t="n">
        <v>45997</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28285-2024</t>
        </is>
      </c>
      <c r="B362" s="1" t="n">
        <v>45477</v>
      </c>
      <c r="C362" s="1" t="n">
        <v>45997</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21389-2025</t>
        </is>
      </c>
      <c r="B363" s="1" t="n">
        <v>45782</v>
      </c>
      <c r="C363" s="1" t="n">
        <v>45997</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9887-2025</t>
        </is>
      </c>
      <c r="B364" s="1" t="n">
        <v>45716</v>
      </c>
      <c r="C364" s="1" t="n">
        <v>45997</v>
      </c>
      <c r="D364" t="inlineStr">
        <is>
          <t>GOTLANDS LÄN</t>
        </is>
      </c>
      <c r="E364" t="inlineStr">
        <is>
          <t>GOTLAND</t>
        </is>
      </c>
      <c r="G364" t="n">
        <v>7.5</v>
      </c>
      <c r="H364" t="n">
        <v>0</v>
      </c>
      <c r="I364" t="n">
        <v>0</v>
      </c>
      <c r="J364" t="n">
        <v>0</v>
      </c>
      <c r="K364" t="n">
        <v>0</v>
      </c>
      <c r="L364" t="n">
        <v>0</v>
      </c>
      <c r="M364" t="n">
        <v>0</v>
      </c>
      <c r="N364" t="n">
        <v>0</v>
      </c>
      <c r="O364" t="n">
        <v>0</v>
      </c>
      <c r="P364" t="n">
        <v>0</v>
      </c>
      <c r="Q364" t="n">
        <v>0</v>
      </c>
      <c r="R364" s="2" t="inlineStr"/>
    </row>
    <row r="365" ht="15" customHeight="1">
      <c r="A365" t="inlineStr">
        <is>
          <t>A 61100-2022</t>
        </is>
      </c>
      <c r="B365" s="1" t="n">
        <v>44915</v>
      </c>
      <c r="C365" s="1" t="n">
        <v>45997</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61682-2024</t>
        </is>
      </c>
      <c r="B366" s="1" t="n">
        <v>45647.48824074074</v>
      </c>
      <c r="C366" s="1" t="n">
        <v>45997</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38165-2023</t>
        </is>
      </c>
      <c r="B367" s="1" t="n">
        <v>45161</v>
      </c>
      <c r="C367" s="1" t="n">
        <v>45997</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11634-2024</t>
        </is>
      </c>
      <c r="B368" s="1" t="n">
        <v>45373</v>
      </c>
      <c r="C368" s="1" t="n">
        <v>45997</v>
      </c>
      <c r="D368" t="inlineStr">
        <is>
          <t>GOTLANDS LÄN</t>
        </is>
      </c>
      <c r="E368" t="inlineStr">
        <is>
          <t>GOTLAND</t>
        </is>
      </c>
      <c r="G368" t="n">
        <v>3</v>
      </c>
      <c r="H368" t="n">
        <v>0</v>
      </c>
      <c r="I368" t="n">
        <v>0</v>
      </c>
      <c r="J368" t="n">
        <v>0</v>
      </c>
      <c r="K368" t="n">
        <v>0</v>
      </c>
      <c r="L368" t="n">
        <v>0</v>
      </c>
      <c r="M368" t="n">
        <v>0</v>
      </c>
      <c r="N368" t="n">
        <v>0</v>
      </c>
      <c r="O368" t="n">
        <v>0</v>
      </c>
      <c r="P368" t="n">
        <v>0</v>
      </c>
      <c r="Q368" t="n">
        <v>0</v>
      </c>
      <c r="R368" s="2" t="inlineStr"/>
    </row>
    <row r="369" ht="15" customHeight="1">
      <c r="A369" t="inlineStr">
        <is>
          <t>A 21651-2025</t>
        </is>
      </c>
      <c r="B369" s="1" t="n">
        <v>45783</v>
      </c>
      <c r="C369" s="1" t="n">
        <v>45997</v>
      </c>
      <c r="D369" t="inlineStr">
        <is>
          <t>GOTLANDS LÄN</t>
        </is>
      </c>
      <c r="E369" t="inlineStr">
        <is>
          <t>GOTLAND</t>
        </is>
      </c>
      <c r="G369" t="n">
        <v>4.2</v>
      </c>
      <c r="H369" t="n">
        <v>0</v>
      </c>
      <c r="I369" t="n">
        <v>0</v>
      </c>
      <c r="J369" t="n">
        <v>0</v>
      </c>
      <c r="K369" t="n">
        <v>0</v>
      </c>
      <c r="L369" t="n">
        <v>0</v>
      </c>
      <c r="M369" t="n">
        <v>0</v>
      </c>
      <c r="N369" t="n">
        <v>0</v>
      </c>
      <c r="O369" t="n">
        <v>0</v>
      </c>
      <c r="P369" t="n">
        <v>0</v>
      </c>
      <c r="Q369" t="n">
        <v>0</v>
      </c>
      <c r="R369" s="2" t="inlineStr"/>
    </row>
    <row r="370" ht="15" customHeight="1">
      <c r="A370" t="inlineStr">
        <is>
          <t>A 1351-2025</t>
        </is>
      </c>
      <c r="B370" s="1" t="n">
        <v>45667.62246527777</v>
      </c>
      <c r="C370" s="1" t="n">
        <v>45997</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39496-2022</t>
        </is>
      </c>
      <c r="B371" s="1" t="n">
        <v>44818</v>
      </c>
      <c r="C371" s="1" t="n">
        <v>45997</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27596-2023</t>
        </is>
      </c>
      <c r="B372" s="1" t="n">
        <v>45097</v>
      </c>
      <c r="C372" s="1" t="n">
        <v>45997</v>
      </c>
      <c r="D372" t="inlineStr">
        <is>
          <t>GOTLANDS LÄN</t>
        </is>
      </c>
      <c r="E372" t="inlineStr">
        <is>
          <t>GOTLAND</t>
        </is>
      </c>
      <c r="G372" t="n">
        <v>3.6</v>
      </c>
      <c r="H372" t="n">
        <v>0</v>
      </c>
      <c r="I372" t="n">
        <v>0</v>
      </c>
      <c r="J372" t="n">
        <v>0</v>
      </c>
      <c r="K372" t="n">
        <v>0</v>
      </c>
      <c r="L372" t="n">
        <v>0</v>
      </c>
      <c r="M372" t="n">
        <v>0</v>
      </c>
      <c r="N372" t="n">
        <v>0</v>
      </c>
      <c r="O372" t="n">
        <v>0</v>
      </c>
      <c r="P372" t="n">
        <v>0</v>
      </c>
      <c r="Q372" t="n">
        <v>0</v>
      </c>
      <c r="R372" s="2" t="inlineStr"/>
    </row>
    <row r="373" ht="15" customHeight="1">
      <c r="A373" t="inlineStr">
        <is>
          <t>A 49874-2024</t>
        </is>
      </c>
      <c r="B373" s="1" t="n">
        <v>45597.49274305555</v>
      </c>
      <c r="C373" s="1" t="n">
        <v>45997</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24825-2024</t>
        </is>
      </c>
      <c r="B374" s="1" t="n">
        <v>45461</v>
      </c>
      <c r="C374" s="1" t="n">
        <v>45997</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6696-2023</t>
        </is>
      </c>
      <c r="B375" s="1" t="n">
        <v>44966.66425925926</v>
      </c>
      <c r="C375" s="1" t="n">
        <v>45997</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21247-2022</t>
        </is>
      </c>
      <c r="B376" s="1" t="n">
        <v>44705.38832175926</v>
      </c>
      <c r="C376" s="1" t="n">
        <v>45997</v>
      </c>
      <c r="D376" t="inlineStr">
        <is>
          <t>GOTLANDS LÄN</t>
        </is>
      </c>
      <c r="E376" t="inlineStr">
        <is>
          <t>GOTLAND</t>
        </is>
      </c>
      <c r="G376" t="n">
        <v>16.2</v>
      </c>
      <c r="H376" t="n">
        <v>0</v>
      </c>
      <c r="I376" t="n">
        <v>0</v>
      </c>
      <c r="J376" t="n">
        <v>0</v>
      </c>
      <c r="K376" t="n">
        <v>0</v>
      </c>
      <c r="L376" t="n">
        <v>0</v>
      </c>
      <c r="M376" t="n">
        <v>0</v>
      </c>
      <c r="N376" t="n">
        <v>0</v>
      </c>
      <c r="O376" t="n">
        <v>0</v>
      </c>
      <c r="P376" t="n">
        <v>0</v>
      </c>
      <c r="Q376" t="n">
        <v>0</v>
      </c>
      <c r="R376" s="2" t="inlineStr"/>
    </row>
    <row r="377" ht="15" customHeight="1">
      <c r="A377" t="inlineStr">
        <is>
          <t>A 456-2023</t>
        </is>
      </c>
      <c r="B377" s="1" t="n">
        <v>44929.87122685185</v>
      </c>
      <c r="C377" s="1" t="n">
        <v>45997</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42201-2023</t>
        </is>
      </c>
      <c r="B378" s="1" t="n">
        <v>45179</v>
      </c>
      <c r="C378" s="1" t="n">
        <v>45997</v>
      </c>
      <c r="D378" t="inlineStr">
        <is>
          <t>GOTLANDS LÄN</t>
        </is>
      </c>
      <c r="E378" t="inlineStr">
        <is>
          <t>GOTLAND</t>
        </is>
      </c>
      <c r="G378" t="n">
        <v>11.9</v>
      </c>
      <c r="H378" t="n">
        <v>0</v>
      </c>
      <c r="I378" t="n">
        <v>0</v>
      </c>
      <c r="J378" t="n">
        <v>0</v>
      </c>
      <c r="K378" t="n">
        <v>0</v>
      </c>
      <c r="L378" t="n">
        <v>0</v>
      </c>
      <c r="M378" t="n">
        <v>0</v>
      </c>
      <c r="N378" t="n">
        <v>0</v>
      </c>
      <c r="O378" t="n">
        <v>0</v>
      </c>
      <c r="P378" t="n">
        <v>0</v>
      </c>
      <c r="Q378" t="n">
        <v>0</v>
      </c>
      <c r="R378" s="2" t="inlineStr"/>
    </row>
    <row r="379" ht="15" customHeight="1">
      <c r="A379" t="inlineStr">
        <is>
          <t>A 2714-2023</t>
        </is>
      </c>
      <c r="B379" s="1" t="n">
        <v>44944.54896990741</v>
      </c>
      <c r="C379" s="1" t="n">
        <v>45997</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46400-2023</t>
        </is>
      </c>
      <c r="B380" s="1" t="n">
        <v>45197.49290509259</v>
      </c>
      <c r="C380" s="1" t="n">
        <v>45997</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4421-2024</t>
        </is>
      </c>
      <c r="B381" s="1" t="n">
        <v>45327.45173611111</v>
      </c>
      <c r="C381" s="1" t="n">
        <v>45997</v>
      </c>
      <c r="D381" t="inlineStr">
        <is>
          <t>GOTLANDS LÄN</t>
        </is>
      </c>
      <c r="E381" t="inlineStr">
        <is>
          <t>GOTLAND</t>
        </is>
      </c>
      <c r="G381" t="n">
        <v>5.1</v>
      </c>
      <c r="H381" t="n">
        <v>0</v>
      </c>
      <c r="I381" t="n">
        <v>0</v>
      </c>
      <c r="J381" t="n">
        <v>0</v>
      </c>
      <c r="K381" t="n">
        <v>0</v>
      </c>
      <c r="L381" t="n">
        <v>0</v>
      </c>
      <c r="M381" t="n">
        <v>0</v>
      </c>
      <c r="N381" t="n">
        <v>0</v>
      </c>
      <c r="O381" t="n">
        <v>0</v>
      </c>
      <c r="P381" t="n">
        <v>0</v>
      </c>
      <c r="Q381" t="n">
        <v>0</v>
      </c>
      <c r="R381" s="2" t="inlineStr"/>
    </row>
    <row r="382" ht="15" customHeight="1">
      <c r="A382" t="inlineStr">
        <is>
          <t>A 9875-2025</t>
        </is>
      </c>
      <c r="B382" s="1" t="n">
        <v>45716</v>
      </c>
      <c r="C382" s="1" t="n">
        <v>45997</v>
      </c>
      <c r="D382" t="inlineStr">
        <is>
          <t>GOTLANDS LÄN</t>
        </is>
      </c>
      <c r="E382" t="inlineStr">
        <is>
          <t>GOTLAND</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51782-2023</t>
        </is>
      </c>
      <c r="B383" s="1" t="n">
        <v>45222.80952546297</v>
      </c>
      <c r="C383" s="1" t="n">
        <v>45997</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54268-2022</t>
        </is>
      </c>
      <c r="B384" s="1" t="n">
        <v>44882</v>
      </c>
      <c r="C384" s="1" t="n">
        <v>45997</v>
      </c>
      <c r="D384" t="inlineStr">
        <is>
          <t>GOTLANDS LÄN</t>
        </is>
      </c>
      <c r="E384" t="inlineStr">
        <is>
          <t>GOTLAND</t>
        </is>
      </c>
      <c r="G384" t="n">
        <v>2.7</v>
      </c>
      <c r="H384" t="n">
        <v>0</v>
      </c>
      <c r="I384" t="n">
        <v>0</v>
      </c>
      <c r="J384" t="n">
        <v>0</v>
      </c>
      <c r="K384" t="n">
        <v>0</v>
      </c>
      <c r="L384" t="n">
        <v>0</v>
      </c>
      <c r="M384" t="n">
        <v>0</v>
      </c>
      <c r="N384" t="n">
        <v>0</v>
      </c>
      <c r="O384" t="n">
        <v>0</v>
      </c>
      <c r="P384" t="n">
        <v>0</v>
      </c>
      <c r="Q384" t="n">
        <v>0</v>
      </c>
      <c r="R384" s="2" t="inlineStr"/>
    </row>
    <row r="385" ht="15" customHeight="1">
      <c r="A385" t="inlineStr">
        <is>
          <t>A 21164-2024</t>
        </is>
      </c>
      <c r="B385" s="1" t="n">
        <v>45440</v>
      </c>
      <c r="C385" s="1" t="n">
        <v>45997</v>
      </c>
      <c r="D385" t="inlineStr">
        <is>
          <t>GOTLANDS LÄN</t>
        </is>
      </c>
      <c r="E385" t="inlineStr">
        <is>
          <t>GOTLAND</t>
        </is>
      </c>
      <c r="G385" t="n">
        <v>6.3</v>
      </c>
      <c r="H385" t="n">
        <v>0</v>
      </c>
      <c r="I385" t="n">
        <v>0</v>
      </c>
      <c r="J385" t="n">
        <v>0</v>
      </c>
      <c r="K385" t="n">
        <v>0</v>
      </c>
      <c r="L385" t="n">
        <v>0</v>
      </c>
      <c r="M385" t="n">
        <v>0</v>
      </c>
      <c r="N385" t="n">
        <v>0</v>
      </c>
      <c r="O385" t="n">
        <v>0</v>
      </c>
      <c r="P385" t="n">
        <v>0</v>
      </c>
      <c r="Q385" t="n">
        <v>0</v>
      </c>
      <c r="R385" s="2" t="inlineStr"/>
    </row>
    <row r="386" ht="15" customHeight="1">
      <c r="A386" t="inlineStr">
        <is>
          <t>A 8045-2022</t>
        </is>
      </c>
      <c r="B386" s="1" t="n">
        <v>44609</v>
      </c>
      <c r="C386" s="1" t="n">
        <v>45997</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57534-2022</t>
        </is>
      </c>
      <c r="B387" s="1" t="n">
        <v>44896</v>
      </c>
      <c r="C387" s="1" t="n">
        <v>45997</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25866-2022</t>
        </is>
      </c>
      <c r="B388" s="1" t="n">
        <v>44733</v>
      </c>
      <c r="C388" s="1" t="n">
        <v>45997</v>
      </c>
      <c r="D388" t="inlineStr">
        <is>
          <t>GOTLANDS LÄN</t>
        </is>
      </c>
      <c r="E388" t="inlineStr">
        <is>
          <t>GOTLAND</t>
        </is>
      </c>
      <c r="G388" t="n">
        <v>2.9</v>
      </c>
      <c r="H388" t="n">
        <v>0</v>
      </c>
      <c r="I388" t="n">
        <v>0</v>
      </c>
      <c r="J388" t="n">
        <v>0</v>
      </c>
      <c r="K388" t="n">
        <v>0</v>
      </c>
      <c r="L388" t="n">
        <v>0</v>
      </c>
      <c r="M388" t="n">
        <v>0</v>
      </c>
      <c r="N388" t="n">
        <v>0</v>
      </c>
      <c r="O388" t="n">
        <v>0</v>
      </c>
      <c r="P388" t="n">
        <v>0</v>
      </c>
      <c r="Q388" t="n">
        <v>0</v>
      </c>
      <c r="R388" s="2" t="inlineStr"/>
    </row>
    <row r="389" ht="15" customHeight="1">
      <c r="A389" t="inlineStr">
        <is>
          <t>A 43229-2023</t>
        </is>
      </c>
      <c r="B389" s="1" t="n">
        <v>45183.46704861111</v>
      </c>
      <c r="C389" s="1" t="n">
        <v>45997</v>
      </c>
      <c r="D389" t="inlineStr">
        <is>
          <t>GOTLANDS LÄN</t>
        </is>
      </c>
      <c r="E389" t="inlineStr">
        <is>
          <t>GOTLAND</t>
        </is>
      </c>
      <c r="G389" t="n">
        <v>7.1</v>
      </c>
      <c r="H389" t="n">
        <v>0</v>
      </c>
      <c r="I389" t="n">
        <v>0</v>
      </c>
      <c r="J389" t="n">
        <v>0</v>
      </c>
      <c r="K389" t="n">
        <v>0</v>
      </c>
      <c r="L389" t="n">
        <v>0</v>
      </c>
      <c r="M389" t="n">
        <v>0</v>
      </c>
      <c r="N389" t="n">
        <v>0</v>
      </c>
      <c r="O389" t="n">
        <v>0</v>
      </c>
      <c r="P389" t="n">
        <v>0</v>
      </c>
      <c r="Q389" t="n">
        <v>0</v>
      </c>
      <c r="R389" s="2" t="inlineStr"/>
    </row>
    <row r="390" ht="15" customHeight="1">
      <c r="A390" t="inlineStr">
        <is>
          <t>A 1175-2025</t>
        </is>
      </c>
      <c r="B390" s="1" t="n">
        <v>45667.34449074074</v>
      </c>
      <c r="C390" s="1" t="n">
        <v>45997</v>
      </c>
      <c r="D390" t="inlineStr">
        <is>
          <t>GOTLANDS LÄN</t>
        </is>
      </c>
      <c r="E390" t="inlineStr">
        <is>
          <t>GOTLAND</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27095-2022</t>
        </is>
      </c>
      <c r="B391" s="1" t="n">
        <v>44741</v>
      </c>
      <c r="C391" s="1" t="n">
        <v>45997</v>
      </c>
      <c r="D391" t="inlineStr">
        <is>
          <t>GOTLANDS LÄN</t>
        </is>
      </c>
      <c r="E391" t="inlineStr">
        <is>
          <t>GOTLAND</t>
        </is>
      </c>
      <c r="F391" t="inlineStr">
        <is>
          <t>Övriga Aktiebolag</t>
        </is>
      </c>
      <c r="G391" t="n">
        <v>2.9</v>
      </c>
      <c r="H391" t="n">
        <v>0</v>
      </c>
      <c r="I391" t="n">
        <v>0</v>
      </c>
      <c r="J391" t="n">
        <v>0</v>
      </c>
      <c r="K391" t="n">
        <v>0</v>
      </c>
      <c r="L391" t="n">
        <v>0</v>
      </c>
      <c r="M391" t="n">
        <v>0</v>
      </c>
      <c r="N391" t="n">
        <v>0</v>
      </c>
      <c r="O391" t="n">
        <v>0</v>
      </c>
      <c r="P391" t="n">
        <v>0</v>
      </c>
      <c r="Q391" t="n">
        <v>0</v>
      </c>
      <c r="R391" s="2" t="inlineStr"/>
    </row>
    <row r="392" ht="15" customHeight="1">
      <c r="A392" t="inlineStr">
        <is>
          <t>A 22899-2023</t>
        </is>
      </c>
      <c r="B392" s="1" t="n">
        <v>45072</v>
      </c>
      <c r="C392" s="1" t="n">
        <v>45997</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22897-2023</t>
        </is>
      </c>
      <c r="B393" s="1" t="n">
        <v>45072.55239583334</v>
      </c>
      <c r="C393" s="1" t="n">
        <v>45997</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23978-2023</t>
        </is>
      </c>
      <c r="B394" s="1" t="n">
        <v>45078</v>
      </c>
      <c r="C394" s="1" t="n">
        <v>45997</v>
      </c>
      <c r="D394" t="inlineStr">
        <is>
          <t>GOTLANDS LÄN</t>
        </is>
      </c>
      <c r="E394" t="inlineStr">
        <is>
          <t>GOTLAND</t>
        </is>
      </c>
      <c r="F394" t="inlineStr">
        <is>
          <t>Naturvårdsverket</t>
        </is>
      </c>
      <c r="G394" t="n">
        <v>1.7</v>
      </c>
      <c r="H394" t="n">
        <v>0</v>
      </c>
      <c r="I394" t="n">
        <v>0</v>
      </c>
      <c r="J394" t="n">
        <v>0</v>
      </c>
      <c r="K394" t="n">
        <v>0</v>
      </c>
      <c r="L394" t="n">
        <v>0</v>
      </c>
      <c r="M394" t="n">
        <v>0</v>
      </c>
      <c r="N394" t="n">
        <v>0</v>
      </c>
      <c r="O394" t="n">
        <v>0</v>
      </c>
      <c r="P394" t="n">
        <v>0</v>
      </c>
      <c r="Q394" t="n">
        <v>0</v>
      </c>
      <c r="R394" s="2" t="inlineStr"/>
    </row>
    <row r="395" ht="15" customHeight="1">
      <c r="A395" t="inlineStr">
        <is>
          <t>A 34407-2023</t>
        </is>
      </c>
      <c r="B395" s="1" t="n">
        <v>45132</v>
      </c>
      <c r="C395" s="1" t="n">
        <v>45997</v>
      </c>
      <c r="D395" t="inlineStr">
        <is>
          <t>GOTLANDS LÄN</t>
        </is>
      </c>
      <c r="E395" t="inlineStr">
        <is>
          <t>GOTLAND</t>
        </is>
      </c>
      <c r="G395" t="n">
        <v>4.4</v>
      </c>
      <c r="H395" t="n">
        <v>0</v>
      </c>
      <c r="I395" t="n">
        <v>0</v>
      </c>
      <c r="J395" t="n">
        <v>0</v>
      </c>
      <c r="K395" t="n">
        <v>0</v>
      </c>
      <c r="L395" t="n">
        <v>0</v>
      </c>
      <c r="M395" t="n">
        <v>0</v>
      </c>
      <c r="N395" t="n">
        <v>0</v>
      </c>
      <c r="O395" t="n">
        <v>0</v>
      </c>
      <c r="P395" t="n">
        <v>0</v>
      </c>
      <c r="Q395" t="n">
        <v>0</v>
      </c>
      <c r="R395" s="2" t="inlineStr"/>
    </row>
    <row r="396" ht="15" customHeight="1">
      <c r="A396" t="inlineStr">
        <is>
          <t>A 11013-2024</t>
        </is>
      </c>
      <c r="B396" s="1" t="n">
        <v>45370</v>
      </c>
      <c r="C396" s="1" t="n">
        <v>45997</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27694-2024</t>
        </is>
      </c>
      <c r="B397" s="1" t="n">
        <v>45475</v>
      </c>
      <c r="C397" s="1" t="n">
        <v>45997</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61897-2024</t>
        </is>
      </c>
      <c r="B398" s="1" t="n">
        <v>45652.75685185185</v>
      </c>
      <c r="C398" s="1" t="n">
        <v>45997</v>
      </c>
      <c r="D398" t="inlineStr">
        <is>
          <t>GOTLANDS LÄN</t>
        </is>
      </c>
      <c r="E398" t="inlineStr">
        <is>
          <t>GOTLAND</t>
        </is>
      </c>
      <c r="G398" t="n">
        <v>6.4</v>
      </c>
      <c r="H398" t="n">
        <v>0</v>
      </c>
      <c r="I398" t="n">
        <v>0</v>
      </c>
      <c r="J398" t="n">
        <v>0</v>
      </c>
      <c r="K398" t="n">
        <v>0</v>
      </c>
      <c r="L398" t="n">
        <v>0</v>
      </c>
      <c r="M398" t="n">
        <v>0</v>
      </c>
      <c r="N398" t="n">
        <v>0</v>
      </c>
      <c r="O398" t="n">
        <v>0</v>
      </c>
      <c r="P398" t="n">
        <v>0</v>
      </c>
      <c r="Q398" t="n">
        <v>0</v>
      </c>
      <c r="R398" s="2" t="inlineStr"/>
    </row>
    <row r="399" ht="15" customHeight="1">
      <c r="A399" t="inlineStr">
        <is>
          <t>A 15083-2025</t>
        </is>
      </c>
      <c r="B399" s="1" t="n">
        <v>45743</v>
      </c>
      <c r="C399" s="1" t="n">
        <v>45997</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49962-2023</t>
        </is>
      </c>
      <c r="B400" s="1" t="n">
        <v>45215.38775462963</v>
      </c>
      <c r="C400" s="1" t="n">
        <v>45997</v>
      </c>
      <c r="D400" t="inlineStr">
        <is>
          <t>GOTLANDS LÄN</t>
        </is>
      </c>
      <c r="E400" t="inlineStr">
        <is>
          <t>GOTLAND</t>
        </is>
      </c>
      <c r="G400" t="n">
        <v>1.4</v>
      </c>
      <c r="H400" t="n">
        <v>0</v>
      </c>
      <c r="I400" t="n">
        <v>0</v>
      </c>
      <c r="J400" t="n">
        <v>0</v>
      </c>
      <c r="K400" t="n">
        <v>0</v>
      </c>
      <c r="L400" t="n">
        <v>0</v>
      </c>
      <c r="M400" t="n">
        <v>0</v>
      </c>
      <c r="N400" t="n">
        <v>0</v>
      </c>
      <c r="O400" t="n">
        <v>0</v>
      </c>
      <c r="P400" t="n">
        <v>0</v>
      </c>
      <c r="Q400" t="n">
        <v>0</v>
      </c>
      <c r="R400" s="2" t="inlineStr"/>
    </row>
    <row r="401" ht="15" customHeight="1">
      <c r="A401" t="inlineStr">
        <is>
          <t>A 13037-2025</t>
        </is>
      </c>
      <c r="B401" s="1" t="n">
        <v>45734</v>
      </c>
      <c r="C401" s="1" t="n">
        <v>45997</v>
      </c>
      <c r="D401" t="inlineStr">
        <is>
          <t>GOTLANDS LÄN</t>
        </is>
      </c>
      <c r="E401" t="inlineStr">
        <is>
          <t>GOTLAND</t>
        </is>
      </c>
      <c r="G401" t="n">
        <v>9.5</v>
      </c>
      <c r="H401" t="n">
        <v>0</v>
      </c>
      <c r="I401" t="n">
        <v>0</v>
      </c>
      <c r="J401" t="n">
        <v>0</v>
      </c>
      <c r="K401" t="n">
        <v>0</v>
      </c>
      <c r="L401" t="n">
        <v>0</v>
      </c>
      <c r="M401" t="n">
        <v>0</v>
      </c>
      <c r="N401" t="n">
        <v>0</v>
      </c>
      <c r="O401" t="n">
        <v>0</v>
      </c>
      <c r="P401" t="n">
        <v>0</v>
      </c>
      <c r="Q401" t="n">
        <v>0</v>
      </c>
      <c r="R401" s="2" t="inlineStr"/>
    </row>
    <row r="402" ht="15" customHeight="1">
      <c r="A402" t="inlineStr">
        <is>
          <t>A 458-2023</t>
        </is>
      </c>
      <c r="B402" s="1" t="n">
        <v>44929</v>
      </c>
      <c r="C402" s="1" t="n">
        <v>45997</v>
      </c>
      <c r="D402" t="inlineStr">
        <is>
          <t>GOTLANDS LÄN</t>
        </is>
      </c>
      <c r="E402" t="inlineStr">
        <is>
          <t>GOTLAND</t>
        </is>
      </c>
      <c r="G402" t="n">
        <v>3.6</v>
      </c>
      <c r="H402" t="n">
        <v>0</v>
      </c>
      <c r="I402" t="n">
        <v>0</v>
      </c>
      <c r="J402" t="n">
        <v>0</v>
      </c>
      <c r="K402" t="n">
        <v>0</v>
      </c>
      <c r="L402" t="n">
        <v>0</v>
      </c>
      <c r="M402" t="n">
        <v>0</v>
      </c>
      <c r="N402" t="n">
        <v>0</v>
      </c>
      <c r="O402" t="n">
        <v>0</v>
      </c>
      <c r="P402" t="n">
        <v>0</v>
      </c>
      <c r="Q402" t="n">
        <v>0</v>
      </c>
      <c r="R402" s="2" t="inlineStr"/>
    </row>
    <row r="403" ht="15" customHeight="1">
      <c r="A403" t="inlineStr">
        <is>
          <t>A 20165-2022</t>
        </is>
      </c>
      <c r="B403" s="1" t="n">
        <v>44698.49854166667</v>
      </c>
      <c r="C403" s="1" t="n">
        <v>45997</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44228-2022</t>
        </is>
      </c>
      <c r="B404" s="1" t="n">
        <v>44839.51599537037</v>
      </c>
      <c r="C404" s="1" t="n">
        <v>45997</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58132-2023</t>
        </is>
      </c>
      <c r="B405" s="1" t="n">
        <v>45250</v>
      </c>
      <c r="C405" s="1" t="n">
        <v>45997</v>
      </c>
      <c r="D405" t="inlineStr">
        <is>
          <t>GOTLANDS LÄN</t>
        </is>
      </c>
      <c r="E405" t="inlineStr">
        <is>
          <t>GOTLAND</t>
        </is>
      </c>
      <c r="G405" t="n">
        <v>3.1</v>
      </c>
      <c r="H405" t="n">
        <v>0</v>
      </c>
      <c r="I405" t="n">
        <v>0</v>
      </c>
      <c r="J405" t="n">
        <v>0</v>
      </c>
      <c r="K405" t="n">
        <v>0</v>
      </c>
      <c r="L405" t="n">
        <v>0</v>
      </c>
      <c r="M405" t="n">
        <v>0</v>
      </c>
      <c r="N405" t="n">
        <v>0</v>
      </c>
      <c r="O405" t="n">
        <v>0</v>
      </c>
      <c r="P405" t="n">
        <v>0</v>
      </c>
      <c r="Q405" t="n">
        <v>0</v>
      </c>
      <c r="R405" s="2" t="inlineStr"/>
    </row>
    <row r="406" ht="15" customHeight="1">
      <c r="A406" t="inlineStr">
        <is>
          <t>A 40294-2022</t>
        </is>
      </c>
      <c r="B406" s="1" t="n">
        <v>44821</v>
      </c>
      <c r="C406" s="1" t="n">
        <v>45997</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12032-2025</t>
        </is>
      </c>
      <c r="B407" s="1" t="n">
        <v>45728.64472222222</v>
      </c>
      <c r="C407" s="1" t="n">
        <v>45997</v>
      </c>
      <c r="D407" t="inlineStr">
        <is>
          <t>GOTLANDS LÄN</t>
        </is>
      </c>
      <c r="E407" t="inlineStr">
        <is>
          <t>GOTLAND</t>
        </is>
      </c>
      <c r="G407" t="n">
        <v>1.4</v>
      </c>
      <c r="H407" t="n">
        <v>0</v>
      </c>
      <c r="I407" t="n">
        <v>0</v>
      </c>
      <c r="J407" t="n">
        <v>0</v>
      </c>
      <c r="K407" t="n">
        <v>0</v>
      </c>
      <c r="L407" t="n">
        <v>0</v>
      </c>
      <c r="M407" t="n">
        <v>0</v>
      </c>
      <c r="N407" t="n">
        <v>0</v>
      </c>
      <c r="O407" t="n">
        <v>0</v>
      </c>
      <c r="P407" t="n">
        <v>0</v>
      </c>
      <c r="Q407" t="n">
        <v>0</v>
      </c>
      <c r="R407" s="2" t="inlineStr"/>
    </row>
    <row r="408" ht="15" customHeight="1">
      <c r="A408" t="inlineStr">
        <is>
          <t>A 38787-2023</t>
        </is>
      </c>
      <c r="B408" s="1" t="n">
        <v>45163</v>
      </c>
      <c r="C408" s="1" t="n">
        <v>45997</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49884-2023</t>
        </is>
      </c>
      <c r="B409" s="1" t="n">
        <v>45213</v>
      </c>
      <c r="C409" s="1" t="n">
        <v>45997</v>
      </c>
      <c r="D409" t="inlineStr">
        <is>
          <t>GOTLANDS LÄN</t>
        </is>
      </c>
      <c r="E409" t="inlineStr">
        <is>
          <t>GOTLAND</t>
        </is>
      </c>
      <c r="G409" t="n">
        <v>8.9</v>
      </c>
      <c r="H409" t="n">
        <v>0</v>
      </c>
      <c r="I409" t="n">
        <v>0</v>
      </c>
      <c r="J409" t="n">
        <v>0</v>
      </c>
      <c r="K409" t="n">
        <v>0</v>
      </c>
      <c r="L409" t="n">
        <v>0</v>
      </c>
      <c r="M409" t="n">
        <v>0</v>
      </c>
      <c r="N409" t="n">
        <v>0</v>
      </c>
      <c r="O409" t="n">
        <v>0</v>
      </c>
      <c r="P409" t="n">
        <v>0</v>
      </c>
      <c r="Q409" t="n">
        <v>0</v>
      </c>
      <c r="R409" s="2" t="inlineStr"/>
    </row>
    <row r="410" ht="15" customHeight="1">
      <c r="A410" t="inlineStr">
        <is>
          <t>A 876-2024</t>
        </is>
      </c>
      <c r="B410" s="1" t="n">
        <v>45301</v>
      </c>
      <c r="C410" s="1" t="n">
        <v>45997</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43231-2023</t>
        </is>
      </c>
      <c r="B411" s="1" t="n">
        <v>45183.47025462963</v>
      </c>
      <c r="C411" s="1" t="n">
        <v>45997</v>
      </c>
      <c r="D411" t="inlineStr">
        <is>
          <t>GOTLANDS LÄN</t>
        </is>
      </c>
      <c r="E411" t="inlineStr">
        <is>
          <t>GOTLAND</t>
        </is>
      </c>
      <c r="G411" t="n">
        <v>3.6</v>
      </c>
      <c r="H411" t="n">
        <v>0</v>
      </c>
      <c r="I411" t="n">
        <v>0</v>
      </c>
      <c r="J411" t="n">
        <v>0</v>
      </c>
      <c r="K411" t="n">
        <v>0</v>
      </c>
      <c r="L411" t="n">
        <v>0</v>
      </c>
      <c r="M411" t="n">
        <v>0</v>
      </c>
      <c r="N411" t="n">
        <v>0</v>
      </c>
      <c r="O411" t="n">
        <v>0</v>
      </c>
      <c r="P411" t="n">
        <v>0</v>
      </c>
      <c r="Q411" t="n">
        <v>0</v>
      </c>
      <c r="R411" s="2" t="inlineStr"/>
    </row>
    <row r="412" ht="15" customHeight="1">
      <c r="A412" t="inlineStr">
        <is>
          <t>A 22704-2023</t>
        </is>
      </c>
      <c r="B412" s="1" t="n">
        <v>45071</v>
      </c>
      <c r="C412" s="1" t="n">
        <v>45997</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17532-2024</t>
        </is>
      </c>
      <c r="B413" s="1" t="n">
        <v>45415</v>
      </c>
      <c r="C413" s="1" t="n">
        <v>45997</v>
      </c>
      <c r="D413" t="inlineStr">
        <is>
          <t>GOTLANDS LÄN</t>
        </is>
      </c>
      <c r="E413" t="inlineStr">
        <is>
          <t>GOTLAND</t>
        </is>
      </c>
      <c r="G413" t="n">
        <v>4.3</v>
      </c>
      <c r="H413" t="n">
        <v>0</v>
      </c>
      <c r="I413" t="n">
        <v>0</v>
      </c>
      <c r="J413" t="n">
        <v>0</v>
      </c>
      <c r="K413" t="n">
        <v>0</v>
      </c>
      <c r="L413" t="n">
        <v>0</v>
      </c>
      <c r="M413" t="n">
        <v>0</v>
      </c>
      <c r="N413" t="n">
        <v>0</v>
      </c>
      <c r="O413" t="n">
        <v>0</v>
      </c>
      <c r="P413" t="n">
        <v>0</v>
      </c>
      <c r="Q413" t="n">
        <v>0</v>
      </c>
      <c r="R413" s="2" t="inlineStr"/>
    </row>
    <row r="414" ht="15" customHeight="1">
      <c r="A414" t="inlineStr">
        <is>
          <t>A 28425-2023</t>
        </is>
      </c>
      <c r="B414" s="1" t="n">
        <v>45102</v>
      </c>
      <c r="C414" s="1" t="n">
        <v>45997</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58476-2022</t>
        </is>
      </c>
      <c r="B415" s="1" t="n">
        <v>44902</v>
      </c>
      <c r="C415" s="1" t="n">
        <v>45997</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3935-2025</t>
        </is>
      </c>
      <c r="B416" s="1" t="n">
        <v>45684.46070601852</v>
      </c>
      <c r="C416" s="1" t="n">
        <v>45997</v>
      </c>
      <c r="D416" t="inlineStr">
        <is>
          <t>GOTLANDS LÄN</t>
        </is>
      </c>
      <c r="E416" t="inlineStr">
        <is>
          <t>GOTLAND</t>
        </is>
      </c>
      <c r="G416" t="n">
        <v>2.6</v>
      </c>
      <c r="H416" t="n">
        <v>0</v>
      </c>
      <c r="I416" t="n">
        <v>0</v>
      </c>
      <c r="J416" t="n">
        <v>0</v>
      </c>
      <c r="K416" t="n">
        <v>0</v>
      </c>
      <c r="L416" t="n">
        <v>0</v>
      </c>
      <c r="M416" t="n">
        <v>0</v>
      </c>
      <c r="N416" t="n">
        <v>0</v>
      </c>
      <c r="O416" t="n">
        <v>0</v>
      </c>
      <c r="P416" t="n">
        <v>0</v>
      </c>
      <c r="Q416" t="n">
        <v>0</v>
      </c>
      <c r="R416" s="2" t="inlineStr"/>
    </row>
    <row r="417" ht="15" customHeight="1">
      <c r="A417" t="inlineStr">
        <is>
          <t>A 43200-2023</t>
        </is>
      </c>
      <c r="B417" s="1" t="n">
        <v>45183</v>
      </c>
      <c r="C417" s="1" t="n">
        <v>45997</v>
      </c>
      <c r="D417" t="inlineStr">
        <is>
          <t>GOTLANDS LÄN</t>
        </is>
      </c>
      <c r="E417" t="inlineStr">
        <is>
          <t>GOTLAND</t>
        </is>
      </c>
      <c r="G417" t="n">
        <v>0.5</v>
      </c>
      <c r="H417" t="n">
        <v>0</v>
      </c>
      <c r="I417" t="n">
        <v>0</v>
      </c>
      <c r="J417" t="n">
        <v>0</v>
      </c>
      <c r="K417" t="n">
        <v>0</v>
      </c>
      <c r="L417" t="n">
        <v>0</v>
      </c>
      <c r="M417" t="n">
        <v>0</v>
      </c>
      <c r="N417" t="n">
        <v>0</v>
      </c>
      <c r="O417" t="n">
        <v>0</v>
      </c>
      <c r="P417" t="n">
        <v>0</v>
      </c>
      <c r="Q417" t="n">
        <v>0</v>
      </c>
      <c r="R417" s="2" t="inlineStr"/>
    </row>
    <row r="418" ht="15" customHeight="1">
      <c r="A418" t="inlineStr">
        <is>
          <t>A 43223-2023</t>
        </is>
      </c>
      <c r="B418" s="1" t="n">
        <v>45183.45642361111</v>
      </c>
      <c r="C418" s="1" t="n">
        <v>45997</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12327-2025</t>
        </is>
      </c>
      <c r="B419" s="1" t="n">
        <v>45730</v>
      </c>
      <c r="C419" s="1" t="n">
        <v>45997</v>
      </c>
      <c r="D419" t="inlineStr">
        <is>
          <t>GOTLANDS LÄN</t>
        </is>
      </c>
      <c r="E419" t="inlineStr">
        <is>
          <t>GOTLAND</t>
        </is>
      </c>
      <c r="G419" t="n">
        <v>1.8</v>
      </c>
      <c r="H419" t="n">
        <v>0</v>
      </c>
      <c r="I419" t="n">
        <v>0</v>
      </c>
      <c r="J419" t="n">
        <v>0</v>
      </c>
      <c r="K419" t="n">
        <v>0</v>
      </c>
      <c r="L419" t="n">
        <v>0</v>
      </c>
      <c r="M419" t="n">
        <v>0</v>
      </c>
      <c r="N419" t="n">
        <v>0</v>
      </c>
      <c r="O419" t="n">
        <v>0</v>
      </c>
      <c r="P419" t="n">
        <v>0</v>
      </c>
      <c r="Q419" t="n">
        <v>0</v>
      </c>
      <c r="R419" s="2" t="inlineStr"/>
    </row>
    <row r="420" ht="15" customHeight="1">
      <c r="A420" t="inlineStr">
        <is>
          <t>A 3431-2025</t>
        </is>
      </c>
      <c r="B420" s="1" t="n">
        <v>45680.42935185185</v>
      </c>
      <c r="C420" s="1" t="n">
        <v>45997</v>
      </c>
      <c r="D420" t="inlineStr">
        <is>
          <t>GOTLANDS LÄN</t>
        </is>
      </c>
      <c r="E420" t="inlineStr">
        <is>
          <t>GOTLAND</t>
        </is>
      </c>
      <c r="G420" t="n">
        <v>4.8</v>
      </c>
      <c r="H420" t="n">
        <v>0</v>
      </c>
      <c r="I420" t="n">
        <v>0</v>
      </c>
      <c r="J420" t="n">
        <v>0</v>
      </c>
      <c r="K420" t="n">
        <v>0</v>
      </c>
      <c r="L420" t="n">
        <v>0</v>
      </c>
      <c r="M420" t="n">
        <v>0</v>
      </c>
      <c r="N420" t="n">
        <v>0</v>
      </c>
      <c r="O420" t="n">
        <v>0</v>
      </c>
      <c r="P420" t="n">
        <v>0</v>
      </c>
      <c r="Q420" t="n">
        <v>0</v>
      </c>
      <c r="R420" s="2" t="inlineStr"/>
    </row>
    <row r="421" ht="15" customHeight="1">
      <c r="A421" t="inlineStr">
        <is>
          <t>A 12209-2024</t>
        </is>
      </c>
      <c r="B421" s="1" t="n">
        <v>45378</v>
      </c>
      <c r="C421" s="1" t="n">
        <v>45997</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12210-2024</t>
        </is>
      </c>
      <c r="B422" s="1" t="n">
        <v>45378</v>
      </c>
      <c r="C422" s="1" t="n">
        <v>45997</v>
      </c>
      <c r="D422" t="inlineStr">
        <is>
          <t>GOTLANDS LÄN</t>
        </is>
      </c>
      <c r="E422" t="inlineStr">
        <is>
          <t>GOTLAND</t>
        </is>
      </c>
      <c r="G422" t="n">
        <v>4.1</v>
      </c>
      <c r="H422" t="n">
        <v>0</v>
      </c>
      <c r="I422" t="n">
        <v>0</v>
      </c>
      <c r="J422" t="n">
        <v>0</v>
      </c>
      <c r="K422" t="n">
        <v>0</v>
      </c>
      <c r="L422" t="n">
        <v>0</v>
      </c>
      <c r="M422" t="n">
        <v>0</v>
      </c>
      <c r="N422" t="n">
        <v>0</v>
      </c>
      <c r="O422" t="n">
        <v>0</v>
      </c>
      <c r="P422" t="n">
        <v>0</v>
      </c>
      <c r="Q422" t="n">
        <v>0</v>
      </c>
      <c r="R422" s="2" t="inlineStr"/>
    </row>
    <row r="423" ht="15" customHeight="1">
      <c r="A423" t="inlineStr">
        <is>
          <t>A 1364-2025</t>
        </is>
      </c>
      <c r="B423" s="1" t="n">
        <v>45667.63929398148</v>
      </c>
      <c r="C423" s="1" t="n">
        <v>45997</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15042-2025</t>
        </is>
      </c>
      <c r="B424" s="1" t="n">
        <v>45743</v>
      </c>
      <c r="C424" s="1" t="n">
        <v>45997</v>
      </c>
      <c r="D424" t="inlineStr">
        <is>
          <t>GOTLANDS LÄN</t>
        </is>
      </c>
      <c r="E424" t="inlineStr">
        <is>
          <t>GOTLAND</t>
        </is>
      </c>
      <c r="G424" t="n">
        <v>8.5</v>
      </c>
      <c r="H424" t="n">
        <v>0</v>
      </c>
      <c r="I424" t="n">
        <v>0</v>
      </c>
      <c r="J424" t="n">
        <v>0</v>
      </c>
      <c r="K424" t="n">
        <v>0</v>
      </c>
      <c r="L424" t="n">
        <v>0</v>
      </c>
      <c r="M424" t="n">
        <v>0</v>
      </c>
      <c r="N424" t="n">
        <v>0</v>
      </c>
      <c r="O424" t="n">
        <v>0</v>
      </c>
      <c r="P424" t="n">
        <v>0</v>
      </c>
      <c r="Q424" t="n">
        <v>0</v>
      </c>
      <c r="R424" s="2" t="inlineStr"/>
    </row>
    <row r="425" ht="15" customHeight="1">
      <c r="A425" t="inlineStr">
        <is>
          <t>A 20225-2025</t>
        </is>
      </c>
      <c r="B425" s="1" t="n">
        <v>45772.65802083333</v>
      </c>
      <c r="C425" s="1" t="n">
        <v>45997</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883-2025</t>
        </is>
      </c>
      <c r="B426" s="1" t="n">
        <v>45665</v>
      </c>
      <c r="C426" s="1" t="n">
        <v>45997</v>
      </c>
      <c r="D426" t="inlineStr">
        <is>
          <t>GOTLANDS LÄN</t>
        </is>
      </c>
      <c r="E426" t="inlineStr">
        <is>
          <t>GOTLAND</t>
        </is>
      </c>
      <c r="G426" t="n">
        <v>1.3</v>
      </c>
      <c r="H426" t="n">
        <v>0</v>
      </c>
      <c r="I426" t="n">
        <v>0</v>
      </c>
      <c r="J426" t="n">
        <v>0</v>
      </c>
      <c r="K426" t="n">
        <v>0</v>
      </c>
      <c r="L426" t="n">
        <v>0</v>
      </c>
      <c r="M426" t="n">
        <v>0</v>
      </c>
      <c r="N426" t="n">
        <v>0</v>
      </c>
      <c r="O426" t="n">
        <v>0</v>
      </c>
      <c r="P426" t="n">
        <v>0</v>
      </c>
      <c r="Q426" t="n">
        <v>0</v>
      </c>
      <c r="R426" s="2" t="inlineStr"/>
    </row>
    <row r="427" ht="15" customHeight="1">
      <c r="A427" t="inlineStr">
        <is>
          <t>A 2180-2025</t>
        </is>
      </c>
      <c r="B427" s="1" t="n">
        <v>45673</v>
      </c>
      <c r="C427" s="1" t="n">
        <v>45997</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15436-2025</t>
        </is>
      </c>
      <c r="B428" s="1" t="n">
        <v>45747.47462962963</v>
      </c>
      <c r="C428" s="1" t="n">
        <v>45997</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49257-2024</t>
        </is>
      </c>
      <c r="B429" s="1" t="n">
        <v>45595.47627314815</v>
      </c>
      <c r="C429" s="1" t="n">
        <v>45997</v>
      </c>
      <c r="D429" t="inlineStr">
        <is>
          <t>GOTLANDS LÄN</t>
        </is>
      </c>
      <c r="E429" t="inlineStr">
        <is>
          <t>GOTLAND</t>
        </is>
      </c>
      <c r="G429" t="n">
        <v>6.3</v>
      </c>
      <c r="H429" t="n">
        <v>0</v>
      </c>
      <c r="I429" t="n">
        <v>0</v>
      </c>
      <c r="J429" t="n">
        <v>0</v>
      </c>
      <c r="K429" t="n">
        <v>0</v>
      </c>
      <c r="L429" t="n">
        <v>0</v>
      </c>
      <c r="M429" t="n">
        <v>0</v>
      </c>
      <c r="N429" t="n">
        <v>0</v>
      </c>
      <c r="O429" t="n">
        <v>0</v>
      </c>
      <c r="P429" t="n">
        <v>0</v>
      </c>
      <c r="Q429" t="n">
        <v>0</v>
      </c>
      <c r="R429" s="2" t="inlineStr"/>
    </row>
    <row r="430" ht="15" customHeight="1">
      <c r="A430" t="inlineStr">
        <is>
          <t>A 37202-2024</t>
        </is>
      </c>
      <c r="B430" s="1" t="n">
        <v>45539.67310185185</v>
      </c>
      <c r="C430" s="1" t="n">
        <v>45997</v>
      </c>
      <c r="D430" t="inlineStr">
        <is>
          <t>GOTLANDS LÄN</t>
        </is>
      </c>
      <c r="E430" t="inlineStr">
        <is>
          <t>GOTLAND</t>
        </is>
      </c>
      <c r="G430" t="n">
        <v>0.3</v>
      </c>
      <c r="H430" t="n">
        <v>0</v>
      </c>
      <c r="I430" t="n">
        <v>0</v>
      </c>
      <c r="J430" t="n">
        <v>0</v>
      </c>
      <c r="K430" t="n">
        <v>0</v>
      </c>
      <c r="L430" t="n">
        <v>0</v>
      </c>
      <c r="M430" t="n">
        <v>0</v>
      </c>
      <c r="N430" t="n">
        <v>0</v>
      </c>
      <c r="O430" t="n">
        <v>0</v>
      </c>
      <c r="P430" t="n">
        <v>0</v>
      </c>
      <c r="Q430" t="n">
        <v>0</v>
      </c>
      <c r="R430" s="2" t="inlineStr"/>
    </row>
    <row r="431" ht="15" customHeight="1">
      <c r="A431" t="inlineStr">
        <is>
          <t>A 56115-2023</t>
        </is>
      </c>
      <c r="B431" s="1" t="n">
        <v>45236</v>
      </c>
      <c r="C431" s="1" t="n">
        <v>45997</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1066-2024</t>
        </is>
      </c>
      <c r="B432" s="1" t="n">
        <v>45302.285</v>
      </c>
      <c r="C432" s="1" t="n">
        <v>45997</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17144-2025</t>
        </is>
      </c>
      <c r="B433" s="1" t="n">
        <v>45755.9499537037</v>
      </c>
      <c r="C433" s="1" t="n">
        <v>45997</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2774-2024</t>
        </is>
      </c>
      <c r="B434" s="1" t="n">
        <v>45314.62375</v>
      </c>
      <c r="C434" s="1" t="n">
        <v>45997</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60709-2023</t>
        </is>
      </c>
      <c r="B435" s="1" t="n">
        <v>45260</v>
      </c>
      <c r="C435" s="1" t="n">
        <v>45997</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56009-2024</t>
        </is>
      </c>
      <c r="B436" s="1" t="n">
        <v>45623.80864583333</v>
      </c>
      <c r="C436" s="1" t="n">
        <v>45997</v>
      </c>
      <c r="D436" t="inlineStr">
        <is>
          <t>GOTLANDS LÄN</t>
        </is>
      </c>
      <c r="E436" t="inlineStr">
        <is>
          <t>GOTLAND</t>
        </is>
      </c>
      <c r="G436" t="n">
        <v>2.8</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45997</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39764-2022</t>
        </is>
      </c>
      <c r="B438" s="1" t="n">
        <v>44819</v>
      </c>
      <c r="C438" s="1" t="n">
        <v>45997</v>
      </c>
      <c r="D438" t="inlineStr">
        <is>
          <t>GOTLANDS LÄN</t>
        </is>
      </c>
      <c r="E438" t="inlineStr">
        <is>
          <t>GOTLAND</t>
        </is>
      </c>
      <c r="F438" t="inlineStr">
        <is>
          <t>Kyrkan</t>
        </is>
      </c>
      <c r="G438" t="n">
        <v>3.7</v>
      </c>
      <c r="H438" t="n">
        <v>0</v>
      </c>
      <c r="I438" t="n">
        <v>0</v>
      </c>
      <c r="J438" t="n">
        <v>0</v>
      </c>
      <c r="K438" t="n">
        <v>0</v>
      </c>
      <c r="L438" t="n">
        <v>0</v>
      </c>
      <c r="M438" t="n">
        <v>0</v>
      </c>
      <c r="N438" t="n">
        <v>0</v>
      </c>
      <c r="O438" t="n">
        <v>0</v>
      </c>
      <c r="P438" t="n">
        <v>0</v>
      </c>
      <c r="Q438" t="n">
        <v>0</v>
      </c>
      <c r="R438" s="2" t="inlineStr"/>
    </row>
    <row r="439" ht="15" customHeight="1">
      <c r="A439" t="inlineStr">
        <is>
          <t>A 42338-2023</t>
        </is>
      </c>
      <c r="B439" s="1" t="n">
        <v>45180</v>
      </c>
      <c r="C439" s="1" t="n">
        <v>45997</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58211-2024</t>
        </is>
      </c>
      <c r="B440" s="1" t="n">
        <v>45632.49292824074</v>
      </c>
      <c r="C440" s="1" t="n">
        <v>45997</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30956-2024</t>
        </is>
      </c>
      <c r="B441" s="1" t="n">
        <v>45499.42527777778</v>
      </c>
      <c r="C441" s="1" t="n">
        <v>45997</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30892-2024</t>
        </is>
      </c>
      <c r="B442" s="1" t="n">
        <v>45491</v>
      </c>
      <c r="C442" s="1" t="n">
        <v>45997</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14635-2023</t>
        </is>
      </c>
      <c r="B443" s="1" t="n">
        <v>45013.69365740741</v>
      </c>
      <c r="C443" s="1" t="n">
        <v>45997</v>
      </c>
      <c r="D443" t="inlineStr">
        <is>
          <t>GOTLANDS LÄN</t>
        </is>
      </c>
      <c r="E443" t="inlineStr">
        <is>
          <t>GOTLAND</t>
        </is>
      </c>
      <c r="G443" t="n">
        <v>3.1</v>
      </c>
      <c r="H443" t="n">
        <v>0</v>
      </c>
      <c r="I443" t="n">
        <v>0</v>
      </c>
      <c r="J443" t="n">
        <v>0</v>
      </c>
      <c r="K443" t="n">
        <v>0</v>
      </c>
      <c r="L443" t="n">
        <v>0</v>
      </c>
      <c r="M443" t="n">
        <v>0</v>
      </c>
      <c r="N443" t="n">
        <v>0</v>
      </c>
      <c r="O443" t="n">
        <v>0</v>
      </c>
      <c r="P443" t="n">
        <v>0</v>
      </c>
      <c r="Q443" t="n">
        <v>0</v>
      </c>
      <c r="R443" s="2" t="inlineStr"/>
    </row>
    <row r="444" ht="15" customHeight="1">
      <c r="A444" t="inlineStr">
        <is>
          <t>A 59469-2024</t>
        </is>
      </c>
      <c r="B444" s="1" t="n">
        <v>45638</v>
      </c>
      <c r="C444" s="1" t="n">
        <v>45997</v>
      </c>
      <c r="D444" t="inlineStr">
        <is>
          <t>GOTLANDS LÄN</t>
        </is>
      </c>
      <c r="E444" t="inlineStr">
        <is>
          <t>GOTLAND</t>
        </is>
      </c>
      <c r="G444" t="n">
        <v>0.4</v>
      </c>
      <c r="H444" t="n">
        <v>0</v>
      </c>
      <c r="I444" t="n">
        <v>0</v>
      </c>
      <c r="J444" t="n">
        <v>0</v>
      </c>
      <c r="K444" t="n">
        <v>0</v>
      </c>
      <c r="L444" t="n">
        <v>0</v>
      </c>
      <c r="M444" t="n">
        <v>0</v>
      </c>
      <c r="N444" t="n">
        <v>0</v>
      </c>
      <c r="O444" t="n">
        <v>0</v>
      </c>
      <c r="P444" t="n">
        <v>0</v>
      </c>
      <c r="Q444" t="n">
        <v>0</v>
      </c>
      <c r="R444" s="2" t="inlineStr"/>
    </row>
    <row r="445" ht="15" customHeight="1">
      <c r="A445" t="inlineStr">
        <is>
          <t>A 7858-2025</t>
        </is>
      </c>
      <c r="B445" s="1" t="n">
        <v>45706.68633101852</v>
      </c>
      <c r="C445" s="1" t="n">
        <v>45997</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15216-2025</t>
        </is>
      </c>
      <c r="B446" s="1" t="n">
        <v>45744</v>
      </c>
      <c r="C446" s="1" t="n">
        <v>45997</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43790-2024</t>
        </is>
      </c>
      <c r="B447" s="1" t="n">
        <v>45571</v>
      </c>
      <c r="C447" s="1" t="n">
        <v>45997</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15001-2025</t>
        </is>
      </c>
      <c r="B448" s="1" t="n">
        <v>45743</v>
      </c>
      <c r="C448" s="1" t="n">
        <v>45997</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30488-2025</t>
        </is>
      </c>
      <c r="B449" s="1" t="n">
        <v>45830</v>
      </c>
      <c r="C449" s="1" t="n">
        <v>45997</v>
      </c>
      <c r="D449" t="inlineStr">
        <is>
          <t>GOTLANDS LÄN</t>
        </is>
      </c>
      <c r="E449" t="inlineStr">
        <is>
          <t>GOTLAND</t>
        </is>
      </c>
      <c r="F449" t="inlineStr">
        <is>
          <t>Kyrkan</t>
        </is>
      </c>
      <c r="G449" t="n">
        <v>3.9</v>
      </c>
      <c r="H449" t="n">
        <v>0</v>
      </c>
      <c r="I449" t="n">
        <v>0</v>
      </c>
      <c r="J449" t="n">
        <v>0</v>
      </c>
      <c r="K449" t="n">
        <v>0</v>
      </c>
      <c r="L449" t="n">
        <v>0</v>
      </c>
      <c r="M449" t="n">
        <v>0</v>
      </c>
      <c r="N449" t="n">
        <v>0</v>
      </c>
      <c r="O449" t="n">
        <v>0</v>
      </c>
      <c r="P449" t="n">
        <v>0</v>
      </c>
      <c r="Q449" t="n">
        <v>0</v>
      </c>
      <c r="R449" s="2" t="inlineStr"/>
    </row>
    <row r="450" ht="15" customHeight="1">
      <c r="A450" t="inlineStr">
        <is>
          <t>A 17847-2025</t>
        </is>
      </c>
      <c r="B450" s="1" t="n">
        <v>45758</v>
      </c>
      <c r="C450" s="1" t="n">
        <v>45997</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2292-2021</t>
        </is>
      </c>
      <c r="B451" s="1" t="n">
        <v>44212</v>
      </c>
      <c r="C451" s="1" t="n">
        <v>45997</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18742-2025</t>
        </is>
      </c>
      <c r="B452" s="1" t="n">
        <v>45763</v>
      </c>
      <c r="C452" s="1" t="n">
        <v>45997</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36319-2025</t>
        </is>
      </c>
      <c r="B453" s="1" t="n">
        <v>45868</v>
      </c>
      <c r="C453" s="1" t="n">
        <v>45997</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35129-2025</t>
        </is>
      </c>
      <c r="B454" s="1" t="n">
        <v>45852.63224537037</v>
      </c>
      <c r="C454" s="1" t="n">
        <v>45997</v>
      </c>
      <c r="D454" t="inlineStr">
        <is>
          <t>GOTLANDS LÄN</t>
        </is>
      </c>
      <c r="E454" t="inlineStr">
        <is>
          <t>GOTLAND</t>
        </is>
      </c>
      <c r="G454" t="n">
        <v>3.2</v>
      </c>
      <c r="H454" t="n">
        <v>0</v>
      </c>
      <c r="I454" t="n">
        <v>0</v>
      </c>
      <c r="J454" t="n">
        <v>0</v>
      </c>
      <c r="K454" t="n">
        <v>0</v>
      </c>
      <c r="L454" t="n">
        <v>0</v>
      </c>
      <c r="M454" t="n">
        <v>0</v>
      </c>
      <c r="N454" t="n">
        <v>0</v>
      </c>
      <c r="O454" t="n">
        <v>0</v>
      </c>
      <c r="P454" t="n">
        <v>0</v>
      </c>
      <c r="Q454" t="n">
        <v>0</v>
      </c>
      <c r="R454" s="2" t="inlineStr"/>
    </row>
    <row r="455" ht="15" customHeight="1">
      <c r="A455" t="inlineStr">
        <is>
          <t>A 58388-2022</t>
        </is>
      </c>
      <c r="B455" s="1" t="n">
        <v>44894</v>
      </c>
      <c r="C455" s="1" t="n">
        <v>45997</v>
      </c>
      <c r="D455" t="inlineStr">
        <is>
          <t>GOTLANDS LÄN</t>
        </is>
      </c>
      <c r="E455" t="inlineStr">
        <is>
          <t>GOTLAND</t>
        </is>
      </c>
      <c r="F455" t="inlineStr">
        <is>
          <t>Övriga statliga verk och myndigheter</t>
        </is>
      </c>
      <c r="G455" t="n">
        <v>3.1</v>
      </c>
      <c r="H455" t="n">
        <v>0</v>
      </c>
      <c r="I455" t="n">
        <v>0</v>
      </c>
      <c r="J455" t="n">
        <v>0</v>
      </c>
      <c r="K455" t="n">
        <v>0</v>
      </c>
      <c r="L455" t="n">
        <v>0</v>
      </c>
      <c r="M455" t="n">
        <v>0</v>
      </c>
      <c r="N455" t="n">
        <v>0</v>
      </c>
      <c r="O455" t="n">
        <v>0</v>
      </c>
      <c r="P455" t="n">
        <v>0</v>
      </c>
      <c r="Q455" t="n">
        <v>0</v>
      </c>
      <c r="R455" s="2" t="inlineStr"/>
    </row>
    <row r="456" ht="15" customHeight="1">
      <c r="A456" t="inlineStr">
        <is>
          <t>A 20356-2022</t>
        </is>
      </c>
      <c r="B456" s="1" t="n">
        <v>44699</v>
      </c>
      <c r="C456" s="1" t="n">
        <v>45997</v>
      </c>
      <c r="D456" t="inlineStr">
        <is>
          <t>GOTLANDS LÄN</t>
        </is>
      </c>
      <c r="E456" t="inlineStr">
        <is>
          <t>GOTLAND</t>
        </is>
      </c>
      <c r="F456" t="inlineStr">
        <is>
          <t>Övriga Aktiebolag</t>
        </is>
      </c>
      <c r="G456" t="n">
        <v>4.4</v>
      </c>
      <c r="H456" t="n">
        <v>0</v>
      </c>
      <c r="I456" t="n">
        <v>0</v>
      </c>
      <c r="J456" t="n">
        <v>0</v>
      </c>
      <c r="K456" t="n">
        <v>0</v>
      </c>
      <c r="L456" t="n">
        <v>0</v>
      </c>
      <c r="M456" t="n">
        <v>0</v>
      </c>
      <c r="N456" t="n">
        <v>0</v>
      </c>
      <c r="O456" t="n">
        <v>0</v>
      </c>
      <c r="P456" t="n">
        <v>0</v>
      </c>
      <c r="Q456" t="n">
        <v>0</v>
      </c>
      <c r="R456" s="2" t="inlineStr"/>
    </row>
    <row r="457" ht="15" customHeight="1">
      <c r="A457" t="inlineStr">
        <is>
          <t>A 57356-2023</t>
        </is>
      </c>
      <c r="B457" s="1" t="n">
        <v>45240</v>
      </c>
      <c r="C457" s="1" t="n">
        <v>45997</v>
      </c>
      <c r="D457" t="inlineStr">
        <is>
          <t>GOTLANDS LÄN</t>
        </is>
      </c>
      <c r="E457" t="inlineStr">
        <is>
          <t>GOTLAND</t>
        </is>
      </c>
      <c r="G457" t="n">
        <v>6.4</v>
      </c>
      <c r="H457" t="n">
        <v>0</v>
      </c>
      <c r="I457" t="n">
        <v>0</v>
      </c>
      <c r="J457" t="n">
        <v>0</v>
      </c>
      <c r="K457" t="n">
        <v>0</v>
      </c>
      <c r="L457" t="n">
        <v>0</v>
      </c>
      <c r="M457" t="n">
        <v>0</v>
      </c>
      <c r="N457" t="n">
        <v>0</v>
      </c>
      <c r="O457" t="n">
        <v>0</v>
      </c>
      <c r="P457" t="n">
        <v>0</v>
      </c>
      <c r="Q457" t="n">
        <v>0</v>
      </c>
      <c r="R457" s="2" t="inlineStr"/>
    </row>
    <row r="458" ht="15" customHeight="1">
      <c r="A458" t="inlineStr">
        <is>
          <t>A 10656-2024</t>
        </is>
      </c>
      <c r="B458" s="1" t="n">
        <v>45368</v>
      </c>
      <c r="C458" s="1" t="n">
        <v>45997</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21792-2024</t>
        </is>
      </c>
      <c r="B459" s="1" t="n">
        <v>45442.64326388889</v>
      </c>
      <c r="C459" s="1" t="n">
        <v>45997</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28506-2023</t>
        </is>
      </c>
      <c r="B460" s="1" t="n">
        <v>45103</v>
      </c>
      <c r="C460" s="1" t="n">
        <v>45997</v>
      </c>
      <c r="D460" t="inlineStr">
        <is>
          <t>GOTLANDS LÄN</t>
        </is>
      </c>
      <c r="E460" t="inlineStr">
        <is>
          <t>GOTLAND</t>
        </is>
      </c>
      <c r="G460" t="n">
        <v>3.2</v>
      </c>
      <c r="H460" t="n">
        <v>0</v>
      </c>
      <c r="I460" t="n">
        <v>0</v>
      </c>
      <c r="J460" t="n">
        <v>0</v>
      </c>
      <c r="K460" t="n">
        <v>0</v>
      </c>
      <c r="L460" t="n">
        <v>0</v>
      </c>
      <c r="M460" t="n">
        <v>0</v>
      </c>
      <c r="N460" t="n">
        <v>0</v>
      </c>
      <c r="O460" t="n">
        <v>0</v>
      </c>
      <c r="P460" t="n">
        <v>0</v>
      </c>
      <c r="Q460" t="n">
        <v>0</v>
      </c>
      <c r="R460" s="2" t="inlineStr"/>
    </row>
    <row r="461" ht="15" customHeight="1">
      <c r="A461" t="inlineStr">
        <is>
          <t>A 21420-2024</t>
        </is>
      </c>
      <c r="B461" s="1" t="n">
        <v>45441.38293981482</v>
      </c>
      <c r="C461" s="1" t="n">
        <v>45997</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23188-2025</t>
        </is>
      </c>
      <c r="B462" s="1" t="n">
        <v>45791</v>
      </c>
      <c r="C462" s="1" t="n">
        <v>45997</v>
      </c>
      <c r="D462" t="inlineStr">
        <is>
          <t>GOTLANDS LÄN</t>
        </is>
      </c>
      <c r="E462" t="inlineStr">
        <is>
          <t>GOTLAND</t>
        </is>
      </c>
      <c r="G462" t="n">
        <v>6.2</v>
      </c>
      <c r="H462" t="n">
        <v>0</v>
      </c>
      <c r="I462" t="n">
        <v>0</v>
      </c>
      <c r="J462" t="n">
        <v>0</v>
      </c>
      <c r="K462" t="n">
        <v>0</v>
      </c>
      <c r="L462" t="n">
        <v>0</v>
      </c>
      <c r="M462" t="n">
        <v>0</v>
      </c>
      <c r="N462" t="n">
        <v>0</v>
      </c>
      <c r="O462" t="n">
        <v>0</v>
      </c>
      <c r="P462" t="n">
        <v>0</v>
      </c>
      <c r="Q462" t="n">
        <v>0</v>
      </c>
      <c r="R462" s="2" t="inlineStr"/>
    </row>
    <row r="463" ht="15" customHeight="1">
      <c r="A463" t="inlineStr">
        <is>
          <t>A 6108-2025</t>
        </is>
      </c>
      <c r="B463" s="1" t="n">
        <v>45698.29880787037</v>
      </c>
      <c r="C463" s="1" t="n">
        <v>45997</v>
      </c>
      <c r="D463" t="inlineStr">
        <is>
          <t>GOTLANDS LÄN</t>
        </is>
      </c>
      <c r="E463" t="inlineStr">
        <is>
          <t>GOTLAND</t>
        </is>
      </c>
      <c r="G463" t="n">
        <v>2.8</v>
      </c>
      <c r="H463" t="n">
        <v>0</v>
      </c>
      <c r="I463" t="n">
        <v>0</v>
      </c>
      <c r="J463" t="n">
        <v>0</v>
      </c>
      <c r="K463" t="n">
        <v>0</v>
      </c>
      <c r="L463" t="n">
        <v>0</v>
      </c>
      <c r="M463" t="n">
        <v>0</v>
      </c>
      <c r="N463" t="n">
        <v>0</v>
      </c>
      <c r="O463" t="n">
        <v>0</v>
      </c>
      <c r="P463" t="n">
        <v>0</v>
      </c>
      <c r="Q463" t="n">
        <v>0</v>
      </c>
      <c r="R463" s="2" t="inlineStr"/>
    </row>
    <row r="464" ht="15" customHeight="1">
      <c r="A464" t="inlineStr">
        <is>
          <t>A 21142-2025</t>
        </is>
      </c>
      <c r="B464" s="1" t="n">
        <v>45779</v>
      </c>
      <c r="C464" s="1" t="n">
        <v>45997</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17343-2025</t>
        </is>
      </c>
      <c r="B465" s="1" t="n">
        <v>45756.6687037037</v>
      </c>
      <c r="C465" s="1" t="n">
        <v>45997</v>
      </c>
      <c r="D465" t="inlineStr">
        <is>
          <t>GOTLANDS LÄN</t>
        </is>
      </c>
      <c r="E465" t="inlineStr">
        <is>
          <t>GOTLAND</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18938-2025</t>
        </is>
      </c>
      <c r="B466" s="1" t="n">
        <v>45764.49172453704</v>
      </c>
      <c r="C466" s="1" t="n">
        <v>45997</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18993-2025</t>
        </is>
      </c>
      <c r="B467" s="1" t="n">
        <v>45764</v>
      </c>
      <c r="C467" s="1" t="n">
        <v>45997</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30489-2025</t>
        </is>
      </c>
      <c r="B468" s="1" t="n">
        <v>45830</v>
      </c>
      <c r="C468" s="1" t="n">
        <v>45997</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20307-2025</t>
        </is>
      </c>
      <c r="B469" s="1" t="n">
        <v>45774.95546296296</v>
      </c>
      <c r="C469" s="1" t="n">
        <v>45997</v>
      </c>
      <c r="D469" t="inlineStr">
        <is>
          <t>GOTLANDS LÄN</t>
        </is>
      </c>
      <c r="E469" t="inlineStr">
        <is>
          <t>GOTLAND</t>
        </is>
      </c>
      <c r="G469" t="n">
        <v>6.8</v>
      </c>
      <c r="H469" t="n">
        <v>0</v>
      </c>
      <c r="I469" t="n">
        <v>0</v>
      </c>
      <c r="J469" t="n">
        <v>0</v>
      </c>
      <c r="K469" t="n">
        <v>0</v>
      </c>
      <c r="L469" t="n">
        <v>0</v>
      </c>
      <c r="M469" t="n">
        <v>0</v>
      </c>
      <c r="N469" t="n">
        <v>0</v>
      </c>
      <c r="O469" t="n">
        <v>0</v>
      </c>
      <c r="P469" t="n">
        <v>0</v>
      </c>
      <c r="Q469" t="n">
        <v>0</v>
      </c>
      <c r="R469" s="2" t="inlineStr"/>
    </row>
    <row r="470" ht="15" customHeight="1">
      <c r="A470" t="inlineStr">
        <is>
          <t>A 30135-2025</t>
        </is>
      </c>
      <c r="B470" s="1" t="n">
        <v>45826</v>
      </c>
      <c r="C470" s="1" t="n">
        <v>45997</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12599-2025</t>
        </is>
      </c>
      <c r="B471" s="1" t="n">
        <v>45733.29546296296</v>
      </c>
      <c r="C471" s="1" t="n">
        <v>45997</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35141-2025</t>
        </is>
      </c>
      <c r="B472" s="1" t="n">
        <v>45852.65206018519</v>
      </c>
      <c r="C472" s="1" t="n">
        <v>45997</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35142-2025</t>
        </is>
      </c>
      <c r="B473" s="1" t="n">
        <v>45852.65532407408</v>
      </c>
      <c r="C473" s="1" t="n">
        <v>45997</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46836-2025</t>
        </is>
      </c>
      <c r="B474" s="1" t="n">
        <v>45928.31511574074</v>
      </c>
      <c r="C474" s="1" t="n">
        <v>45997</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39819-2025</t>
        </is>
      </c>
      <c r="B475" s="1" t="n">
        <v>45891.53418981482</v>
      </c>
      <c r="C475" s="1" t="n">
        <v>45997</v>
      </c>
      <c r="D475" t="inlineStr">
        <is>
          <t>GOTLANDS LÄN</t>
        </is>
      </c>
      <c r="E475" t="inlineStr">
        <is>
          <t>GOTLAND</t>
        </is>
      </c>
      <c r="G475" t="n">
        <v>3.1</v>
      </c>
      <c r="H475" t="n">
        <v>0</v>
      </c>
      <c r="I475" t="n">
        <v>0</v>
      </c>
      <c r="J475" t="n">
        <v>0</v>
      </c>
      <c r="K475" t="n">
        <v>0</v>
      </c>
      <c r="L475" t="n">
        <v>0</v>
      </c>
      <c r="M475" t="n">
        <v>0</v>
      </c>
      <c r="N475" t="n">
        <v>0</v>
      </c>
      <c r="O475" t="n">
        <v>0</v>
      </c>
      <c r="P475" t="n">
        <v>0</v>
      </c>
      <c r="Q475" t="n">
        <v>0</v>
      </c>
      <c r="R475" s="2" t="inlineStr"/>
    </row>
    <row r="476" ht="15" customHeight="1">
      <c r="A476" t="inlineStr">
        <is>
          <t>A 39814-2025</t>
        </is>
      </c>
      <c r="B476" s="1" t="n">
        <v>45891.52694444444</v>
      </c>
      <c r="C476" s="1" t="n">
        <v>45997</v>
      </c>
      <c r="D476" t="inlineStr">
        <is>
          <t>GOTLANDS LÄN</t>
        </is>
      </c>
      <c r="E476" t="inlineStr">
        <is>
          <t>GOTLAND</t>
        </is>
      </c>
      <c r="G476" t="n">
        <v>4.5</v>
      </c>
      <c r="H476" t="n">
        <v>0</v>
      </c>
      <c r="I476" t="n">
        <v>0</v>
      </c>
      <c r="J476" t="n">
        <v>0</v>
      </c>
      <c r="K476" t="n">
        <v>0</v>
      </c>
      <c r="L476" t="n">
        <v>0</v>
      </c>
      <c r="M476" t="n">
        <v>0</v>
      </c>
      <c r="N476" t="n">
        <v>0</v>
      </c>
      <c r="O476" t="n">
        <v>0</v>
      </c>
      <c r="P476" t="n">
        <v>0</v>
      </c>
      <c r="Q476" t="n">
        <v>0</v>
      </c>
      <c r="R476" s="2" t="inlineStr"/>
    </row>
    <row r="477" ht="15" customHeight="1">
      <c r="A477" t="inlineStr">
        <is>
          <t>A 39849-2025</t>
        </is>
      </c>
      <c r="B477" s="1" t="n">
        <v>45891.58502314815</v>
      </c>
      <c r="C477" s="1" t="n">
        <v>45997</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39752-2025</t>
        </is>
      </c>
      <c r="B478" s="1" t="n">
        <v>45891</v>
      </c>
      <c r="C478" s="1" t="n">
        <v>45997</v>
      </c>
      <c r="D478" t="inlineStr">
        <is>
          <t>GOTLANDS LÄN</t>
        </is>
      </c>
      <c r="E478" t="inlineStr">
        <is>
          <t>GOTLAND</t>
        </is>
      </c>
      <c r="G478" t="n">
        <v>5.3</v>
      </c>
      <c r="H478" t="n">
        <v>0</v>
      </c>
      <c r="I478" t="n">
        <v>0</v>
      </c>
      <c r="J478" t="n">
        <v>0</v>
      </c>
      <c r="K478" t="n">
        <v>0</v>
      </c>
      <c r="L478" t="n">
        <v>0</v>
      </c>
      <c r="M478" t="n">
        <v>0</v>
      </c>
      <c r="N478" t="n">
        <v>0</v>
      </c>
      <c r="O478" t="n">
        <v>0</v>
      </c>
      <c r="P478" t="n">
        <v>0</v>
      </c>
      <c r="Q478" t="n">
        <v>0</v>
      </c>
      <c r="R478" s="2" t="inlineStr"/>
    </row>
    <row r="479" ht="15" customHeight="1">
      <c r="A479" t="inlineStr">
        <is>
          <t>A 38649-2025</t>
        </is>
      </c>
      <c r="B479" s="1" t="n">
        <v>45884</v>
      </c>
      <c r="C479" s="1" t="n">
        <v>45997</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39816-2025</t>
        </is>
      </c>
      <c r="B480" s="1" t="n">
        <v>45891</v>
      </c>
      <c r="C480" s="1" t="n">
        <v>45997</v>
      </c>
      <c r="D480" t="inlineStr">
        <is>
          <t>GOTLANDS LÄN</t>
        </is>
      </c>
      <c r="E480" t="inlineStr">
        <is>
          <t>GOTLAND</t>
        </is>
      </c>
      <c r="G480" t="n">
        <v>0.9</v>
      </c>
      <c r="H480" t="n">
        <v>0</v>
      </c>
      <c r="I480" t="n">
        <v>0</v>
      </c>
      <c r="J480" t="n">
        <v>0</v>
      </c>
      <c r="K480" t="n">
        <v>0</v>
      </c>
      <c r="L480" t="n">
        <v>0</v>
      </c>
      <c r="M480" t="n">
        <v>0</v>
      </c>
      <c r="N480" t="n">
        <v>0</v>
      </c>
      <c r="O480" t="n">
        <v>0</v>
      </c>
      <c r="P480" t="n">
        <v>0</v>
      </c>
      <c r="Q480" t="n">
        <v>0</v>
      </c>
      <c r="R480" s="2" t="inlineStr"/>
    </row>
    <row r="481" ht="15" customHeight="1">
      <c r="A481" t="inlineStr">
        <is>
          <t>A 40103-2025</t>
        </is>
      </c>
      <c r="B481" s="1" t="n">
        <v>45894.4880324074</v>
      </c>
      <c r="C481" s="1" t="n">
        <v>45997</v>
      </c>
      <c r="D481" t="inlineStr">
        <is>
          <t>GOTLANDS LÄN</t>
        </is>
      </c>
      <c r="E481" t="inlineStr">
        <is>
          <t>GOTLAND</t>
        </is>
      </c>
      <c r="G481" t="n">
        <v>0.9</v>
      </c>
      <c r="H481" t="n">
        <v>0</v>
      </c>
      <c r="I481" t="n">
        <v>0</v>
      </c>
      <c r="J481" t="n">
        <v>0</v>
      </c>
      <c r="K481" t="n">
        <v>0</v>
      </c>
      <c r="L481" t="n">
        <v>0</v>
      </c>
      <c r="M481" t="n">
        <v>0</v>
      </c>
      <c r="N481" t="n">
        <v>0</v>
      </c>
      <c r="O481" t="n">
        <v>0</v>
      </c>
      <c r="P481" t="n">
        <v>0</v>
      </c>
      <c r="Q481" t="n">
        <v>0</v>
      </c>
      <c r="R481" s="2" t="inlineStr"/>
    </row>
    <row r="482" ht="15" customHeight="1">
      <c r="A482" t="inlineStr">
        <is>
          <t>A 40373-2025</t>
        </is>
      </c>
      <c r="B482" s="1" t="n">
        <v>45895.51821759259</v>
      </c>
      <c r="C482" s="1" t="n">
        <v>45997</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40499-2025</t>
        </is>
      </c>
      <c r="B483" s="1" t="n">
        <v>45896.32517361111</v>
      </c>
      <c r="C483" s="1" t="n">
        <v>45997</v>
      </c>
      <c r="D483" t="inlineStr">
        <is>
          <t>GOTLANDS LÄN</t>
        </is>
      </c>
      <c r="E483" t="inlineStr">
        <is>
          <t>GOTLAND</t>
        </is>
      </c>
      <c r="G483" t="n">
        <v>2.6</v>
      </c>
      <c r="H483" t="n">
        <v>0</v>
      </c>
      <c r="I483" t="n">
        <v>0</v>
      </c>
      <c r="J483" t="n">
        <v>0</v>
      </c>
      <c r="K483" t="n">
        <v>0</v>
      </c>
      <c r="L483" t="n">
        <v>0</v>
      </c>
      <c r="M483" t="n">
        <v>0</v>
      </c>
      <c r="N483" t="n">
        <v>0</v>
      </c>
      <c r="O483" t="n">
        <v>0</v>
      </c>
      <c r="P483" t="n">
        <v>0</v>
      </c>
      <c r="Q483" t="n">
        <v>0</v>
      </c>
      <c r="R483" s="2" t="inlineStr"/>
    </row>
    <row r="484" ht="15" customHeight="1">
      <c r="A484" t="inlineStr">
        <is>
          <t>A 40372-2025</t>
        </is>
      </c>
      <c r="B484" s="1" t="n">
        <v>45895.5162037037</v>
      </c>
      <c r="C484" s="1" t="n">
        <v>45997</v>
      </c>
      <c r="D484" t="inlineStr">
        <is>
          <t>GOTLANDS LÄN</t>
        </is>
      </c>
      <c r="E484" t="inlineStr">
        <is>
          <t>GOTLAND</t>
        </is>
      </c>
      <c r="G484" t="n">
        <v>3.3</v>
      </c>
      <c r="H484" t="n">
        <v>0</v>
      </c>
      <c r="I484" t="n">
        <v>0</v>
      </c>
      <c r="J484" t="n">
        <v>0</v>
      </c>
      <c r="K484" t="n">
        <v>0</v>
      </c>
      <c r="L484" t="n">
        <v>0</v>
      </c>
      <c r="M484" t="n">
        <v>0</v>
      </c>
      <c r="N484" t="n">
        <v>0</v>
      </c>
      <c r="O484" t="n">
        <v>0</v>
      </c>
      <c r="P484" t="n">
        <v>0</v>
      </c>
      <c r="Q484" t="n">
        <v>0</v>
      </c>
      <c r="R484" s="2" t="inlineStr"/>
    </row>
    <row r="485" ht="15" customHeight="1">
      <c r="A485" t="inlineStr">
        <is>
          <t>A 17688-2024</t>
        </is>
      </c>
      <c r="B485" s="1" t="n">
        <v>45418.43575231481</v>
      </c>
      <c r="C485" s="1" t="n">
        <v>45997</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39278-2025</t>
        </is>
      </c>
      <c r="B486" s="1" t="n">
        <v>45889</v>
      </c>
      <c r="C486" s="1" t="n">
        <v>45997</v>
      </c>
      <c r="D486" t="inlineStr">
        <is>
          <t>GOTLANDS LÄN</t>
        </is>
      </c>
      <c r="E486" t="inlineStr">
        <is>
          <t>GOTLAND</t>
        </is>
      </c>
      <c r="G486" t="n">
        <v>3.7</v>
      </c>
      <c r="H486" t="n">
        <v>0</v>
      </c>
      <c r="I486" t="n">
        <v>0</v>
      </c>
      <c r="J486" t="n">
        <v>0</v>
      </c>
      <c r="K486" t="n">
        <v>0</v>
      </c>
      <c r="L486" t="n">
        <v>0</v>
      </c>
      <c r="M486" t="n">
        <v>0</v>
      </c>
      <c r="N486" t="n">
        <v>0</v>
      </c>
      <c r="O486" t="n">
        <v>0</v>
      </c>
      <c r="P486" t="n">
        <v>0</v>
      </c>
      <c r="Q486" t="n">
        <v>0</v>
      </c>
      <c r="R486" s="2" t="inlineStr"/>
    </row>
    <row r="487" ht="15" customHeight="1">
      <c r="A487" t="inlineStr">
        <is>
          <t>A 47637-2025</t>
        </is>
      </c>
      <c r="B487" s="1" t="n">
        <v>45931.49753472222</v>
      </c>
      <c r="C487" s="1" t="n">
        <v>45997</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7837-2024</t>
        </is>
      </c>
      <c r="B488" s="1" t="n">
        <v>45349.83787037037</v>
      </c>
      <c r="C488" s="1" t="n">
        <v>45997</v>
      </c>
      <c r="D488" t="inlineStr">
        <is>
          <t>GOTLANDS LÄN</t>
        </is>
      </c>
      <c r="E488" t="inlineStr">
        <is>
          <t>GOTLAND</t>
        </is>
      </c>
      <c r="G488" t="n">
        <v>5</v>
      </c>
      <c r="H488" t="n">
        <v>0</v>
      </c>
      <c r="I488" t="n">
        <v>0</v>
      </c>
      <c r="J488" t="n">
        <v>0</v>
      </c>
      <c r="K488" t="n">
        <v>0</v>
      </c>
      <c r="L488" t="n">
        <v>0</v>
      </c>
      <c r="M488" t="n">
        <v>0</v>
      </c>
      <c r="N488" t="n">
        <v>0</v>
      </c>
      <c r="O488" t="n">
        <v>0</v>
      </c>
      <c r="P488" t="n">
        <v>0</v>
      </c>
      <c r="Q488" t="n">
        <v>0</v>
      </c>
      <c r="R488" s="2" t="inlineStr"/>
    </row>
    <row r="489" ht="15" customHeight="1">
      <c r="A489" t="inlineStr">
        <is>
          <t>A 41435-2025</t>
        </is>
      </c>
      <c r="B489" s="1" t="n">
        <v>45901.39974537037</v>
      </c>
      <c r="C489" s="1" t="n">
        <v>45997</v>
      </c>
      <c r="D489" t="inlineStr">
        <is>
          <t>GOTLANDS LÄN</t>
        </is>
      </c>
      <c r="E489" t="inlineStr">
        <is>
          <t>GOTLAND</t>
        </is>
      </c>
      <c r="G489" t="n">
        <v>4.9</v>
      </c>
      <c r="H489" t="n">
        <v>0</v>
      </c>
      <c r="I489" t="n">
        <v>0</v>
      </c>
      <c r="J489" t="n">
        <v>0</v>
      </c>
      <c r="K489" t="n">
        <v>0</v>
      </c>
      <c r="L489" t="n">
        <v>0</v>
      </c>
      <c r="M489" t="n">
        <v>0</v>
      </c>
      <c r="N489" t="n">
        <v>0</v>
      </c>
      <c r="O489" t="n">
        <v>0</v>
      </c>
      <c r="P489" t="n">
        <v>0</v>
      </c>
      <c r="Q489" t="n">
        <v>0</v>
      </c>
      <c r="R489" s="2" t="inlineStr"/>
    </row>
    <row r="490" ht="15" customHeight="1">
      <c r="A490" t="inlineStr">
        <is>
          <t>A 41551-2025</t>
        </is>
      </c>
      <c r="B490" s="1" t="n">
        <v>45901.58854166666</v>
      </c>
      <c r="C490" s="1" t="n">
        <v>45997</v>
      </c>
      <c r="D490" t="inlineStr">
        <is>
          <t>GOTLANDS LÄN</t>
        </is>
      </c>
      <c r="E490" t="inlineStr">
        <is>
          <t>GOTLAND</t>
        </is>
      </c>
      <c r="G490" t="n">
        <v>5.6</v>
      </c>
      <c r="H490" t="n">
        <v>0</v>
      </c>
      <c r="I490" t="n">
        <v>0</v>
      </c>
      <c r="J490" t="n">
        <v>0</v>
      </c>
      <c r="K490" t="n">
        <v>0</v>
      </c>
      <c r="L490" t="n">
        <v>0</v>
      </c>
      <c r="M490" t="n">
        <v>0</v>
      </c>
      <c r="N490" t="n">
        <v>0</v>
      </c>
      <c r="O490" t="n">
        <v>0</v>
      </c>
      <c r="P490" t="n">
        <v>0</v>
      </c>
      <c r="Q490" t="n">
        <v>0</v>
      </c>
      <c r="R490" s="2" t="inlineStr"/>
    </row>
    <row r="491" ht="15" customHeight="1">
      <c r="A491" t="inlineStr">
        <is>
          <t>A 56799-2025</t>
        </is>
      </c>
      <c r="B491" s="1" t="n">
        <v>45978.43392361111</v>
      </c>
      <c r="C491" s="1" t="n">
        <v>45997</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47147-2025</t>
        </is>
      </c>
      <c r="B492" s="1" t="n">
        <v>45929</v>
      </c>
      <c r="C492" s="1" t="n">
        <v>45997</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32378-2025</t>
        </is>
      </c>
      <c r="B493" s="1" t="n">
        <v>45837</v>
      </c>
      <c r="C493" s="1" t="n">
        <v>45997</v>
      </c>
      <c r="D493" t="inlineStr">
        <is>
          <t>GOTLANDS LÄN</t>
        </is>
      </c>
      <c r="E493" t="inlineStr">
        <is>
          <t>GOTLAND</t>
        </is>
      </c>
      <c r="G493" t="n">
        <v>4.1</v>
      </c>
      <c r="H493" t="n">
        <v>0</v>
      </c>
      <c r="I493" t="n">
        <v>0</v>
      </c>
      <c r="J493" t="n">
        <v>0</v>
      </c>
      <c r="K493" t="n">
        <v>0</v>
      </c>
      <c r="L493" t="n">
        <v>0</v>
      </c>
      <c r="M493" t="n">
        <v>0</v>
      </c>
      <c r="N493" t="n">
        <v>0</v>
      </c>
      <c r="O493" t="n">
        <v>0</v>
      </c>
      <c r="P493" t="n">
        <v>0</v>
      </c>
      <c r="Q493" t="n">
        <v>0</v>
      </c>
      <c r="R493" s="2" t="inlineStr"/>
    </row>
    <row r="494" ht="15" customHeight="1">
      <c r="A494" t="inlineStr">
        <is>
          <t>A 23473-2025</t>
        </is>
      </c>
      <c r="B494" s="1" t="n">
        <v>45792</v>
      </c>
      <c r="C494" s="1" t="n">
        <v>45997</v>
      </c>
      <c r="D494" t="inlineStr">
        <is>
          <t>GOTLANDS LÄN</t>
        </is>
      </c>
      <c r="E494" t="inlineStr">
        <is>
          <t>GOTLAND</t>
        </is>
      </c>
      <c r="G494" t="n">
        <v>3.6</v>
      </c>
      <c r="H494" t="n">
        <v>0</v>
      </c>
      <c r="I494" t="n">
        <v>0</v>
      </c>
      <c r="J494" t="n">
        <v>0</v>
      </c>
      <c r="K494" t="n">
        <v>0</v>
      </c>
      <c r="L494" t="n">
        <v>0</v>
      </c>
      <c r="M494" t="n">
        <v>0</v>
      </c>
      <c r="N494" t="n">
        <v>0</v>
      </c>
      <c r="O494" t="n">
        <v>0</v>
      </c>
      <c r="P494" t="n">
        <v>0</v>
      </c>
      <c r="Q494" t="n">
        <v>0</v>
      </c>
      <c r="R494" s="2" t="inlineStr"/>
    </row>
    <row r="495" ht="15" customHeight="1">
      <c r="A495" t="inlineStr">
        <is>
          <t>A 42608-2025</t>
        </is>
      </c>
      <c r="B495" s="1" t="n">
        <v>45905</v>
      </c>
      <c r="C495" s="1" t="n">
        <v>45997</v>
      </c>
      <c r="D495" t="inlineStr">
        <is>
          <t>GOTLANDS LÄN</t>
        </is>
      </c>
      <c r="E495" t="inlineStr">
        <is>
          <t>GOTLAND</t>
        </is>
      </c>
      <c r="G495" t="n">
        <v>1.3</v>
      </c>
      <c r="H495" t="n">
        <v>0</v>
      </c>
      <c r="I495" t="n">
        <v>0</v>
      </c>
      <c r="J495" t="n">
        <v>0</v>
      </c>
      <c r="K495" t="n">
        <v>0</v>
      </c>
      <c r="L495" t="n">
        <v>0</v>
      </c>
      <c r="M495" t="n">
        <v>0</v>
      </c>
      <c r="N495" t="n">
        <v>0</v>
      </c>
      <c r="O495" t="n">
        <v>0</v>
      </c>
      <c r="P495" t="n">
        <v>0</v>
      </c>
      <c r="Q495" t="n">
        <v>0</v>
      </c>
      <c r="R495" s="2" t="inlineStr"/>
    </row>
    <row r="496" ht="15" customHeight="1">
      <c r="A496" t="inlineStr">
        <is>
          <t>A 23856-2025</t>
        </is>
      </c>
      <c r="B496" s="1" t="n">
        <v>45793</v>
      </c>
      <c r="C496" s="1" t="n">
        <v>45997</v>
      </c>
      <c r="D496" t="inlineStr">
        <is>
          <t>GOTLANDS LÄN</t>
        </is>
      </c>
      <c r="E496" t="inlineStr">
        <is>
          <t>GOTLAND</t>
        </is>
      </c>
      <c r="G496" t="n">
        <v>4.4</v>
      </c>
      <c r="H496" t="n">
        <v>0</v>
      </c>
      <c r="I496" t="n">
        <v>0</v>
      </c>
      <c r="J496" t="n">
        <v>0</v>
      </c>
      <c r="K496" t="n">
        <v>0</v>
      </c>
      <c r="L496" t="n">
        <v>0</v>
      </c>
      <c r="M496" t="n">
        <v>0</v>
      </c>
      <c r="N496" t="n">
        <v>0</v>
      </c>
      <c r="O496" t="n">
        <v>0</v>
      </c>
      <c r="P496" t="n">
        <v>0</v>
      </c>
      <c r="Q496" t="n">
        <v>0</v>
      </c>
      <c r="R496" s="2" t="inlineStr"/>
    </row>
    <row r="497" ht="15" customHeight="1">
      <c r="A497" t="inlineStr">
        <is>
          <t>A 15073-2025</t>
        </is>
      </c>
      <c r="B497" s="1" t="n">
        <v>45743</v>
      </c>
      <c r="C497" s="1" t="n">
        <v>45997</v>
      </c>
      <c r="D497" t="inlineStr">
        <is>
          <t>GOTLANDS LÄN</t>
        </is>
      </c>
      <c r="E497" t="inlineStr">
        <is>
          <t>GOTLAND</t>
        </is>
      </c>
      <c r="G497" t="n">
        <v>12.1</v>
      </c>
      <c r="H497" t="n">
        <v>0</v>
      </c>
      <c r="I497" t="n">
        <v>0</v>
      </c>
      <c r="J497" t="n">
        <v>0</v>
      </c>
      <c r="K497" t="n">
        <v>0</v>
      </c>
      <c r="L497" t="n">
        <v>0</v>
      </c>
      <c r="M497" t="n">
        <v>0</v>
      </c>
      <c r="N497" t="n">
        <v>0</v>
      </c>
      <c r="O497" t="n">
        <v>0</v>
      </c>
      <c r="P497" t="n">
        <v>0</v>
      </c>
      <c r="Q497" t="n">
        <v>0</v>
      </c>
      <c r="R497" s="2" t="inlineStr"/>
    </row>
    <row r="498" ht="15" customHeight="1">
      <c r="A498" t="inlineStr">
        <is>
          <t>A 6749-2025</t>
        </is>
      </c>
      <c r="B498" s="1" t="n">
        <v>45700</v>
      </c>
      <c r="C498" s="1" t="n">
        <v>45997</v>
      </c>
      <c r="D498" t="inlineStr">
        <is>
          <t>GOTLANDS LÄN</t>
        </is>
      </c>
      <c r="E498" t="inlineStr">
        <is>
          <t>GOTLAND</t>
        </is>
      </c>
      <c r="G498" t="n">
        <v>4.5</v>
      </c>
      <c r="H498" t="n">
        <v>0</v>
      </c>
      <c r="I498" t="n">
        <v>0</v>
      </c>
      <c r="J498" t="n">
        <v>0</v>
      </c>
      <c r="K498" t="n">
        <v>0</v>
      </c>
      <c r="L498" t="n">
        <v>0</v>
      </c>
      <c r="M498" t="n">
        <v>0</v>
      </c>
      <c r="N498" t="n">
        <v>0</v>
      </c>
      <c r="O498" t="n">
        <v>0</v>
      </c>
      <c r="P498" t="n">
        <v>0</v>
      </c>
      <c r="Q498" t="n">
        <v>0</v>
      </c>
      <c r="R498" s="2" t="inlineStr"/>
    </row>
    <row r="499" ht="15" customHeight="1">
      <c r="A499" t="inlineStr">
        <is>
          <t>A 16373-2025</t>
        </is>
      </c>
      <c r="B499" s="1" t="n">
        <v>45751</v>
      </c>
      <c r="C499" s="1" t="n">
        <v>45997</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23698-2025</t>
        </is>
      </c>
      <c r="B500" s="1" t="n">
        <v>45793</v>
      </c>
      <c r="C500" s="1" t="n">
        <v>45997</v>
      </c>
      <c r="D500" t="inlineStr">
        <is>
          <t>GOTLANDS LÄN</t>
        </is>
      </c>
      <c r="E500" t="inlineStr">
        <is>
          <t>GOTLAND</t>
        </is>
      </c>
      <c r="G500" t="n">
        <v>0.8</v>
      </c>
      <c r="H500" t="n">
        <v>0</v>
      </c>
      <c r="I500" t="n">
        <v>0</v>
      </c>
      <c r="J500" t="n">
        <v>0</v>
      </c>
      <c r="K500" t="n">
        <v>0</v>
      </c>
      <c r="L500" t="n">
        <v>0</v>
      </c>
      <c r="M500" t="n">
        <v>0</v>
      </c>
      <c r="N500" t="n">
        <v>0</v>
      </c>
      <c r="O500" t="n">
        <v>0</v>
      </c>
      <c r="P500" t="n">
        <v>0</v>
      </c>
      <c r="Q500" t="n">
        <v>0</v>
      </c>
      <c r="R500" s="2" t="inlineStr"/>
    </row>
    <row r="501" ht="15" customHeight="1">
      <c r="A501" t="inlineStr">
        <is>
          <t>A 4568-2025</t>
        </is>
      </c>
      <c r="B501" s="1" t="n">
        <v>45687</v>
      </c>
      <c r="C501" s="1" t="n">
        <v>45997</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52637-2025</t>
        </is>
      </c>
      <c r="B502" s="1" t="n">
        <v>45954.75099537037</v>
      </c>
      <c r="C502" s="1" t="n">
        <v>45997</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35550-2025</t>
        </is>
      </c>
      <c r="B503" s="1" t="n">
        <v>45856.49324074074</v>
      </c>
      <c r="C503" s="1" t="n">
        <v>45997</v>
      </c>
      <c r="D503" t="inlineStr">
        <is>
          <t>GOTLANDS LÄN</t>
        </is>
      </c>
      <c r="E503" t="inlineStr">
        <is>
          <t>GOTLAND</t>
        </is>
      </c>
      <c r="G503" t="n">
        <v>3.2</v>
      </c>
      <c r="H503" t="n">
        <v>0</v>
      </c>
      <c r="I503" t="n">
        <v>0</v>
      </c>
      <c r="J503" t="n">
        <v>0</v>
      </c>
      <c r="K503" t="n">
        <v>0</v>
      </c>
      <c r="L503" t="n">
        <v>0</v>
      </c>
      <c r="M503" t="n">
        <v>0</v>
      </c>
      <c r="N503" t="n">
        <v>0</v>
      </c>
      <c r="O503" t="n">
        <v>0</v>
      </c>
      <c r="P503" t="n">
        <v>0</v>
      </c>
      <c r="Q503" t="n">
        <v>0</v>
      </c>
      <c r="R503" s="2" t="inlineStr"/>
    </row>
    <row r="504" ht="15" customHeight="1">
      <c r="A504" t="inlineStr">
        <is>
          <t>A 56688-2025</t>
        </is>
      </c>
      <c r="B504" s="1" t="n">
        <v>45975.84331018518</v>
      </c>
      <c r="C504" s="1" t="n">
        <v>45997</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10158-2025</t>
        </is>
      </c>
      <c r="B505" s="1" t="n">
        <v>45719</v>
      </c>
      <c r="C505" s="1" t="n">
        <v>45997</v>
      </c>
      <c r="D505" t="inlineStr">
        <is>
          <t>GOTLANDS LÄN</t>
        </is>
      </c>
      <c r="E505" t="inlineStr">
        <is>
          <t>GOTLAND</t>
        </is>
      </c>
      <c r="G505" t="n">
        <v>3.5</v>
      </c>
      <c r="H505" t="n">
        <v>0</v>
      </c>
      <c r="I505" t="n">
        <v>0</v>
      </c>
      <c r="J505" t="n">
        <v>0</v>
      </c>
      <c r="K505" t="n">
        <v>0</v>
      </c>
      <c r="L505" t="n">
        <v>0</v>
      </c>
      <c r="M505" t="n">
        <v>0</v>
      </c>
      <c r="N505" t="n">
        <v>0</v>
      </c>
      <c r="O505" t="n">
        <v>0</v>
      </c>
      <c r="P505" t="n">
        <v>0</v>
      </c>
      <c r="Q505" t="n">
        <v>0</v>
      </c>
      <c r="R505" s="2" t="inlineStr"/>
    </row>
    <row r="506" ht="15" customHeight="1">
      <c r="A506" t="inlineStr">
        <is>
          <t>A 5462-2025</t>
        </is>
      </c>
      <c r="B506" s="1" t="n">
        <v>45693.29331018519</v>
      </c>
      <c r="C506" s="1" t="n">
        <v>45997</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47578-2025</t>
        </is>
      </c>
      <c r="B507" s="1" t="n">
        <v>45931</v>
      </c>
      <c r="C507" s="1" t="n">
        <v>45997</v>
      </c>
      <c r="D507" t="inlineStr">
        <is>
          <t>GOTLANDS LÄN</t>
        </is>
      </c>
      <c r="E507" t="inlineStr">
        <is>
          <t>GOTLAND</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43911-2025</t>
        </is>
      </c>
      <c r="B508" s="1" t="n">
        <v>45914.3881712963</v>
      </c>
      <c r="C508" s="1" t="n">
        <v>45997</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44410-2025</t>
        </is>
      </c>
      <c r="B509" s="1" t="n">
        <v>45916.53699074074</v>
      </c>
      <c r="C509" s="1" t="n">
        <v>45997</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25796-2025</t>
        </is>
      </c>
      <c r="B510" s="1" t="n">
        <v>45804.39543981481</v>
      </c>
      <c r="C510" s="1" t="n">
        <v>45997</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43951-2025</t>
        </is>
      </c>
      <c r="B511" s="1" t="n">
        <v>45915.38119212963</v>
      </c>
      <c r="C511" s="1" t="n">
        <v>45997</v>
      </c>
      <c r="D511" t="inlineStr">
        <is>
          <t>GOTLANDS LÄN</t>
        </is>
      </c>
      <c r="E511" t="inlineStr">
        <is>
          <t>GOTLAND</t>
        </is>
      </c>
      <c r="G511" t="n">
        <v>4.4</v>
      </c>
      <c r="H511" t="n">
        <v>0</v>
      </c>
      <c r="I511" t="n">
        <v>0</v>
      </c>
      <c r="J511" t="n">
        <v>0</v>
      </c>
      <c r="K511" t="n">
        <v>0</v>
      </c>
      <c r="L511" t="n">
        <v>0</v>
      </c>
      <c r="M511" t="n">
        <v>0</v>
      </c>
      <c r="N511" t="n">
        <v>0</v>
      </c>
      <c r="O511" t="n">
        <v>0</v>
      </c>
      <c r="P511" t="n">
        <v>0</v>
      </c>
      <c r="Q511" t="n">
        <v>0</v>
      </c>
      <c r="R511" s="2" t="inlineStr"/>
    </row>
    <row r="512" ht="15" customHeight="1">
      <c r="A512" t="inlineStr">
        <is>
          <t>A 49724-2025</t>
        </is>
      </c>
      <c r="B512" s="1" t="n">
        <v>45939.83730324074</v>
      </c>
      <c r="C512" s="1" t="n">
        <v>45997</v>
      </c>
      <c r="D512" t="inlineStr">
        <is>
          <t>GOTLANDS LÄN</t>
        </is>
      </c>
      <c r="E512" t="inlineStr">
        <is>
          <t>GOTLAND</t>
        </is>
      </c>
      <c r="F512" t="inlineStr">
        <is>
          <t>Kyrkan</t>
        </is>
      </c>
      <c r="G512" t="n">
        <v>3.1</v>
      </c>
      <c r="H512" t="n">
        <v>0</v>
      </c>
      <c r="I512" t="n">
        <v>0</v>
      </c>
      <c r="J512" t="n">
        <v>0</v>
      </c>
      <c r="K512" t="n">
        <v>0</v>
      </c>
      <c r="L512" t="n">
        <v>0</v>
      </c>
      <c r="M512" t="n">
        <v>0</v>
      </c>
      <c r="N512" t="n">
        <v>0</v>
      </c>
      <c r="O512" t="n">
        <v>0</v>
      </c>
      <c r="P512" t="n">
        <v>0</v>
      </c>
      <c r="Q512" t="n">
        <v>0</v>
      </c>
      <c r="R512" s="2" t="inlineStr"/>
    </row>
    <row r="513" ht="15" customHeight="1">
      <c r="A513" t="inlineStr">
        <is>
          <t>A 49730-2025</t>
        </is>
      </c>
      <c r="B513" s="1" t="n">
        <v>45939.87613425926</v>
      </c>
      <c r="C513" s="1" t="n">
        <v>45997</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44405-2025</t>
        </is>
      </c>
      <c r="B514" s="1" t="n">
        <v>45916.52405092592</v>
      </c>
      <c r="C514" s="1" t="n">
        <v>45997</v>
      </c>
      <c r="D514" t="inlineStr">
        <is>
          <t>GOTLANDS LÄN</t>
        </is>
      </c>
      <c r="E514" t="inlineStr">
        <is>
          <t>GOTLAND</t>
        </is>
      </c>
      <c r="G514" t="n">
        <v>2.6</v>
      </c>
      <c r="H514" t="n">
        <v>0</v>
      </c>
      <c r="I514" t="n">
        <v>0</v>
      </c>
      <c r="J514" t="n">
        <v>0</v>
      </c>
      <c r="K514" t="n">
        <v>0</v>
      </c>
      <c r="L514" t="n">
        <v>0</v>
      </c>
      <c r="M514" t="n">
        <v>0</v>
      </c>
      <c r="N514" t="n">
        <v>0</v>
      </c>
      <c r="O514" t="n">
        <v>0</v>
      </c>
      <c r="P514" t="n">
        <v>0</v>
      </c>
      <c r="Q514" t="n">
        <v>0</v>
      </c>
      <c r="R514" s="2" t="inlineStr"/>
    </row>
    <row r="515" ht="15" customHeight="1">
      <c r="A515" t="inlineStr">
        <is>
          <t>A 53561-2025</t>
        </is>
      </c>
      <c r="B515" s="1" t="n">
        <v>45960.4059375</v>
      </c>
      <c r="C515" s="1" t="n">
        <v>45997</v>
      </c>
      <c r="D515" t="inlineStr">
        <is>
          <t>GOTLANDS LÄN</t>
        </is>
      </c>
      <c r="E515" t="inlineStr">
        <is>
          <t>GOTLAND</t>
        </is>
      </c>
      <c r="F515" t="inlineStr">
        <is>
          <t>Övriga Aktiebolag</t>
        </is>
      </c>
      <c r="G515" t="n">
        <v>2.4</v>
      </c>
      <c r="H515" t="n">
        <v>0</v>
      </c>
      <c r="I515" t="n">
        <v>0</v>
      </c>
      <c r="J515" t="n">
        <v>0</v>
      </c>
      <c r="K515" t="n">
        <v>0</v>
      </c>
      <c r="L515" t="n">
        <v>0</v>
      </c>
      <c r="M515" t="n">
        <v>0</v>
      </c>
      <c r="N515" t="n">
        <v>0</v>
      </c>
      <c r="O515" t="n">
        <v>0</v>
      </c>
      <c r="P515" t="n">
        <v>0</v>
      </c>
      <c r="Q515" t="n">
        <v>0</v>
      </c>
      <c r="R515" s="2" t="inlineStr"/>
    </row>
    <row r="516" ht="15" customHeight="1">
      <c r="A516" t="inlineStr">
        <is>
          <t>A 53587-2025</t>
        </is>
      </c>
      <c r="B516" s="1" t="n">
        <v>45960.43681712963</v>
      </c>
      <c r="C516" s="1" t="n">
        <v>45997</v>
      </c>
      <c r="D516" t="inlineStr">
        <is>
          <t>GOTLANDS LÄN</t>
        </is>
      </c>
      <c r="E516" t="inlineStr">
        <is>
          <t>GOTLAND</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49690-2025</t>
        </is>
      </c>
      <c r="B517" s="1" t="n">
        <v>45939.66730324074</v>
      </c>
      <c r="C517" s="1" t="n">
        <v>45997</v>
      </c>
      <c r="D517" t="inlineStr">
        <is>
          <t>GOTLANDS LÄN</t>
        </is>
      </c>
      <c r="E517" t="inlineStr">
        <is>
          <t>GOTLAND</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33011-2025</t>
        </is>
      </c>
      <c r="B518" s="1" t="n">
        <v>45840</v>
      </c>
      <c r="C518" s="1" t="n">
        <v>45997</v>
      </c>
      <c r="D518" t="inlineStr">
        <is>
          <t>GOTLANDS LÄN</t>
        </is>
      </c>
      <c r="E518" t="inlineStr">
        <is>
          <t>GOTLAND</t>
        </is>
      </c>
      <c r="G518" t="n">
        <v>1.7</v>
      </c>
      <c r="H518" t="n">
        <v>0</v>
      </c>
      <c r="I518" t="n">
        <v>0</v>
      </c>
      <c r="J518" t="n">
        <v>0</v>
      </c>
      <c r="K518" t="n">
        <v>0</v>
      </c>
      <c r="L518" t="n">
        <v>0</v>
      </c>
      <c r="M518" t="n">
        <v>0</v>
      </c>
      <c r="N518" t="n">
        <v>0</v>
      </c>
      <c r="O518" t="n">
        <v>0</v>
      </c>
      <c r="P518" t="n">
        <v>0</v>
      </c>
      <c r="Q518" t="n">
        <v>0</v>
      </c>
      <c r="R518" s="2" t="inlineStr"/>
    </row>
    <row r="519" ht="15" customHeight="1">
      <c r="A519" t="inlineStr">
        <is>
          <t>A 26457-2025</t>
        </is>
      </c>
      <c r="B519" s="1" t="n">
        <v>45807.42773148148</v>
      </c>
      <c r="C519" s="1" t="n">
        <v>45997</v>
      </c>
      <c r="D519" t="inlineStr">
        <is>
          <t>GOTLANDS LÄN</t>
        </is>
      </c>
      <c r="E519" t="inlineStr">
        <is>
          <t>GOTLAND</t>
        </is>
      </c>
      <c r="G519" t="n">
        <v>5.7</v>
      </c>
      <c r="H519" t="n">
        <v>0</v>
      </c>
      <c r="I519" t="n">
        <v>0</v>
      </c>
      <c r="J519" t="n">
        <v>0</v>
      </c>
      <c r="K519" t="n">
        <v>0</v>
      </c>
      <c r="L519" t="n">
        <v>0</v>
      </c>
      <c r="M519" t="n">
        <v>0</v>
      </c>
      <c r="N519" t="n">
        <v>0</v>
      </c>
      <c r="O519" t="n">
        <v>0</v>
      </c>
      <c r="P519" t="n">
        <v>0</v>
      </c>
      <c r="Q519" t="n">
        <v>0</v>
      </c>
      <c r="R519" s="2" t="inlineStr"/>
    </row>
    <row r="520" ht="15" customHeight="1">
      <c r="A520" t="inlineStr">
        <is>
          <t>A 26467-2025</t>
        </is>
      </c>
      <c r="B520" s="1" t="n">
        <v>45807.44640046296</v>
      </c>
      <c r="C520" s="1" t="n">
        <v>45997</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26465-2025</t>
        </is>
      </c>
      <c r="B521" s="1" t="n">
        <v>45807.44377314814</v>
      </c>
      <c r="C521" s="1" t="n">
        <v>45997</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50421-2025</t>
        </is>
      </c>
      <c r="B522" s="1" t="n">
        <v>45944.66049768519</v>
      </c>
      <c r="C522" s="1" t="n">
        <v>45997</v>
      </c>
      <c r="D522" t="inlineStr">
        <is>
          <t>GOTLANDS LÄN</t>
        </is>
      </c>
      <c r="E522" t="inlineStr">
        <is>
          <t>GOTLAND</t>
        </is>
      </c>
      <c r="G522" t="n">
        <v>3.9</v>
      </c>
      <c r="H522" t="n">
        <v>0</v>
      </c>
      <c r="I522" t="n">
        <v>0</v>
      </c>
      <c r="J522" t="n">
        <v>0</v>
      </c>
      <c r="K522" t="n">
        <v>0</v>
      </c>
      <c r="L522" t="n">
        <v>0</v>
      </c>
      <c r="M522" t="n">
        <v>0</v>
      </c>
      <c r="N522" t="n">
        <v>0</v>
      </c>
      <c r="O522" t="n">
        <v>0</v>
      </c>
      <c r="P522" t="n">
        <v>0</v>
      </c>
      <c r="Q522" t="n">
        <v>0</v>
      </c>
      <c r="R522" s="2" t="inlineStr"/>
    </row>
    <row r="523" ht="15" customHeight="1">
      <c r="A523" t="inlineStr">
        <is>
          <t>A 26660-2025</t>
        </is>
      </c>
      <c r="B523" s="1" t="n">
        <v>45810.39737268518</v>
      </c>
      <c r="C523" s="1" t="n">
        <v>45997</v>
      </c>
      <c r="D523" t="inlineStr">
        <is>
          <t>GOTLANDS LÄN</t>
        </is>
      </c>
      <c r="E523" t="inlineStr">
        <is>
          <t>GOTLAND</t>
        </is>
      </c>
      <c r="G523" t="n">
        <v>1.8</v>
      </c>
      <c r="H523" t="n">
        <v>0</v>
      </c>
      <c r="I523" t="n">
        <v>0</v>
      </c>
      <c r="J523" t="n">
        <v>0</v>
      </c>
      <c r="K523" t="n">
        <v>0</v>
      </c>
      <c r="L523" t="n">
        <v>0</v>
      </c>
      <c r="M523" t="n">
        <v>0</v>
      </c>
      <c r="N523" t="n">
        <v>0</v>
      </c>
      <c r="O523" t="n">
        <v>0</v>
      </c>
      <c r="P523" t="n">
        <v>0</v>
      </c>
      <c r="Q523" t="n">
        <v>0</v>
      </c>
      <c r="R523" s="2" t="inlineStr"/>
    </row>
    <row r="524" ht="15" customHeight="1">
      <c r="A524" t="inlineStr">
        <is>
          <t>A 27371-2025</t>
        </is>
      </c>
      <c r="B524" s="1" t="n">
        <v>45812</v>
      </c>
      <c r="C524" s="1" t="n">
        <v>45997</v>
      </c>
      <c r="D524" t="inlineStr">
        <is>
          <t>GOTLANDS LÄN</t>
        </is>
      </c>
      <c r="E524" t="inlineStr">
        <is>
          <t>GOTLAND</t>
        </is>
      </c>
      <c r="G524" t="n">
        <v>8</v>
      </c>
      <c r="H524" t="n">
        <v>0</v>
      </c>
      <c r="I524" t="n">
        <v>0</v>
      </c>
      <c r="J524" t="n">
        <v>0</v>
      </c>
      <c r="K524" t="n">
        <v>0</v>
      </c>
      <c r="L524" t="n">
        <v>0</v>
      </c>
      <c r="M524" t="n">
        <v>0</v>
      </c>
      <c r="N524" t="n">
        <v>0</v>
      </c>
      <c r="O524" t="n">
        <v>0</v>
      </c>
      <c r="P524" t="n">
        <v>0</v>
      </c>
      <c r="Q524" t="n">
        <v>0</v>
      </c>
      <c r="R524" s="2" t="inlineStr"/>
    </row>
    <row r="525" ht="15" customHeight="1">
      <c r="A525" t="inlineStr">
        <is>
          <t>A 27355-2025</t>
        </is>
      </c>
      <c r="B525" s="1" t="n">
        <v>45812</v>
      </c>
      <c r="C525" s="1" t="n">
        <v>45997</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50431-2025</t>
        </is>
      </c>
      <c r="B526" s="1" t="n">
        <v>45944.68453703704</v>
      </c>
      <c r="C526" s="1" t="n">
        <v>45997</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6739-2025</t>
        </is>
      </c>
      <c r="B527" s="1" t="n">
        <v>45700</v>
      </c>
      <c r="C527" s="1" t="n">
        <v>45997</v>
      </c>
      <c r="D527" t="inlineStr">
        <is>
          <t>GOTLANDS LÄN</t>
        </is>
      </c>
      <c r="E527" t="inlineStr">
        <is>
          <t>GOTLAND</t>
        </is>
      </c>
      <c r="G527" t="n">
        <v>4.5</v>
      </c>
      <c r="H527" t="n">
        <v>0</v>
      </c>
      <c r="I527" t="n">
        <v>0</v>
      </c>
      <c r="J527" t="n">
        <v>0</v>
      </c>
      <c r="K527" t="n">
        <v>0</v>
      </c>
      <c r="L527" t="n">
        <v>0</v>
      </c>
      <c r="M527" t="n">
        <v>0</v>
      </c>
      <c r="N527" t="n">
        <v>0</v>
      </c>
      <c r="O527" t="n">
        <v>0</v>
      </c>
      <c r="P527" t="n">
        <v>0</v>
      </c>
      <c r="Q527" t="n">
        <v>0</v>
      </c>
      <c r="R527" s="2" t="inlineStr"/>
    </row>
    <row r="528" ht="15" customHeight="1">
      <c r="A528" t="inlineStr">
        <is>
          <t>A 7850-2025</t>
        </is>
      </c>
      <c r="B528" s="1" t="n">
        <v>45706</v>
      </c>
      <c r="C528" s="1" t="n">
        <v>45997</v>
      </c>
      <c r="D528" t="inlineStr">
        <is>
          <t>GOTLANDS LÄN</t>
        </is>
      </c>
      <c r="E528" t="inlineStr">
        <is>
          <t>GOTLAND</t>
        </is>
      </c>
      <c r="G528" t="n">
        <v>0.5</v>
      </c>
      <c r="H528" t="n">
        <v>0</v>
      </c>
      <c r="I528" t="n">
        <v>0</v>
      </c>
      <c r="J528" t="n">
        <v>0</v>
      </c>
      <c r="K528" t="n">
        <v>0</v>
      </c>
      <c r="L528" t="n">
        <v>0</v>
      </c>
      <c r="M528" t="n">
        <v>0</v>
      </c>
      <c r="N528" t="n">
        <v>0</v>
      </c>
      <c r="O528" t="n">
        <v>0</v>
      </c>
      <c r="P528" t="n">
        <v>0</v>
      </c>
      <c r="Q528" t="n">
        <v>0</v>
      </c>
      <c r="R528" s="2" t="inlineStr"/>
    </row>
    <row r="529" ht="15" customHeight="1">
      <c r="A529" t="inlineStr">
        <is>
          <t>A 50928-2025</t>
        </is>
      </c>
      <c r="B529" s="1" t="n">
        <v>45946.67896990741</v>
      </c>
      <c r="C529" s="1" t="n">
        <v>45997</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8444-2025</t>
        </is>
      </c>
      <c r="B530" s="1" t="n">
        <v>45709</v>
      </c>
      <c r="C530" s="1" t="n">
        <v>45997</v>
      </c>
      <c r="D530" t="inlineStr">
        <is>
          <t>GOTLANDS LÄN</t>
        </is>
      </c>
      <c r="E530" t="inlineStr">
        <is>
          <t>GOTLAND</t>
        </is>
      </c>
      <c r="G530" t="n">
        <v>5.2</v>
      </c>
      <c r="H530" t="n">
        <v>0</v>
      </c>
      <c r="I530" t="n">
        <v>0</v>
      </c>
      <c r="J530" t="n">
        <v>0</v>
      </c>
      <c r="K530" t="n">
        <v>0</v>
      </c>
      <c r="L530" t="n">
        <v>0</v>
      </c>
      <c r="M530" t="n">
        <v>0</v>
      </c>
      <c r="N530" t="n">
        <v>0</v>
      </c>
      <c r="O530" t="n">
        <v>0</v>
      </c>
      <c r="P530" t="n">
        <v>0</v>
      </c>
      <c r="Q530" t="n">
        <v>0</v>
      </c>
      <c r="R530" s="2" t="inlineStr"/>
    </row>
    <row r="531" ht="15" customHeight="1">
      <c r="A531" t="inlineStr">
        <is>
          <t>A 54584-2025</t>
        </is>
      </c>
      <c r="B531" s="1" t="n">
        <v>45965.71788194445</v>
      </c>
      <c r="C531" s="1" t="n">
        <v>45997</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59197-2025</t>
        </is>
      </c>
      <c r="B532" s="1" t="n">
        <v>45988.59846064815</v>
      </c>
      <c r="C532" s="1" t="n">
        <v>45997</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19905-2025</t>
        </is>
      </c>
      <c r="B533" s="1" t="n">
        <v>45771</v>
      </c>
      <c r="C533" s="1" t="n">
        <v>45997</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29196-2025</t>
        </is>
      </c>
      <c r="B534" s="1" t="n">
        <v>45822</v>
      </c>
      <c r="C534" s="1" t="n">
        <v>45997</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53569-2025</t>
        </is>
      </c>
      <c r="B535" s="1" t="n">
        <v>45960.41155092593</v>
      </c>
      <c r="C535" s="1" t="n">
        <v>45997</v>
      </c>
      <c r="D535" t="inlineStr">
        <is>
          <t>GOTLANDS LÄN</t>
        </is>
      </c>
      <c r="E535" t="inlineStr">
        <is>
          <t>GOTLAND</t>
        </is>
      </c>
      <c r="F535" t="inlineStr">
        <is>
          <t>Övriga Aktiebolag</t>
        </is>
      </c>
      <c r="G535" t="n">
        <v>11.3</v>
      </c>
      <c r="H535" t="n">
        <v>0</v>
      </c>
      <c r="I535" t="n">
        <v>0</v>
      </c>
      <c r="J535" t="n">
        <v>0</v>
      </c>
      <c r="K535" t="n">
        <v>0</v>
      </c>
      <c r="L535" t="n">
        <v>0</v>
      </c>
      <c r="M535" t="n">
        <v>0</v>
      </c>
      <c r="N535" t="n">
        <v>0</v>
      </c>
      <c r="O535" t="n">
        <v>0</v>
      </c>
      <c r="P535" t="n">
        <v>0</v>
      </c>
      <c r="Q535" t="n">
        <v>0</v>
      </c>
      <c r="R535" s="2" t="inlineStr"/>
    </row>
    <row r="536" ht="15" customHeight="1">
      <c r="A536" t="inlineStr">
        <is>
          <t>A 53577-2025</t>
        </is>
      </c>
      <c r="B536" s="1" t="n">
        <v>45960.42224537037</v>
      </c>
      <c r="C536" s="1" t="n">
        <v>45997</v>
      </c>
      <c r="D536" t="inlineStr">
        <is>
          <t>GOTLANDS LÄN</t>
        </is>
      </c>
      <c r="E536" t="inlineStr">
        <is>
          <t>GOTLAND</t>
        </is>
      </c>
      <c r="F536" t="inlineStr">
        <is>
          <t>Övriga Aktiebolag</t>
        </is>
      </c>
      <c r="G536" t="n">
        <v>3.3</v>
      </c>
      <c r="H536" t="n">
        <v>0</v>
      </c>
      <c r="I536" t="n">
        <v>0</v>
      </c>
      <c r="J536" t="n">
        <v>0</v>
      </c>
      <c r="K536" t="n">
        <v>0</v>
      </c>
      <c r="L536" t="n">
        <v>0</v>
      </c>
      <c r="M536" t="n">
        <v>0</v>
      </c>
      <c r="N536" t="n">
        <v>0</v>
      </c>
      <c r="O536" t="n">
        <v>0</v>
      </c>
      <c r="P536" t="n">
        <v>0</v>
      </c>
      <c r="Q536" t="n">
        <v>0</v>
      </c>
      <c r="R536" s="2" t="inlineStr"/>
    </row>
    <row r="537" ht="15" customHeight="1">
      <c r="A537" t="inlineStr">
        <is>
          <t>A 29207-2025</t>
        </is>
      </c>
      <c r="B537" s="1" t="n">
        <v>45823</v>
      </c>
      <c r="C537" s="1" t="n">
        <v>45997</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26391-2025</t>
        </is>
      </c>
      <c r="B538" s="1" t="n">
        <v>45806</v>
      </c>
      <c r="C538" s="1" t="n">
        <v>45997</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30061-2025</t>
        </is>
      </c>
      <c r="B539" s="1" t="n">
        <v>45826.61488425926</v>
      </c>
      <c r="C539" s="1" t="n">
        <v>45997</v>
      </c>
      <c r="D539" t="inlineStr">
        <is>
          <t>GOTLANDS LÄN</t>
        </is>
      </c>
      <c r="E539" t="inlineStr">
        <is>
          <t>GOTLAND</t>
        </is>
      </c>
      <c r="G539" t="n">
        <v>4.1</v>
      </c>
      <c r="H539" t="n">
        <v>0</v>
      </c>
      <c r="I539" t="n">
        <v>0</v>
      </c>
      <c r="J539" t="n">
        <v>0</v>
      </c>
      <c r="K539" t="n">
        <v>0</v>
      </c>
      <c r="L539" t="n">
        <v>0</v>
      </c>
      <c r="M539" t="n">
        <v>0</v>
      </c>
      <c r="N539" t="n">
        <v>0</v>
      </c>
      <c r="O539" t="n">
        <v>0</v>
      </c>
      <c r="P539" t="n">
        <v>0</v>
      </c>
      <c r="Q539" t="n">
        <v>0</v>
      </c>
      <c r="R539" s="2" t="inlineStr"/>
    </row>
    <row r="540" ht="15" customHeight="1">
      <c r="A540" t="inlineStr">
        <is>
          <t>A 51262-2025</t>
        </is>
      </c>
      <c r="B540" s="1" t="n">
        <v>45949.49872685185</v>
      </c>
      <c r="C540" s="1" t="n">
        <v>45997</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58160-2024</t>
        </is>
      </c>
      <c r="B541" s="1" t="n">
        <v>45632.44927083333</v>
      </c>
      <c r="C541" s="1" t="n">
        <v>45997</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52249-2025</t>
        </is>
      </c>
      <c r="B542" s="1" t="n">
        <v>45953.48637731482</v>
      </c>
      <c r="C542" s="1" t="n">
        <v>45997</v>
      </c>
      <c r="D542" t="inlineStr">
        <is>
          <t>GOTLANDS LÄN</t>
        </is>
      </c>
      <c r="E542" t="inlineStr">
        <is>
          <t>GOTLAND</t>
        </is>
      </c>
      <c r="F542" t="inlineStr">
        <is>
          <t>Övriga Aktiebolag</t>
        </is>
      </c>
      <c r="G542" t="n">
        <v>1</v>
      </c>
      <c r="H542" t="n">
        <v>0</v>
      </c>
      <c r="I542" t="n">
        <v>0</v>
      </c>
      <c r="J542" t="n">
        <v>0</v>
      </c>
      <c r="K542" t="n">
        <v>0</v>
      </c>
      <c r="L542" t="n">
        <v>0</v>
      </c>
      <c r="M542" t="n">
        <v>0</v>
      </c>
      <c r="N542" t="n">
        <v>0</v>
      </c>
      <c r="O542" t="n">
        <v>0</v>
      </c>
      <c r="P542" t="n">
        <v>0</v>
      </c>
      <c r="Q542" t="n">
        <v>0</v>
      </c>
      <c r="R542" s="2" t="inlineStr"/>
    </row>
    <row r="543" ht="15" customHeight="1">
      <c r="A543" t="inlineStr">
        <is>
          <t>A 60384-2025</t>
        </is>
      </c>
      <c r="B543" s="1" t="n">
        <v>45995.37947916667</v>
      </c>
      <c r="C543" s="1" t="n">
        <v>45997</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35512-2023</t>
        </is>
      </c>
      <c r="B544" s="1" t="n">
        <v>45147.25623842593</v>
      </c>
      <c r="C544" s="1" t="n">
        <v>45997</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32379-2025</t>
        </is>
      </c>
      <c r="B545" s="1" t="n">
        <v>45837</v>
      </c>
      <c r="C545" s="1" t="n">
        <v>45997</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32467-2025</t>
        </is>
      </c>
      <c r="B546" s="1" t="n">
        <v>45838.42111111111</v>
      </c>
      <c r="C546" s="1" t="n">
        <v>45997</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16109-2025</t>
        </is>
      </c>
      <c r="B547" s="1" t="n">
        <v>45750</v>
      </c>
      <c r="C547" s="1" t="n">
        <v>45997</v>
      </c>
      <c r="D547" t="inlineStr">
        <is>
          <t>GOTLANDS LÄN</t>
        </is>
      </c>
      <c r="E547" t="inlineStr">
        <is>
          <t>GOTLAND</t>
        </is>
      </c>
      <c r="G547" t="n">
        <v>4.9</v>
      </c>
      <c r="H547" t="n">
        <v>0</v>
      </c>
      <c r="I547" t="n">
        <v>0</v>
      </c>
      <c r="J547" t="n">
        <v>0</v>
      </c>
      <c r="K547" t="n">
        <v>0</v>
      </c>
      <c r="L547" t="n">
        <v>0</v>
      </c>
      <c r="M547" t="n">
        <v>0</v>
      </c>
      <c r="N547" t="n">
        <v>0</v>
      </c>
      <c r="O547" t="n">
        <v>0</v>
      </c>
      <c r="P547" t="n">
        <v>0</v>
      </c>
      <c r="Q547" t="n">
        <v>0</v>
      </c>
      <c r="R547" s="2" t="inlineStr"/>
    </row>
    <row r="548" ht="15" customHeight="1">
      <c r="A548" t="inlineStr">
        <is>
          <t>A 5905-2024</t>
        </is>
      </c>
      <c r="B548" s="1" t="n">
        <v>45335.88993055555</v>
      </c>
      <c r="C548" s="1" t="n">
        <v>45997</v>
      </c>
      <c r="D548" t="inlineStr">
        <is>
          <t>GOTLANDS LÄN</t>
        </is>
      </c>
      <c r="E548" t="inlineStr">
        <is>
          <t>GOTLAND</t>
        </is>
      </c>
      <c r="G548" t="n">
        <v>3</v>
      </c>
      <c r="H548" t="n">
        <v>0</v>
      </c>
      <c r="I548" t="n">
        <v>0</v>
      </c>
      <c r="J548" t="n">
        <v>0</v>
      </c>
      <c r="K548" t="n">
        <v>0</v>
      </c>
      <c r="L548" t="n">
        <v>0</v>
      </c>
      <c r="M548" t="n">
        <v>0</v>
      </c>
      <c r="N548" t="n">
        <v>0</v>
      </c>
      <c r="O548" t="n">
        <v>0</v>
      </c>
      <c r="P548" t="n">
        <v>0</v>
      </c>
      <c r="Q548" t="n">
        <v>0</v>
      </c>
      <c r="R548" s="2" t="inlineStr"/>
    </row>
    <row r="549" ht="15" customHeight="1">
      <c r="A549" t="inlineStr">
        <is>
          <t>A 33007-2025</t>
        </is>
      </c>
      <c r="B549" s="1" t="n">
        <v>45840</v>
      </c>
      <c r="C549" s="1" t="n">
        <v>45997</v>
      </c>
      <c r="D549" t="inlineStr">
        <is>
          <t>GOTLANDS LÄN</t>
        </is>
      </c>
      <c r="E549" t="inlineStr">
        <is>
          <t>GOTLAND</t>
        </is>
      </c>
      <c r="G549" t="n">
        <v>4.9</v>
      </c>
      <c r="H549" t="n">
        <v>0</v>
      </c>
      <c r="I549" t="n">
        <v>0</v>
      </c>
      <c r="J549" t="n">
        <v>0</v>
      </c>
      <c r="K549" t="n">
        <v>0</v>
      </c>
      <c r="L549" t="n">
        <v>0</v>
      </c>
      <c r="M549" t="n">
        <v>0</v>
      </c>
      <c r="N549" t="n">
        <v>0</v>
      </c>
      <c r="O549" t="n">
        <v>0</v>
      </c>
      <c r="P549" t="n">
        <v>0</v>
      </c>
      <c r="Q549" t="n">
        <v>0</v>
      </c>
      <c r="R549" s="2" t="inlineStr"/>
    </row>
    <row r="550" ht="15" customHeight="1">
      <c r="A550" t="inlineStr">
        <is>
          <t>A 1291-2023</t>
        </is>
      </c>
      <c r="B550" s="1" t="n">
        <v>44936.47561342592</v>
      </c>
      <c r="C550" s="1" t="n">
        <v>45997</v>
      </c>
      <c r="D550" t="inlineStr">
        <is>
          <t>GOTLANDS LÄN</t>
        </is>
      </c>
      <c r="E550" t="inlineStr">
        <is>
          <t>GOTLAND</t>
        </is>
      </c>
      <c r="G550" t="n">
        <v>7.4</v>
      </c>
      <c r="H550" t="n">
        <v>0</v>
      </c>
      <c r="I550" t="n">
        <v>0</v>
      </c>
      <c r="J550" t="n">
        <v>0</v>
      </c>
      <c r="K550" t="n">
        <v>0</v>
      </c>
      <c r="L550" t="n">
        <v>0</v>
      </c>
      <c r="M550" t="n">
        <v>0</v>
      </c>
      <c r="N550" t="n">
        <v>0</v>
      </c>
      <c r="O550" t="n">
        <v>0</v>
      </c>
      <c r="P550" t="n">
        <v>0</v>
      </c>
      <c r="Q550" t="n">
        <v>0</v>
      </c>
      <c r="R550" s="2" t="inlineStr"/>
    </row>
    <row r="551" ht="15" customHeight="1">
      <c r="A551" t="inlineStr">
        <is>
          <t>A 57652-2023</t>
        </is>
      </c>
      <c r="B551" s="1" t="n">
        <v>45246</v>
      </c>
      <c r="C551" s="1" t="n">
        <v>45997</v>
      </c>
      <c r="D551" t="inlineStr">
        <is>
          <t>GOTLANDS LÄN</t>
        </is>
      </c>
      <c r="E551" t="inlineStr">
        <is>
          <t>GOTLAND</t>
        </is>
      </c>
      <c r="G551" t="n">
        <v>7.2</v>
      </c>
      <c r="H551" t="n">
        <v>0</v>
      </c>
      <c r="I551" t="n">
        <v>0</v>
      </c>
      <c r="J551" t="n">
        <v>0</v>
      </c>
      <c r="K551" t="n">
        <v>0</v>
      </c>
      <c r="L551" t="n">
        <v>0</v>
      </c>
      <c r="M551" t="n">
        <v>0</v>
      </c>
      <c r="N551" t="n">
        <v>0</v>
      </c>
      <c r="O551" t="n">
        <v>0</v>
      </c>
      <c r="P551" t="n">
        <v>0</v>
      </c>
      <c r="Q551" t="n">
        <v>0</v>
      </c>
      <c r="R551" s="2" t="inlineStr"/>
    </row>
    <row r="552" ht="15" customHeight="1">
      <c r="A552" t="inlineStr">
        <is>
          <t>A 49315-2024</t>
        </is>
      </c>
      <c r="B552" s="1" t="n">
        <v>45595</v>
      </c>
      <c r="C552" s="1" t="n">
        <v>45997</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45106-2024</t>
        </is>
      </c>
      <c r="B553" s="1" t="n">
        <v>45575</v>
      </c>
      <c r="C553" s="1" t="n">
        <v>45997</v>
      </c>
      <c r="D553" t="inlineStr">
        <is>
          <t>GOTLANDS LÄN</t>
        </is>
      </c>
      <c r="E553" t="inlineStr">
        <is>
          <t>GOTLAND</t>
        </is>
      </c>
      <c r="G553" t="n">
        <v>10</v>
      </c>
      <c r="H553" t="n">
        <v>0</v>
      </c>
      <c r="I553" t="n">
        <v>0</v>
      </c>
      <c r="J553" t="n">
        <v>0</v>
      </c>
      <c r="K553" t="n">
        <v>0</v>
      </c>
      <c r="L553" t="n">
        <v>0</v>
      </c>
      <c r="M553" t="n">
        <v>0</v>
      </c>
      <c r="N553" t="n">
        <v>0</v>
      </c>
      <c r="O553" t="n">
        <v>0</v>
      </c>
      <c r="P553" t="n">
        <v>0</v>
      </c>
      <c r="Q553" t="n">
        <v>0</v>
      </c>
      <c r="R553" s="2" t="inlineStr"/>
    </row>
    <row r="554" ht="15" customHeight="1">
      <c r="A554" t="inlineStr">
        <is>
          <t>A 45112-2024</t>
        </is>
      </c>
      <c r="B554" s="1" t="n">
        <v>45575</v>
      </c>
      <c r="C554" s="1" t="n">
        <v>45997</v>
      </c>
      <c r="D554" t="inlineStr">
        <is>
          <t>GOTLANDS LÄN</t>
        </is>
      </c>
      <c r="E554" t="inlineStr">
        <is>
          <t>GOTLAND</t>
        </is>
      </c>
      <c r="G554" t="n">
        <v>5.1</v>
      </c>
      <c r="H554" t="n">
        <v>0</v>
      </c>
      <c r="I554" t="n">
        <v>0</v>
      </c>
      <c r="J554" t="n">
        <v>0</v>
      </c>
      <c r="K554" t="n">
        <v>0</v>
      </c>
      <c r="L554" t="n">
        <v>0</v>
      </c>
      <c r="M554" t="n">
        <v>0</v>
      </c>
      <c r="N554" t="n">
        <v>0</v>
      </c>
      <c r="O554" t="n">
        <v>0</v>
      </c>
      <c r="P554" t="n">
        <v>0</v>
      </c>
      <c r="Q554" t="n">
        <v>0</v>
      </c>
      <c r="R554" s="2" t="inlineStr"/>
    </row>
    <row r="555" ht="15" customHeight="1">
      <c r="A555" t="inlineStr">
        <is>
          <t>A 2676-2023</t>
        </is>
      </c>
      <c r="B555" s="1" t="n">
        <v>44944</v>
      </c>
      <c r="C555" s="1" t="n">
        <v>45997</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3150-2025</t>
        </is>
      </c>
      <c r="B556" s="1" t="n">
        <v>45679.28974537037</v>
      </c>
      <c r="C556" s="1" t="n">
        <v>45997</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15413-2025</t>
        </is>
      </c>
      <c r="B557" s="1" t="n">
        <v>45747.451875</v>
      </c>
      <c r="C557" s="1" t="n">
        <v>45997</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8484-2025</t>
        </is>
      </c>
      <c r="B558" s="1" t="n">
        <v>45709</v>
      </c>
      <c r="C558" s="1" t="n">
        <v>45997</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7635-2025</t>
        </is>
      </c>
      <c r="B559" s="1" t="n">
        <v>45705</v>
      </c>
      <c r="C559" s="1" t="n">
        <v>45997</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7636-2025</t>
        </is>
      </c>
      <c r="B560" s="1" t="n">
        <v>45705.7687962963</v>
      </c>
      <c r="C560" s="1" t="n">
        <v>45997</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7639-2025</t>
        </is>
      </c>
      <c r="B561" s="1" t="n">
        <v>45705.77465277778</v>
      </c>
      <c r="C561" s="1" t="n">
        <v>45997</v>
      </c>
      <c r="D561" t="inlineStr">
        <is>
          <t>GOTLANDS LÄN</t>
        </is>
      </c>
      <c r="E561" t="inlineStr">
        <is>
          <t>GOTLAND</t>
        </is>
      </c>
      <c r="G561" t="n">
        <v>1</v>
      </c>
      <c r="H561" t="n">
        <v>0</v>
      </c>
      <c r="I561" t="n">
        <v>0</v>
      </c>
      <c r="J561" t="n">
        <v>0</v>
      </c>
      <c r="K561" t="n">
        <v>0</v>
      </c>
      <c r="L561" t="n">
        <v>0</v>
      </c>
      <c r="M561" t="n">
        <v>0</v>
      </c>
      <c r="N561" t="n">
        <v>0</v>
      </c>
      <c r="O561" t="n">
        <v>0</v>
      </c>
      <c r="P561" t="n">
        <v>0</v>
      </c>
      <c r="Q561" t="n">
        <v>0</v>
      </c>
      <c r="R561" s="2" t="inlineStr"/>
    </row>
    <row r="562" ht="15" customHeight="1">
      <c r="A562" t="inlineStr">
        <is>
          <t>A 35123-2025</t>
        </is>
      </c>
      <c r="B562" s="1" t="n">
        <v>45852.614375</v>
      </c>
      <c r="C562" s="1" t="n">
        <v>45997</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35096-2025</t>
        </is>
      </c>
      <c r="B563" s="1" t="n">
        <v>45852.54356481481</v>
      </c>
      <c r="C563" s="1" t="n">
        <v>45997</v>
      </c>
      <c r="D563" t="inlineStr">
        <is>
          <t>GOTLANDS LÄN</t>
        </is>
      </c>
      <c r="E563" t="inlineStr">
        <is>
          <t>GOTLAND</t>
        </is>
      </c>
      <c r="F563" t="inlineStr">
        <is>
          <t>Kyrkan</t>
        </is>
      </c>
      <c r="G563" t="n">
        <v>1</v>
      </c>
      <c r="H563" t="n">
        <v>0</v>
      </c>
      <c r="I563" t="n">
        <v>0</v>
      </c>
      <c r="J563" t="n">
        <v>0</v>
      </c>
      <c r="K563" t="n">
        <v>0</v>
      </c>
      <c r="L563" t="n">
        <v>0</v>
      </c>
      <c r="M563" t="n">
        <v>0</v>
      </c>
      <c r="N563" t="n">
        <v>0</v>
      </c>
      <c r="O563" t="n">
        <v>0</v>
      </c>
      <c r="P563" t="n">
        <v>0</v>
      </c>
      <c r="Q563" t="n">
        <v>0</v>
      </c>
      <c r="R563" s="2" t="inlineStr"/>
    </row>
    <row r="564" ht="15" customHeight="1">
      <c r="A564" t="inlineStr">
        <is>
          <t>A 20356-2022</t>
        </is>
      </c>
      <c r="B564" s="1" t="n">
        <v>44699</v>
      </c>
      <c r="C564" s="1" t="n">
        <v>45997</v>
      </c>
      <c r="D564" t="inlineStr">
        <is>
          <t>GOTLANDS LÄN</t>
        </is>
      </c>
      <c r="E564" t="inlineStr">
        <is>
          <t>GOTLAND</t>
        </is>
      </c>
      <c r="F564" t="inlineStr">
        <is>
          <t>Övriga Aktiebolag</t>
        </is>
      </c>
      <c r="G564" t="n">
        <v>4.4</v>
      </c>
      <c r="H564" t="n">
        <v>0</v>
      </c>
      <c r="I564" t="n">
        <v>0</v>
      </c>
      <c r="J564" t="n">
        <v>0</v>
      </c>
      <c r="K564" t="n">
        <v>0</v>
      </c>
      <c r="L564" t="n">
        <v>0</v>
      </c>
      <c r="M564" t="n">
        <v>0</v>
      </c>
      <c r="N564" t="n">
        <v>0</v>
      </c>
      <c r="O564" t="n">
        <v>0</v>
      </c>
      <c r="P564" t="n">
        <v>0</v>
      </c>
      <c r="Q564" t="n">
        <v>0</v>
      </c>
      <c r="R564" s="2" t="inlineStr"/>
    </row>
    <row r="565" ht="15" customHeight="1">
      <c r="A565" t="inlineStr">
        <is>
          <t>A 48734-2022</t>
        </is>
      </c>
      <c r="B565" s="1" t="n">
        <v>44855</v>
      </c>
      <c r="C565" s="1" t="n">
        <v>45997</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14141-2024</t>
        </is>
      </c>
      <c r="B566" s="1" t="n">
        <v>45392.85193287037</v>
      </c>
      <c r="C566" s="1" t="n">
        <v>45997</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30104-2025</t>
        </is>
      </c>
      <c r="B567" s="1" t="n">
        <v>45826.68806712963</v>
      </c>
      <c r="C567" s="1" t="n">
        <v>45997</v>
      </c>
      <c r="D567" t="inlineStr">
        <is>
          <t>GOTLANDS LÄN</t>
        </is>
      </c>
      <c r="E567" t="inlineStr">
        <is>
          <t>GOTLAND</t>
        </is>
      </c>
      <c r="G567" t="n">
        <v>15.4</v>
      </c>
      <c r="H567" t="n">
        <v>0</v>
      </c>
      <c r="I567" t="n">
        <v>0</v>
      </c>
      <c r="J567" t="n">
        <v>0</v>
      </c>
      <c r="K567" t="n">
        <v>0</v>
      </c>
      <c r="L567" t="n">
        <v>0</v>
      </c>
      <c r="M567" t="n">
        <v>0</v>
      </c>
      <c r="N567" t="n">
        <v>0</v>
      </c>
      <c r="O567" t="n">
        <v>0</v>
      </c>
      <c r="P567" t="n">
        <v>0</v>
      </c>
      <c r="Q567" t="n">
        <v>0</v>
      </c>
      <c r="R567" s="2" t="inlineStr"/>
    </row>
    <row r="568" ht="15" customHeight="1">
      <c r="A568" t="inlineStr">
        <is>
          <t>A 29809-2022</t>
        </is>
      </c>
      <c r="B568" s="1" t="n">
        <v>44755.8713425926</v>
      </c>
      <c r="C568" s="1" t="n">
        <v>45997</v>
      </c>
      <c r="D568" t="inlineStr">
        <is>
          <t>GOTLANDS LÄN</t>
        </is>
      </c>
      <c r="E568" t="inlineStr">
        <is>
          <t>GOTLAND</t>
        </is>
      </c>
      <c r="G568" t="n">
        <v>11.5</v>
      </c>
      <c r="H568" t="n">
        <v>0</v>
      </c>
      <c r="I568" t="n">
        <v>0</v>
      </c>
      <c r="J568" t="n">
        <v>0</v>
      </c>
      <c r="K568" t="n">
        <v>0</v>
      </c>
      <c r="L568" t="n">
        <v>0</v>
      </c>
      <c r="M568" t="n">
        <v>0</v>
      </c>
      <c r="N568" t="n">
        <v>0</v>
      </c>
      <c r="O568" t="n">
        <v>0</v>
      </c>
      <c r="P568" t="n">
        <v>0</v>
      </c>
      <c r="Q568" t="n">
        <v>0</v>
      </c>
      <c r="R568" s="2" t="inlineStr"/>
    </row>
    <row r="569" ht="15" customHeight="1">
      <c r="A569" t="inlineStr">
        <is>
          <t>A 35290-2025</t>
        </is>
      </c>
      <c r="B569" s="1" t="n">
        <v>45854.38502314815</v>
      </c>
      <c r="C569" s="1" t="n">
        <v>45997</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32669-2024</t>
        </is>
      </c>
      <c r="B570" s="1" t="n">
        <v>45514</v>
      </c>
      <c r="C570" s="1" t="n">
        <v>45997</v>
      </c>
      <c r="D570" t="inlineStr">
        <is>
          <t>GOTLANDS LÄN</t>
        </is>
      </c>
      <c r="E570" t="inlineStr">
        <is>
          <t>GOTLAND</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35537-2025</t>
        </is>
      </c>
      <c r="B571" s="1" t="n">
        <v>45856</v>
      </c>
      <c r="C571" s="1" t="n">
        <v>45997</v>
      </c>
      <c r="D571" t="inlineStr">
        <is>
          <t>GOTLANDS LÄN</t>
        </is>
      </c>
      <c r="E571" t="inlineStr">
        <is>
          <t>GOTLAND</t>
        </is>
      </c>
      <c r="G571" t="n">
        <v>16.8</v>
      </c>
      <c r="H571" t="n">
        <v>0</v>
      </c>
      <c r="I571" t="n">
        <v>0</v>
      </c>
      <c r="J571" t="n">
        <v>0</v>
      </c>
      <c r="K571" t="n">
        <v>0</v>
      </c>
      <c r="L571" t="n">
        <v>0</v>
      </c>
      <c r="M571" t="n">
        <v>0</v>
      </c>
      <c r="N571" t="n">
        <v>0</v>
      </c>
      <c r="O571" t="n">
        <v>0</v>
      </c>
      <c r="P571" t="n">
        <v>0</v>
      </c>
      <c r="Q571" t="n">
        <v>0</v>
      </c>
      <c r="R571" s="2" t="inlineStr"/>
    </row>
    <row r="572" ht="15" customHeight="1">
      <c r="A572" t="inlineStr">
        <is>
          <t>A 57685-2022</t>
        </is>
      </c>
      <c r="B572" s="1" t="n">
        <v>44897.4777662037</v>
      </c>
      <c r="C572" s="1" t="n">
        <v>45997</v>
      </c>
      <c r="D572" t="inlineStr">
        <is>
          <t>GOTLANDS LÄN</t>
        </is>
      </c>
      <c r="E572" t="inlineStr">
        <is>
          <t>GOTLAND</t>
        </is>
      </c>
      <c r="G572" t="n">
        <v>3.7</v>
      </c>
      <c r="H572" t="n">
        <v>0</v>
      </c>
      <c r="I572" t="n">
        <v>0</v>
      </c>
      <c r="J572" t="n">
        <v>0</v>
      </c>
      <c r="K572" t="n">
        <v>0</v>
      </c>
      <c r="L572" t="n">
        <v>0</v>
      </c>
      <c r="M572" t="n">
        <v>0</v>
      </c>
      <c r="N572" t="n">
        <v>0</v>
      </c>
      <c r="O572" t="n">
        <v>0</v>
      </c>
      <c r="P572" t="n">
        <v>0</v>
      </c>
      <c r="Q572" t="n">
        <v>0</v>
      </c>
      <c r="R572" s="2" t="inlineStr"/>
    </row>
    <row r="573" ht="15" customHeight="1">
      <c r="A573" t="inlineStr">
        <is>
          <t>A 30815-2023</t>
        </is>
      </c>
      <c r="B573" s="1" t="n">
        <v>45112</v>
      </c>
      <c r="C573" s="1" t="n">
        <v>45997</v>
      </c>
      <c r="D573" t="inlineStr">
        <is>
          <t>GOTLANDS LÄN</t>
        </is>
      </c>
      <c r="E573" t="inlineStr">
        <is>
          <t>GOTLAND</t>
        </is>
      </c>
      <c r="G573" t="n">
        <v>6</v>
      </c>
      <c r="H573" t="n">
        <v>0</v>
      </c>
      <c r="I573" t="n">
        <v>0</v>
      </c>
      <c r="J573" t="n">
        <v>0</v>
      </c>
      <c r="K573" t="n">
        <v>0</v>
      </c>
      <c r="L573" t="n">
        <v>0</v>
      </c>
      <c r="M573" t="n">
        <v>0</v>
      </c>
      <c r="N573" t="n">
        <v>0</v>
      </c>
      <c r="O573" t="n">
        <v>0</v>
      </c>
      <c r="P573" t="n">
        <v>0</v>
      </c>
      <c r="Q573" t="n">
        <v>0</v>
      </c>
      <c r="R573" s="2" t="inlineStr"/>
    </row>
    <row r="574" ht="15" customHeight="1">
      <c r="A574" t="inlineStr">
        <is>
          <t>A 7034-2023</t>
        </is>
      </c>
      <c r="B574" s="1" t="n">
        <v>44968.32108796296</v>
      </c>
      <c r="C574" s="1" t="n">
        <v>45997</v>
      </c>
      <c r="D574" t="inlineStr">
        <is>
          <t>GOTLANDS LÄN</t>
        </is>
      </c>
      <c r="E574" t="inlineStr">
        <is>
          <t>GOTLAND</t>
        </is>
      </c>
      <c r="G574" t="n">
        <v>1.6</v>
      </c>
      <c r="H574" t="n">
        <v>0</v>
      </c>
      <c r="I574" t="n">
        <v>0</v>
      </c>
      <c r="J574" t="n">
        <v>0</v>
      </c>
      <c r="K574" t="n">
        <v>0</v>
      </c>
      <c r="L574" t="n">
        <v>0</v>
      </c>
      <c r="M574" t="n">
        <v>0</v>
      </c>
      <c r="N574" t="n">
        <v>0</v>
      </c>
      <c r="O574" t="n">
        <v>0</v>
      </c>
      <c r="P574" t="n">
        <v>0</v>
      </c>
      <c r="Q574" t="n">
        <v>0</v>
      </c>
      <c r="R574" s="2" t="inlineStr"/>
    </row>
    <row r="575" ht="15" customHeight="1">
      <c r="A575" t="inlineStr">
        <is>
          <t>A 7042-2023</t>
        </is>
      </c>
      <c r="B575" s="1" t="n">
        <v>44968</v>
      </c>
      <c r="C575" s="1" t="n">
        <v>45997</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23516-2023</t>
        </is>
      </c>
      <c r="B576" s="1" t="n">
        <v>45076.93391203704</v>
      </c>
      <c r="C576" s="1" t="n">
        <v>45997</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64660-2023</t>
        </is>
      </c>
      <c r="B577" s="1" t="n">
        <v>45281.60122685185</v>
      </c>
      <c r="C577" s="1" t="n">
        <v>45997</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63763-2023</t>
        </is>
      </c>
      <c r="B578" s="1" t="n">
        <v>45278.33944444444</v>
      </c>
      <c r="C578" s="1" t="n">
        <v>45997</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63229-2021</t>
        </is>
      </c>
      <c r="B579" s="1" t="n">
        <v>44508.34518518519</v>
      </c>
      <c r="C579" s="1" t="n">
        <v>45997</v>
      </c>
      <c r="D579" t="inlineStr">
        <is>
          <t>GOTLANDS LÄN</t>
        </is>
      </c>
      <c r="E579" t="inlineStr">
        <is>
          <t>GOTLAND</t>
        </is>
      </c>
      <c r="F579" t="inlineStr">
        <is>
          <t>Kyrkan</t>
        </is>
      </c>
      <c r="G579" t="n">
        <v>3.8</v>
      </c>
      <c r="H579" t="n">
        <v>0</v>
      </c>
      <c r="I579" t="n">
        <v>0</v>
      </c>
      <c r="J579" t="n">
        <v>0</v>
      </c>
      <c r="K579" t="n">
        <v>0</v>
      </c>
      <c r="L579" t="n">
        <v>0</v>
      </c>
      <c r="M579" t="n">
        <v>0</v>
      </c>
      <c r="N579" t="n">
        <v>0</v>
      </c>
      <c r="O579" t="n">
        <v>0</v>
      </c>
      <c r="P579" t="n">
        <v>0</v>
      </c>
      <c r="Q579" t="n">
        <v>0</v>
      </c>
      <c r="R579" s="2" t="inlineStr"/>
    </row>
    <row r="580" ht="15" customHeight="1">
      <c r="A580" t="inlineStr">
        <is>
          <t>A 46375-2024</t>
        </is>
      </c>
      <c r="B580" s="1" t="n">
        <v>45582</v>
      </c>
      <c r="C580" s="1" t="n">
        <v>45997</v>
      </c>
      <c r="D580" t="inlineStr">
        <is>
          <t>GOTLANDS LÄN</t>
        </is>
      </c>
      <c r="E580" t="inlineStr">
        <is>
          <t>GOTLAND</t>
        </is>
      </c>
      <c r="G580" t="n">
        <v>3</v>
      </c>
      <c r="H580" t="n">
        <v>0</v>
      </c>
      <c r="I580" t="n">
        <v>0</v>
      </c>
      <c r="J580" t="n">
        <v>0</v>
      </c>
      <c r="K580" t="n">
        <v>0</v>
      </c>
      <c r="L580" t="n">
        <v>0</v>
      </c>
      <c r="M580" t="n">
        <v>0</v>
      </c>
      <c r="N580" t="n">
        <v>0</v>
      </c>
      <c r="O580" t="n">
        <v>0</v>
      </c>
      <c r="P580" t="n">
        <v>0</v>
      </c>
      <c r="Q580" t="n">
        <v>0</v>
      </c>
      <c r="R580" s="2" t="inlineStr"/>
    </row>
    <row r="581" ht="15" customHeight="1">
      <c r="A581" t="inlineStr">
        <is>
          <t>A 1734-2025</t>
        </is>
      </c>
      <c r="B581" s="1" t="n">
        <v>45671.3840625</v>
      </c>
      <c r="C581" s="1" t="n">
        <v>45997</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20993-2023</t>
        </is>
      </c>
      <c r="B582" s="1" t="n">
        <v>45056</v>
      </c>
      <c r="C582" s="1" t="n">
        <v>45997</v>
      </c>
      <c r="D582" t="inlineStr">
        <is>
          <t>GOTLANDS LÄN</t>
        </is>
      </c>
      <c r="E582" t="inlineStr">
        <is>
          <t>GOTLAND</t>
        </is>
      </c>
      <c r="G582" t="n">
        <v>7.1</v>
      </c>
      <c r="H582" t="n">
        <v>0</v>
      </c>
      <c r="I582" t="n">
        <v>0</v>
      </c>
      <c r="J582" t="n">
        <v>0</v>
      </c>
      <c r="K582" t="n">
        <v>0</v>
      </c>
      <c r="L582" t="n">
        <v>0</v>
      </c>
      <c r="M582" t="n">
        <v>0</v>
      </c>
      <c r="N582" t="n">
        <v>0</v>
      </c>
      <c r="O582" t="n">
        <v>0</v>
      </c>
      <c r="P582" t="n">
        <v>0</v>
      </c>
      <c r="Q582" t="n">
        <v>0</v>
      </c>
      <c r="R582" s="2" t="inlineStr"/>
    </row>
    <row r="583" ht="15" customHeight="1">
      <c r="A583" t="inlineStr">
        <is>
          <t>A 12596-2023</t>
        </is>
      </c>
      <c r="B583" s="1" t="n">
        <v>45000.43310185185</v>
      </c>
      <c r="C583" s="1" t="n">
        <v>45997</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2125-2025</t>
        </is>
      </c>
      <c r="B584" s="1" t="n">
        <v>45672.64940972222</v>
      </c>
      <c r="C584" s="1" t="n">
        <v>45997</v>
      </c>
      <c r="D584" t="inlineStr">
        <is>
          <t>GOTLANDS LÄN</t>
        </is>
      </c>
      <c r="E584" t="inlineStr">
        <is>
          <t>GOTLAND</t>
        </is>
      </c>
      <c r="G584" t="n">
        <v>2.3</v>
      </c>
      <c r="H584" t="n">
        <v>0</v>
      </c>
      <c r="I584" t="n">
        <v>0</v>
      </c>
      <c r="J584" t="n">
        <v>0</v>
      </c>
      <c r="K584" t="n">
        <v>0</v>
      </c>
      <c r="L584" t="n">
        <v>0</v>
      </c>
      <c r="M584" t="n">
        <v>0</v>
      </c>
      <c r="N584" t="n">
        <v>0</v>
      </c>
      <c r="O584" t="n">
        <v>0</v>
      </c>
      <c r="P584" t="n">
        <v>0</v>
      </c>
      <c r="Q584" t="n">
        <v>0</v>
      </c>
      <c r="R584" s="2" t="inlineStr"/>
    </row>
    <row r="585" ht="15" customHeight="1">
      <c r="A585" t="inlineStr">
        <is>
          <t>A 12155-2023</t>
        </is>
      </c>
      <c r="B585" s="1" t="n">
        <v>44998.49106481481</v>
      </c>
      <c r="C585" s="1" t="n">
        <v>45997</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457-2023</t>
        </is>
      </c>
      <c r="B586" s="1" t="n">
        <v>44929.87238425926</v>
      </c>
      <c r="C586" s="1" t="n">
        <v>45997</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459-2023</t>
        </is>
      </c>
      <c r="B587" s="1" t="n">
        <v>44929.87423611111</v>
      </c>
      <c r="C587" s="1" t="n">
        <v>45997</v>
      </c>
      <c r="D587" t="inlineStr">
        <is>
          <t>GOTLANDS LÄN</t>
        </is>
      </c>
      <c r="E587" t="inlineStr">
        <is>
          <t>GOTLAND</t>
        </is>
      </c>
      <c r="G587" t="n">
        <v>4.2</v>
      </c>
      <c r="H587" t="n">
        <v>0</v>
      </c>
      <c r="I587" t="n">
        <v>0</v>
      </c>
      <c r="J587" t="n">
        <v>0</v>
      </c>
      <c r="K587" t="n">
        <v>0</v>
      </c>
      <c r="L587" t="n">
        <v>0</v>
      </c>
      <c r="M587" t="n">
        <v>0</v>
      </c>
      <c r="N587" t="n">
        <v>0</v>
      </c>
      <c r="O587" t="n">
        <v>0</v>
      </c>
      <c r="P587" t="n">
        <v>0</v>
      </c>
      <c r="Q587" t="n">
        <v>0</v>
      </c>
      <c r="R587" s="2" t="inlineStr"/>
    </row>
    <row r="588" ht="15" customHeight="1">
      <c r="A588" t="inlineStr">
        <is>
          <t>A 38234-2023</t>
        </is>
      </c>
      <c r="B588" s="1" t="n">
        <v>45161.56663194444</v>
      </c>
      <c r="C588" s="1" t="n">
        <v>45997</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50744-2024</t>
        </is>
      </c>
      <c r="B589" s="1" t="n">
        <v>45602.4187037037</v>
      </c>
      <c r="C589" s="1" t="n">
        <v>45997</v>
      </c>
      <c r="D589" t="inlineStr">
        <is>
          <t>GOTLANDS LÄN</t>
        </is>
      </c>
      <c r="E589" t="inlineStr">
        <is>
          <t>GOTLAND</t>
        </is>
      </c>
      <c r="G589" t="n">
        <v>3.2</v>
      </c>
      <c r="H589" t="n">
        <v>0</v>
      </c>
      <c r="I589" t="n">
        <v>0</v>
      </c>
      <c r="J589" t="n">
        <v>0</v>
      </c>
      <c r="K589" t="n">
        <v>0</v>
      </c>
      <c r="L589" t="n">
        <v>0</v>
      </c>
      <c r="M589" t="n">
        <v>0</v>
      </c>
      <c r="N589" t="n">
        <v>0</v>
      </c>
      <c r="O589" t="n">
        <v>0</v>
      </c>
      <c r="P589" t="n">
        <v>0</v>
      </c>
      <c r="Q589" t="n">
        <v>0</v>
      </c>
      <c r="R589" s="2" t="inlineStr"/>
    </row>
    <row r="590" ht="15" customHeight="1">
      <c r="A590" t="inlineStr">
        <is>
          <t>A 53934-2024</t>
        </is>
      </c>
      <c r="B590" s="1" t="n">
        <v>45615</v>
      </c>
      <c r="C590" s="1" t="n">
        <v>45997</v>
      </c>
      <c r="D590" t="inlineStr">
        <is>
          <t>GOTLANDS LÄN</t>
        </is>
      </c>
      <c r="E590" t="inlineStr">
        <is>
          <t>GOTLAND</t>
        </is>
      </c>
      <c r="G590" t="n">
        <v>5</v>
      </c>
      <c r="H590" t="n">
        <v>0</v>
      </c>
      <c r="I590" t="n">
        <v>0</v>
      </c>
      <c r="J590" t="n">
        <v>0</v>
      </c>
      <c r="K590" t="n">
        <v>0</v>
      </c>
      <c r="L590" t="n">
        <v>0</v>
      </c>
      <c r="M590" t="n">
        <v>0</v>
      </c>
      <c r="N590" t="n">
        <v>0</v>
      </c>
      <c r="O590" t="n">
        <v>0</v>
      </c>
      <c r="P590" t="n">
        <v>0</v>
      </c>
      <c r="Q590" t="n">
        <v>0</v>
      </c>
      <c r="R590" s="2" t="inlineStr"/>
    </row>
    <row r="591" ht="15" customHeight="1">
      <c r="A591" t="inlineStr">
        <is>
          <t>A 1446-2025</t>
        </is>
      </c>
      <c r="B591" s="1" t="n">
        <v>45669.86035879629</v>
      </c>
      <c r="C591" s="1" t="n">
        <v>45997</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31264-2021</t>
        </is>
      </c>
      <c r="B592" s="1" t="n">
        <v>44368</v>
      </c>
      <c r="C592" s="1" t="n">
        <v>45997</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43901-2023</t>
        </is>
      </c>
      <c r="B593" s="1" t="n">
        <v>45187</v>
      </c>
      <c r="C593" s="1" t="n">
        <v>45997</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10746-2025</t>
        </is>
      </c>
      <c r="B594" s="1" t="n">
        <v>45722.42766203704</v>
      </c>
      <c r="C594" s="1" t="n">
        <v>45997</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16501-2023</t>
        </is>
      </c>
      <c r="B595" s="1" t="n">
        <v>45029</v>
      </c>
      <c r="C595" s="1" t="n">
        <v>45997</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27930-2021</t>
        </is>
      </c>
      <c r="B596" s="1" t="n">
        <v>44354</v>
      </c>
      <c r="C596" s="1" t="n">
        <v>45997</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61962-2024</t>
        </is>
      </c>
      <c r="B597" s="1" t="n">
        <v>45653.54340277778</v>
      </c>
      <c r="C597" s="1" t="n">
        <v>45997</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10492-2023</t>
        </is>
      </c>
      <c r="B598" s="1" t="n">
        <v>44987</v>
      </c>
      <c r="C598" s="1" t="n">
        <v>45997</v>
      </c>
      <c r="D598" t="inlineStr">
        <is>
          <t>GOTLANDS LÄN</t>
        </is>
      </c>
      <c r="E598" t="inlineStr">
        <is>
          <t>GOTLAND</t>
        </is>
      </c>
      <c r="G598" t="n">
        <v>1</v>
      </c>
      <c r="H598" t="n">
        <v>0</v>
      </c>
      <c r="I598" t="n">
        <v>0</v>
      </c>
      <c r="J598" t="n">
        <v>0</v>
      </c>
      <c r="K598" t="n">
        <v>0</v>
      </c>
      <c r="L598" t="n">
        <v>0</v>
      </c>
      <c r="M598" t="n">
        <v>0</v>
      </c>
      <c r="N598" t="n">
        <v>0</v>
      </c>
      <c r="O598" t="n">
        <v>0</v>
      </c>
      <c r="P598" t="n">
        <v>0</v>
      </c>
      <c r="Q598" t="n">
        <v>0</v>
      </c>
      <c r="R598" s="2" t="inlineStr"/>
    </row>
    <row r="599" ht="15" customHeight="1">
      <c r="A599" t="inlineStr">
        <is>
          <t>A 5909-2025</t>
        </is>
      </c>
      <c r="B599" s="1" t="n">
        <v>45695.40634259259</v>
      </c>
      <c r="C599" s="1" t="n">
        <v>45997</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10653-2023</t>
        </is>
      </c>
      <c r="B600" s="1" t="n">
        <v>44988.48859953704</v>
      </c>
      <c r="C600" s="1" t="n">
        <v>45997</v>
      </c>
      <c r="D600" t="inlineStr">
        <is>
          <t>GOTLANDS LÄN</t>
        </is>
      </c>
      <c r="E600" t="inlineStr">
        <is>
          <t>GOTLAND</t>
        </is>
      </c>
      <c r="F600" t="inlineStr">
        <is>
          <t>Kyrkan</t>
        </is>
      </c>
      <c r="G600" t="n">
        <v>3</v>
      </c>
      <c r="H600" t="n">
        <v>0</v>
      </c>
      <c r="I600" t="n">
        <v>0</v>
      </c>
      <c r="J600" t="n">
        <v>0</v>
      </c>
      <c r="K600" t="n">
        <v>0</v>
      </c>
      <c r="L600" t="n">
        <v>0</v>
      </c>
      <c r="M600" t="n">
        <v>0</v>
      </c>
      <c r="N600" t="n">
        <v>0</v>
      </c>
      <c r="O600" t="n">
        <v>0</v>
      </c>
      <c r="P600" t="n">
        <v>0</v>
      </c>
      <c r="Q600" t="n">
        <v>0</v>
      </c>
      <c r="R600" s="2" t="inlineStr"/>
    </row>
    <row r="601" ht="15" customHeight="1">
      <c r="A601" t="inlineStr">
        <is>
          <t>A 4990-2025</t>
        </is>
      </c>
      <c r="B601" s="1" t="n">
        <v>45691</v>
      </c>
      <c r="C601" s="1" t="n">
        <v>45997</v>
      </c>
      <c r="D601" t="inlineStr">
        <is>
          <t>GOTLANDS LÄN</t>
        </is>
      </c>
      <c r="E601" t="inlineStr">
        <is>
          <t>GOTLAND</t>
        </is>
      </c>
      <c r="G601" t="n">
        <v>7.7</v>
      </c>
      <c r="H601" t="n">
        <v>0</v>
      </c>
      <c r="I601" t="n">
        <v>0</v>
      </c>
      <c r="J601" t="n">
        <v>0</v>
      </c>
      <c r="K601" t="n">
        <v>0</v>
      </c>
      <c r="L601" t="n">
        <v>0</v>
      </c>
      <c r="M601" t="n">
        <v>0</v>
      </c>
      <c r="N601" t="n">
        <v>0</v>
      </c>
      <c r="O601" t="n">
        <v>0</v>
      </c>
      <c r="P601" t="n">
        <v>0</v>
      </c>
      <c r="Q601" t="n">
        <v>0</v>
      </c>
      <c r="R601" s="2" t="inlineStr"/>
    </row>
    <row r="602" ht="15" customHeight="1">
      <c r="A602" t="inlineStr">
        <is>
          <t>A 43081-2022</t>
        </is>
      </c>
      <c r="B602" s="1" t="n">
        <v>44833</v>
      </c>
      <c r="C602" s="1" t="n">
        <v>45997</v>
      </c>
      <c r="D602" t="inlineStr">
        <is>
          <t>GOTLANDS LÄN</t>
        </is>
      </c>
      <c r="E602" t="inlineStr">
        <is>
          <t>GOTLAND</t>
        </is>
      </c>
      <c r="G602" t="n">
        <v>6.8</v>
      </c>
      <c r="H602" t="n">
        <v>0</v>
      </c>
      <c r="I602" t="n">
        <v>0</v>
      </c>
      <c r="J602" t="n">
        <v>0</v>
      </c>
      <c r="K602" t="n">
        <v>0</v>
      </c>
      <c r="L602" t="n">
        <v>0</v>
      </c>
      <c r="M602" t="n">
        <v>0</v>
      </c>
      <c r="N602" t="n">
        <v>0</v>
      </c>
      <c r="O602" t="n">
        <v>0</v>
      </c>
      <c r="P602" t="n">
        <v>0</v>
      </c>
      <c r="Q602" t="n">
        <v>0</v>
      </c>
      <c r="R602" s="2" t="inlineStr"/>
    </row>
    <row r="603" ht="15" customHeight="1">
      <c r="A603" t="inlineStr">
        <is>
          <t>A 32958-2021</t>
        </is>
      </c>
      <c r="B603" s="1" t="n">
        <v>44376</v>
      </c>
      <c r="C603" s="1" t="n">
        <v>45997</v>
      </c>
      <c r="D603" t="inlineStr">
        <is>
          <t>GOTLANDS LÄN</t>
        </is>
      </c>
      <c r="E603" t="inlineStr">
        <is>
          <t>GOTLAND</t>
        </is>
      </c>
      <c r="G603" t="n">
        <v>2.2</v>
      </c>
      <c r="H603" t="n">
        <v>0</v>
      </c>
      <c r="I603" t="n">
        <v>0</v>
      </c>
      <c r="J603" t="n">
        <v>0</v>
      </c>
      <c r="K603" t="n">
        <v>0</v>
      </c>
      <c r="L603" t="n">
        <v>0</v>
      </c>
      <c r="M603" t="n">
        <v>0</v>
      </c>
      <c r="N603" t="n">
        <v>0</v>
      </c>
      <c r="O603" t="n">
        <v>0</v>
      </c>
      <c r="P603" t="n">
        <v>0</v>
      </c>
      <c r="Q603" t="n">
        <v>0</v>
      </c>
      <c r="R603" s="2" t="inlineStr"/>
    </row>
    <row r="604" ht="15" customHeight="1">
      <c r="A604" t="inlineStr">
        <is>
          <t>A 5884-2025</t>
        </is>
      </c>
      <c r="B604" s="1" t="n">
        <v>45695.37482638889</v>
      </c>
      <c r="C604" s="1" t="n">
        <v>45997</v>
      </c>
      <c r="D604" t="inlineStr">
        <is>
          <t>GOTLANDS LÄN</t>
        </is>
      </c>
      <c r="E604" t="inlineStr">
        <is>
          <t>GOTLAND</t>
        </is>
      </c>
      <c r="G604" t="n">
        <v>2.1</v>
      </c>
      <c r="H604" t="n">
        <v>0</v>
      </c>
      <c r="I604" t="n">
        <v>0</v>
      </c>
      <c r="J604" t="n">
        <v>0</v>
      </c>
      <c r="K604" t="n">
        <v>0</v>
      </c>
      <c r="L604" t="n">
        <v>0</v>
      </c>
      <c r="M604" t="n">
        <v>0</v>
      </c>
      <c r="N604" t="n">
        <v>0</v>
      </c>
      <c r="O604" t="n">
        <v>0</v>
      </c>
      <c r="P604" t="n">
        <v>0</v>
      </c>
      <c r="Q604" t="n">
        <v>0</v>
      </c>
      <c r="R604" s="2" t="inlineStr"/>
    </row>
    <row r="605" ht="15" customHeight="1">
      <c r="A605" t="inlineStr">
        <is>
          <t>A 5897-2025</t>
        </is>
      </c>
      <c r="B605" s="1" t="n">
        <v>45695.39273148148</v>
      </c>
      <c r="C605" s="1" t="n">
        <v>45997</v>
      </c>
      <c r="D605" t="inlineStr">
        <is>
          <t>GOTLANDS LÄN</t>
        </is>
      </c>
      <c r="E605" t="inlineStr">
        <is>
          <t>GOTLAND</t>
        </is>
      </c>
      <c r="G605" t="n">
        <v>3.7</v>
      </c>
      <c r="H605" t="n">
        <v>0</v>
      </c>
      <c r="I605" t="n">
        <v>0</v>
      </c>
      <c r="J605" t="n">
        <v>0</v>
      </c>
      <c r="K605" t="n">
        <v>0</v>
      </c>
      <c r="L605" t="n">
        <v>0</v>
      </c>
      <c r="M605" t="n">
        <v>0</v>
      </c>
      <c r="N605" t="n">
        <v>0</v>
      </c>
      <c r="O605" t="n">
        <v>0</v>
      </c>
      <c r="P605" t="n">
        <v>0</v>
      </c>
      <c r="Q605" t="n">
        <v>0</v>
      </c>
      <c r="R605" s="2" t="inlineStr"/>
    </row>
    <row r="606" ht="15" customHeight="1">
      <c r="A606" t="inlineStr">
        <is>
          <t>A 49693-2023</t>
        </is>
      </c>
      <c r="B606" s="1" t="n">
        <v>45212.38138888889</v>
      </c>
      <c r="C606" s="1" t="n">
        <v>45997</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c r="A607" t="inlineStr">
        <is>
          <t>A 49697-2023</t>
        </is>
      </c>
      <c r="B607" s="1" t="n">
        <v>45212.38909722222</v>
      </c>
      <c r="C607" s="1" t="n">
        <v>45997</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2025-12-06T10:27:20Z</dcterms:created>
  <dcterms:modified xmlns:dcterms="http://purl.org/dc/terms/" xmlns:xsi="http://www.w3.org/2001/XMLSchema-instance" xsi:type="dcterms:W3CDTF">2025-12-06T10:27:21Z</dcterms:modified>
</cp:coreProperties>
</file>