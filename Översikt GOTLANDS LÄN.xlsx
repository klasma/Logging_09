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46169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46169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46169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46169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46169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46169</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46169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46169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46169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46169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62551-2022</t>
        </is>
      </c>
      <c r="B18" s="1" t="n">
        <v>44924</v>
      </c>
      <c r="C18" s="1" t="n">
        <v>46169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46169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46169</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46169</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46169</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46169</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17762-2024</t>
        </is>
      </c>
      <c r="B24" s="1" t="n">
        <v>45418</v>
      </c>
      <c r="C24" s="1" t="n">
        <v>46169</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15629-2024</t>
        </is>
      </c>
      <c r="B25" s="1" t="n">
        <v>45402.78372685185</v>
      </c>
      <c r="C25" s="1" t="n">
        <v>46169</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46169</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46169</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46169</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46169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46169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46169</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46169</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46169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46169</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46169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46169</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46169</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46169</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46169</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46169</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46169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52223-2025</t>
        </is>
      </c>
      <c r="B42" s="1" t="n">
        <v>45953.44509259259</v>
      </c>
      <c r="C42" s="1" t="n">
        <v>46169</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43201-2023</t>
        </is>
      </c>
      <c r="B43" s="1" t="n">
        <v>45183</v>
      </c>
      <c r="C43" s="1" t="n">
        <v>46169</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10274-2026</t>
        </is>
      </c>
      <c r="B44" s="1" t="n">
        <v>46076</v>
      </c>
      <c r="C44" s="1" t="n">
        <v>46169</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46169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22404-2024</t>
        </is>
      </c>
      <c r="B46" s="1" t="n">
        <v>45446</v>
      </c>
      <c r="C46" s="1" t="n">
        <v>46169</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46169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46169</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46169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46169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33153-2024</t>
        </is>
      </c>
      <c r="B51" s="1" t="n">
        <v>45518</v>
      </c>
      <c r="C51" s="1" t="n">
        <v>46169</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46169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46169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46169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46169</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27168-2022</t>
        </is>
      </c>
      <c r="B56" s="1" t="n">
        <v>44741</v>
      </c>
      <c r="C56" s="1" t="n">
        <v>46169</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46169</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46169</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46169</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46169</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46169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46169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46169</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46169</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53584-2025</t>
        </is>
      </c>
      <c r="B68" s="1" t="n">
        <v>45960.43130787037</v>
      </c>
      <c r="C68" s="1" t="n">
        <v>46169</v>
      </c>
      <c r="D68" t="inlineStr">
        <is>
          <t>GOTLANDS LÄN</t>
        </is>
      </c>
      <c r="E68" t="inlineStr">
        <is>
          <t>GOTLAND</t>
        </is>
      </c>
      <c r="F68" t="inlineStr">
        <is>
          <t>Övriga Aktiebolag</t>
        </is>
      </c>
      <c r="G68" t="n">
        <v>18.1</v>
      </c>
      <c r="H68" t="n">
        <v>3</v>
      </c>
      <c r="I68" t="n">
        <v>0</v>
      </c>
      <c r="J68" t="n">
        <v>5</v>
      </c>
      <c r="K68" t="n">
        <v>0</v>
      </c>
      <c r="L68" t="n">
        <v>0</v>
      </c>
      <c r="M68" t="n">
        <v>0</v>
      </c>
      <c r="N68" t="n">
        <v>0</v>
      </c>
      <c r="O68" t="n">
        <v>5</v>
      </c>
      <c r="P68" t="n">
        <v>0</v>
      </c>
      <c r="Q68" t="n">
        <v>6</v>
      </c>
      <c r="R68" s="2" t="inlineStr">
        <is>
          <t>Apollofjäril
Jordtistel
Klasefibbla
Kråka
Majviva
Nattviol</t>
        </is>
      </c>
      <c r="S68">
        <f>HYPERLINK("https://klasma.github.io/Logging_0980/artfynd/A 53584-2025 artfynd.xlsx", "A 53584-2025")</f>
        <v/>
      </c>
      <c r="T68">
        <f>HYPERLINK("https://klasma.github.io/Logging_0980/kartor/A 53584-2025 karta.png", "A 53584-2025")</f>
        <v/>
      </c>
      <c r="V68">
        <f>HYPERLINK("https://klasma.github.io/Logging_0980/klagomål/A 53584-2025 FSC-klagomål.docx", "A 53584-2025")</f>
        <v/>
      </c>
      <c r="W68">
        <f>HYPERLINK("https://klasma.github.io/Logging_0980/klagomålsmail/A 53584-2025 FSC-klagomål mail.docx", "A 53584-2025")</f>
        <v/>
      </c>
      <c r="X68">
        <f>HYPERLINK("https://klasma.github.io/Logging_0980/tillsyn/A 53584-2025 tillsynsbegäran.docx", "A 53584-2025")</f>
        <v/>
      </c>
      <c r="Y68">
        <f>HYPERLINK("https://klasma.github.io/Logging_0980/tillsynsmail/A 53584-2025 tillsynsbegäran mail.docx", "A 53584-2025")</f>
        <v/>
      </c>
      <c r="Z68">
        <f>HYPERLINK("https://klasma.github.io/Logging_0980/fåglar/A 53584-2025 prioriterade fågelarter.docx", "A 53584-2025")</f>
        <v/>
      </c>
    </row>
    <row r="69" ht="15" customHeight="1">
      <c r="A69" t="inlineStr">
        <is>
          <t>A 446-2023</t>
        </is>
      </c>
      <c r="B69" s="1" t="n">
        <v>44929</v>
      </c>
      <c r="C69" s="1" t="n">
        <v>46169</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16823-2024</t>
        </is>
      </c>
      <c r="B70" s="1" t="n">
        <v>45411</v>
      </c>
      <c r="C70" s="1" t="n">
        <v>46169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46169</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46169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46169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46169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66091-2021</t>
        </is>
      </c>
      <c r="B75" s="1" t="n">
        <v>44517</v>
      </c>
      <c r="C75" s="1" t="n">
        <v>46169</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46169</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35293-2025</t>
        </is>
      </c>
      <c r="B77" s="1" t="n">
        <v>45854.39438657407</v>
      </c>
      <c r="C77" s="1" t="n">
        <v>46169</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46169</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52245-2025</t>
        </is>
      </c>
      <c r="B79" s="1" t="n">
        <v>45953.47115740741</v>
      </c>
      <c r="C79" s="1" t="n">
        <v>46169</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39425-2023</t>
        </is>
      </c>
      <c r="B80" s="1" t="n">
        <v>45166</v>
      </c>
      <c r="C80" s="1" t="n">
        <v>46169</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46169</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46169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46169</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6839-2026</t>
        </is>
      </c>
      <c r="B84" s="1" t="n">
        <v>46057.41193287037</v>
      </c>
      <c r="C84" s="1" t="n">
        <v>46169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29331-2021</t>
        </is>
      </c>
      <c r="B85" s="1" t="n">
        <v>44361</v>
      </c>
      <c r="C85" s="1" t="n">
        <v>46169</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46169</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40099-2025</t>
        </is>
      </c>
      <c r="B87" s="1" t="n">
        <v>45894.48462962963</v>
      </c>
      <c r="C87" s="1" t="n">
        <v>46169</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46169</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2485-2025</t>
        </is>
      </c>
      <c r="B89" s="1" t="n">
        <v>45673</v>
      </c>
      <c r="C89" s="1" t="n">
        <v>46169</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6159-2023</t>
        </is>
      </c>
      <c r="B90" s="1" t="n">
        <v>44964</v>
      </c>
      <c r="C90" s="1" t="n">
        <v>46169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46169</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54523-2023</t>
        </is>
      </c>
      <c r="B92" s="1" t="n">
        <v>45233</v>
      </c>
      <c r="C92" s="1" t="n">
        <v>46169</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46169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1971-2023</t>
        </is>
      </c>
      <c r="B94" s="1" t="n">
        <v>44939</v>
      </c>
      <c r="C94" s="1" t="n">
        <v>46169</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46169</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13203-2026</t>
        </is>
      </c>
      <c r="B96" s="1" t="n">
        <v>46093</v>
      </c>
      <c r="C96" s="1" t="n">
        <v>46169</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46169</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8265-2023</t>
        </is>
      </c>
      <c r="B98" s="1" t="n">
        <v>44974</v>
      </c>
      <c r="C98" s="1" t="n">
        <v>46169</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20833-2024</t>
        </is>
      </c>
      <c r="B99" s="1" t="n">
        <v>45439</v>
      </c>
      <c r="C99" s="1" t="n">
        <v>46169</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46169</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44933-2022</t>
        </is>
      </c>
      <c r="B101" s="1" t="n">
        <v>44841</v>
      </c>
      <c r="C101" s="1" t="n">
        <v>46169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44323-2021</t>
        </is>
      </c>
      <c r="B102" s="1" t="n">
        <v>44434</v>
      </c>
      <c r="C102" s="1" t="n">
        <v>46169</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46169</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46169</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46169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46169</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13499-2022</t>
        </is>
      </c>
      <c r="B107" s="1" t="n">
        <v>44647.79203703703</v>
      </c>
      <c r="C107" s="1" t="n">
        <v>46169</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46169</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30490-2025</t>
        </is>
      </c>
      <c r="B109" s="1" t="n">
        <v>45830</v>
      </c>
      <c r="C109" s="1" t="n">
        <v>46169</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48126-2022</t>
        </is>
      </c>
      <c r="B110" s="1" t="n">
        <v>44857</v>
      </c>
      <c r="C110" s="1" t="n">
        <v>46169</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46169</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46169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46169</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17982-2023</t>
        </is>
      </c>
      <c r="B114" s="1" t="n">
        <v>45040</v>
      </c>
      <c r="C114" s="1" t="n">
        <v>46169</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53552-2021</t>
        </is>
      </c>
      <c r="B115" s="1" t="n">
        <v>44468</v>
      </c>
      <c r="C115" s="1" t="n">
        <v>46169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46169</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46169</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46169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29870-2021</t>
        </is>
      </c>
      <c r="B119" s="1" t="n">
        <v>44362</v>
      </c>
      <c r="C119" s="1" t="n">
        <v>46169</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46169</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60665-2021</t>
        </is>
      </c>
      <c r="B121" s="1" t="n">
        <v>44496</v>
      </c>
      <c r="C121" s="1" t="n">
        <v>46169</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46169</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46169</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46169</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21879-2025</t>
        </is>
      </c>
      <c r="B125" s="1" t="n">
        <v>45784.40533564815</v>
      </c>
      <c r="C125" s="1" t="n">
        <v>46169</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7070-2022</t>
        </is>
      </c>
      <c r="B126" s="1" t="n">
        <v>44603</v>
      </c>
      <c r="C126" s="1" t="n">
        <v>46169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20429-2025</t>
        </is>
      </c>
      <c r="B127" s="1" t="n">
        <v>45775.47728009259</v>
      </c>
      <c r="C127" s="1" t="n">
        <v>46169</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12914-2025</t>
        </is>
      </c>
      <c r="B128" s="1" t="n">
        <v>45733</v>
      </c>
      <c r="C128" s="1" t="n">
        <v>46169</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46169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20838-2024</t>
        </is>
      </c>
      <c r="B130" s="1" t="n">
        <v>45439</v>
      </c>
      <c r="C130" s="1" t="n">
        <v>46169</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46169</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46169</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46169</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16997-2026</t>
        </is>
      </c>
      <c r="B134" s="1" t="n">
        <v>46114.42539351852</v>
      </c>
      <c r="C134" s="1" t="n">
        <v>46169</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17328-2026</t>
        </is>
      </c>
      <c r="B135" s="1" t="n">
        <v>46119.61216435185</v>
      </c>
      <c r="C135" s="1" t="n">
        <v>46169</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43219-2023</t>
        </is>
      </c>
      <c r="B136" s="1" t="n">
        <v>45183</v>
      </c>
      <c r="C136" s="1" t="n">
        <v>46169</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46169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46362-2021</t>
        </is>
      </c>
      <c r="B138" s="1" t="n">
        <v>44442</v>
      </c>
      <c r="C138" s="1" t="n">
        <v>46169</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46169</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46169</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10440-2024</t>
        </is>
      </c>
      <c r="B141" s="1" t="n">
        <v>45366.32818287037</v>
      </c>
      <c r="C141" s="1" t="n">
        <v>46169</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39812-2025</t>
        </is>
      </c>
      <c r="B142" s="1" t="n">
        <v>45891</v>
      </c>
      <c r="C142" s="1" t="n">
        <v>46169</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44308-2021</t>
        </is>
      </c>
      <c r="B143" s="1" t="n">
        <v>44434</v>
      </c>
      <c r="C143" s="1" t="n">
        <v>46169</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26461-2025</t>
        </is>
      </c>
      <c r="B144" s="1" t="n">
        <v>45807.43337962963</v>
      </c>
      <c r="C144" s="1" t="n">
        <v>46169</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46527-2023</t>
        </is>
      </c>
      <c r="B145" s="1" t="n">
        <v>45197</v>
      </c>
      <c r="C145" s="1" t="n">
        <v>46169</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6739-2025</t>
        </is>
      </c>
      <c r="B146" s="1" t="n">
        <v>45700</v>
      </c>
      <c r="C146" s="1" t="n">
        <v>46169</v>
      </c>
      <c r="D146" t="inlineStr">
        <is>
          <t>GOTLANDS LÄN</t>
        </is>
      </c>
      <c r="E146" t="inlineStr">
        <is>
          <t>GOTLAND</t>
        </is>
      </c>
      <c r="G146" t="n">
        <v>4.5</v>
      </c>
      <c r="H146" t="n">
        <v>1</v>
      </c>
      <c r="I146" t="n">
        <v>0</v>
      </c>
      <c r="J146" t="n">
        <v>0</v>
      </c>
      <c r="K146" t="n">
        <v>0</v>
      </c>
      <c r="L146" t="n">
        <v>0</v>
      </c>
      <c r="M146" t="n">
        <v>0</v>
      </c>
      <c r="N146" t="n">
        <v>0</v>
      </c>
      <c r="O146" t="n">
        <v>0</v>
      </c>
      <c r="P146" t="n">
        <v>0</v>
      </c>
      <c r="Q146" t="n">
        <v>1</v>
      </c>
      <c r="R146" s="2" t="inlineStr">
        <is>
          <t>Röd glada</t>
        </is>
      </c>
      <c r="S146">
        <f>HYPERLINK("https://klasma.github.io/Logging_0980/artfynd/A 6739-2025 artfynd.xlsx", "A 6739-2025")</f>
        <v/>
      </c>
      <c r="T146">
        <f>HYPERLINK("https://klasma.github.io/Logging_0980/kartor/A 6739-2025 karta.png", "A 6739-2025")</f>
        <v/>
      </c>
      <c r="V146">
        <f>HYPERLINK("https://klasma.github.io/Logging_0980/klagomål/A 6739-2025 FSC-klagomål.docx", "A 6739-2025")</f>
        <v/>
      </c>
      <c r="W146">
        <f>HYPERLINK("https://klasma.github.io/Logging_0980/klagomålsmail/A 6739-2025 FSC-klagomål mail.docx", "A 6739-2025")</f>
        <v/>
      </c>
      <c r="X146">
        <f>HYPERLINK("https://klasma.github.io/Logging_0980/tillsyn/A 6739-2025 tillsynsbegäran.docx", "A 6739-2025")</f>
        <v/>
      </c>
      <c r="Y146">
        <f>HYPERLINK("https://klasma.github.io/Logging_0980/tillsynsmail/A 6739-2025 tillsynsbegäran mail.docx", "A 6739-2025")</f>
        <v/>
      </c>
      <c r="Z146">
        <f>HYPERLINK("https://klasma.github.io/Logging_0980/fåglar/A 6739-2025 prioriterade fågelarter.docx", "A 6739-2025")</f>
        <v/>
      </c>
    </row>
    <row r="147" ht="15" customHeight="1">
      <c r="A147" t="inlineStr">
        <is>
          <t>A 35467-2021</t>
        </is>
      </c>
      <c r="B147" s="1" t="n">
        <v>44385</v>
      </c>
      <c r="C147" s="1" t="n">
        <v>46169</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44619-2025</t>
        </is>
      </c>
      <c r="B148" s="1" t="n">
        <v>45917</v>
      </c>
      <c r="C148" s="1" t="n">
        <v>46169</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6303-2024</t>
        </is>
      </c>
      <c r="B149" s="1" t="n">
        <v>45338.35376157407</v>
      </c>
      <c r="C149" s="1" t="n">
        <v>46169</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46169</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46169</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46169</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46169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46169</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49726-2025</t>
        </is>
      </c>
      <c r="B155" s="1" t="n">
        <v>45939.84466435185</v>
      </c>
      <c r="C155" s="1" t="n">
        <v>46169</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65927-2021</t>
        </is>
      </c>
      <c r="B156" s="1" t="n">
        <v>44516</v>
      </c>
      <c r="C156" s="1" t="n">
        <v>46169</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46169</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12924-2025</t>
        </is>
      </c>
      <c r="B158" s="1" t="n">
        <v>45734</v>
      </c>
      <c r="C158" s="1" t="n">
        <v>46169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61561-2023</t>
        </is>
      </c>
      <c r="B159" s="1" t="n">
        <v>45265</v>
      </c>
      <c r="C159" s="1" t="n">
        <v>46169</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12324-2025</t>
        </is>
      </c>
      <c r="B160" s="1" t="n">
        <v>45730</v>
      </c>
      <c r="C160" s="1" t="n">
        <v>46169</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46169</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46169</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46169</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46169</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10013-2026</t>
        </is>
      </c>
      <c r="B168" s="1" t="n">
        <v>46073</v>
      </c>
      <c r="C168" s="1" t="n">
        <v>46169</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11708-2026</t>
        </is>
      </c>
      <c r="B169" s="1" t="n">
        <v>46084</v>
      </c>
      <c r="C169" s="1" t="n">
        <v>46169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1477-2024</t>
        </is>
      </c>
      <c r="B170" s="1" t="n">
        <v>45305.37987268518</v>
      </c>
      <c r="C170" s="1" t="n">
        <v>46169</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13482-2026</t>
        </is>
      </c>
      <c r="B171" s="1" t="n">
        <v>46094</v>
      </c>
      <c r="C171" s="1" t="n">
        <v>46169</v>
      </c>
      <c r="D171" t="inlineStr">
        <is>
          <t>GOTLANDS LÄN</t>
        </is>
      </c>
      <c r="E171" t="inlineStr">
        <is>
          <t>GOTLAND</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HYPERLINK("https://klasma.github.io/Logging_0980/artfynd/A 13482-2026 artfynd.xlsx", "A 13482-2026")</f>
        <v/>
      </c>
      <c r="T171">
        <f>HYPERLINK("https://klasma.github.io/Logging_0980/kartor/A 13482-2026 karta.png", "A 13482-2026")</f>
        <v/>
      </c>
      <c r="V171">
        <f>HYPERLINK("https://klasma.github.io/Logging_0980/klagomål/A 13482-2026 FSC-klagomål.docx", "A 13482-2026")</f>
        <v/>
      </c>
      <c r="W171">
        <f>HYPERLINK("https://klasma.github.io/Logging_0980/klagomålsmail/A 13482-2026 FSC-klagomål mail.docx", "A 13482-2026")</f>
        <v/>
      </c>
      <c r="X171">
        <f>HYPERLINK("https://klasma.github.io/Logging_0980/tillsyn/A 13482-2026 tillsynsbegäran.docx", "A 13482-2026")</f>
        <v/>
      </c>
      <c r="Y171">
        <f>HYPERLINK("https://klasma.github.io/Logging_0980/tillsynsmail/A 13482-2026 tillsynsbegäran mail.docx", "A 13482-2026")</f>
        <v/>
      </c>
      <c r="Z171">
        <f>HYPERLINK("https://klasma.github.io/Logging_0980/fåglar/A 13482-2026 prioriterade fågelarter.docx", "A 13482-2026")</f>
        <v/>
      </c>
    </row>
    <row r="172" ht="15" customHeight="1">
      <c r="A172" t="inlineStr">
        <is>
          <t>A 7637-2025</t>
        </is>
      </c>
      <c r="B172" s="1" t="n">
        <v>45705.77181712963</v>
      </c>
      <c r="C172" s="1" t="n">
        <v>46169</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46169</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46169</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46169</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46169</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46169</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46169</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46169</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63149-2025</t>
        </is>
      </c>
      <c r="B180" s="1" t="n">
        <v>46010</v>
      </c>
      <c r="C180" s="1" t="n">
        <v>46169</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Anisspindling</t>
        </is>
      </c>
      <c r="S180">
        <f>HYPERLINK("https://klasma.github.io/Logging_0980/artfynd/A 63149-2025 artfynd.xlsx", "A 63149-2025")</f>
        <v/>
      </c>
      <c r="T180">
        <f>HYPERLINK("https://klasma.github.io/Logging_0980/kartor/A 63149-2025 karta.png", "A 63149-2025")</f>
        <v/>
      </c>
      <c r="V180">
        <f>HYPERLINK("https://klasma.github.io/Logging_0980/klagomål/A 63149-2025 FSC-klagomål.docx", "A 63149-2025")</f>
        <v/>
      </c>
      <c r="W180">
        <f>HYPERLINK("https://klasma.github.io/Logging_0980/klagomålsmail/A 63149-2025 FSC-klagomål mail.docx", "A 63149-2025")</f>
        <v/>
      </c>
      <c r="X180">
        <f>HYPERLINK("https://klasma.github.io/Logging_0980/tillsyn/A 63149-2025 tillsynsbegäran.docx", "A 63149-2025")</f>
        <v/>
      </c>
      <c r="Y180">
        <f>HYPERLINK("https://klasma.github.io/Logging_0980/tillsynsmail/A 63149-2025 tillsynsbegäran mail.docx", "A 63149-2025")</f>
        <v/>
      </c>
    </row>
    <row r="181" ht="15" customHeight="1">
      <c r="A181" t="inlineStr">
        <is>
          <t>A 22281-2026</t>
        </is>
      </c>
      <c r="B181" s="1" t="n">
        <v>46154</v>
      </c>
      <c r="C181" s="1" t="n">
        <v>46169</v>
      </c>
      <c r="D181" t="inlineStr">
        <is>
          <t>GOTLANDS LÄN</t>
        </is>
      </c>
      <c r="E181" t="inlineStr">
        <is>
          <t>GOTLAND</t>
        </is>
      </c>
      <c r="G181" t="n">
        <v>8.1</v>
      </c>
      <c r="H181" t="n">
        <v>0</v>
      </c>
      <c r="I181" t="n">
        <v>0</v>
      </c>
      <c r="J181" t="n">
        <v>1</v>
      </c>
      <c r="K181" t="n">
        <v>0</v>
      </c>
      <c r="L181" t="n">
        <v>0</v>
      </c>
      <c r="M181" t="n">
        <v>0</v>
      </c>
      <c r="N181" t="n">
        <v>0</v>
      </c>
      <c r="O181" t="n">
        <v>1</v>
      </c>
      <c r="P181" t="n">
        <v>0</v>
      </c>
      <c r="Q181" t="n">
        <v>1</v>
      </c>
      <c r="R181" s="2" t="inlineStr">
        <is>
          <t>Vasstandad trädbasbagge</t>
        </is>
      </c>
      <c r="S181">
        <f>HYPERLINK("https://klasma.github.io/Logging_0980/artfynd/A 22281-2026 artfynd.xlsx", "A 22281-2026")</f>
        <v/>
      </c>
      <c r="T181">
        <f>HYPERLINK("https://klasma.github.io/Logging_0980/kartor/A 22281-2026 karta.png", "A 22281-2026")</f>
        <v/>
      </c>
      <c r="V181">
        <f>HYPERLINK("https://klasma.github.io/Logging_0980/klagomål/A 22281-2026 FSC-klagomål.docx", "A 22281-2026")</f>
        <v/>
      </c>
      <c r="W181">
        <f>HYPERLINK("https://klasma.github.io/Logging_0980/klagomålsmail/A 22281-2026 FSC-klagomål mail.docx", "A 22281-2026")</f>
        <v/>
      </c>
      <c r="X181">
        <f>HYPERLINK("https://klasma.github.io/Logging_0980/tillsyn/A 22281-2026 tillsynsbegäran.docx", "A 22281-2026")</f>
        <v/>
      </c>
      <c r="Y181">
        <f>HYPERLINK("https://klasma.github.io/Logging_0980/tillsynsmail/A 22281-2026 tillsynsbegäran mail.docx", "A 22281-2026")</f>
        <v/>
      </c>
    </row>
    <row r="182" ht="15" customHeight="1">
      <c r="A182" t="inlineStr">
        <is>
          <t>A 17854-2026</t>
        </is>
      </c>
      <c r="B182" s="1" t="n">
        <v>46121</v>
      </c>
      <c r="C182" s="1" t="n">
        <v>46169</v>
      </c>
      <c r="D182" t="inlineStr">
        <is>
          <t>GOTLANDS LÄN</t>
        </is>
      </c>
      <c r="E182" t="inlineStr">
        <is>
          <t>GOTLAND</t>
        </is>
      </c>
      <c r="G182" t="n">
        <v>6.6</v>
      </c>
      <c r="H182" t="n">
        <v>0</v>
      </c>
      <c r="I182" t="n">
        <v>1</v>
      </c>
      <c r="J182" t="n">
        <v>0</v>
      </c>
      <c r="K182" t="n">
        <v>0</v>
      </c>
      <c r="L182" t="n">
        <v>0</v>
      </c>
      <c r="M182" t="n">
        <v>0</v>
      </c>
      <c r="N182" t="n">
        <v>0</v>
      </c>
      <c r="O182" t="n">
        <v>0</v>
      </c>
      <c r="P182" t="n">
        <v>0</v>
      </c>
      <c r="Q182" t="n">
        <v>1</v>
      </c>
      <c r="R182" s="2" t="inlineStr">
        <is>
          <t>Blå slemspindling</t>
        </is>
      </c>
      <c r="S182">
        <f>HYPERLINK("https://klasma.github.io/Logging_0980/artfynd/A 17854-2026 artfynd.xlsx", "A 17854-2026")</f>
        <v/>
      </c>
      <c r="T182">
        <f>HYPERLINK("https://klasma.github.io/Logging_0980/kartor/A 17854-2026 karta.png", "A 17854-2026")</f>
        <v/>
      </c>
      <c r="V182">
        <f>HYPERLINK("https://klasma.github.io/Logging_0980/klagomål/A 17854-2026 FSC-klagomål.docx", "A 17854-2026")</f>
        <v/>
      </c>
      <c r="W182">
        <f>HYPERLINK("https://klasma.github.io/Logging_0980/klagomålsmail/A 17854-2026 FSC-klagomål mail.docx", "A 17854-2026")</f>
        <v/>
      </c>
      <c r="X182">
        <f>HYPERLINK("https://klasma.github.io/Logging_0980/tillsyn/A 17854-2026 tillsynsbegäran.docx", "A 17854-2026")</f>
        <v/>
      </c>
      <c r="Y182">
        <f>HYPERLINK("https://klasma.github.io/Logging_0980/tillsynsmail/A 17854-2026 tillsynsbegäran mail.docx", "A 17854-2026")</f>
        <v/>
      </c>
    </row>
    <row r="183" ht="15" customHeight="1">
      <c r="A183" t="inlineStr">
        <is>
          <t>A 18036-2026</t>
        </is>
      </c>
      <c r="B183" s="1" t="n">
        <v>46125.39576388889</v>
      </c>
      <c r="C183" s="1" t="n">
        <v>46169</v>
      </c>
      <c r="D183" t="inlineStr">
        <is>
          <t>GOTLANDS LÄN</t>
        </is>
      </c>
      <c r="E183" t="inlineStr">
        <is>
          <t>GOTLAND</t>
        </is>
      </c>
      <c r="G183" t="n">
        <v>1.8</v>
      </c>
      <c r="H183" t="n">
        <v>0</v>
      </c>
      <c r="I183" t="n">
        <v>0</v>
      </c>
      <c r="J183" t="n">
        <v>1</v>
      </c>
      <c r="K183" t="n">
        <v>0</v>
      </c>
      <c r="L183" t="n">
        <v>0</v>
      </c>
      <c r="M183" t="n">
        <v>0</v>
      </c>
      <c r="N183" t="n">
        <v>0</v>
      </c>
      <c r="O183" t="n">
        <v>1</v>
      </c>
      <c r="P183" t="n">
        <v>0</v>
      </c>
      <c r="Q183" t="n">
        <v>1</v>
      </c>
      <c r="R183" s="2" t="inlineStr">
        <is>
          <t>Sommarfibbla</t>
        </is>
      </c>
      <c r="S183">
        <f>HYPERLINK("https://klasma.github.io/Logging_0980/artfynd/A 18036-2026 artfynd.xlsx", "A 18036-2026")</f>
        <v/>
      </c>
      <c r="T183">
        <f>HYPERLINK("https://klasma.github.io/Logging_0980/kartor/A 18036-2026 karta.png", "A 18036-2026")</f>
        <v/>
      </c>
      <c r="V183">
        <f>HYPERLINK("https://klasma.github.io/Logging_0980/klagomål/A 18036-2026 FSC-klagomål.docx", "A 18036-2026")</f>
        <v/>
      </c>
      <c r="W183">
        <f>HYPERLINK("https://klasma.github.io/Logging_0980/klagomålsmail/A 18036-2026 FSC-klagomål mail.docx", "A 18036-2026")</f>
        <v/>
      </c>
      <c r="X183">
        <f>HYPERLINK("https://klasma.github.io/Logging_0980/tillsyn/A 18036-2026 tillsynsbegäran.docx", "A 18036-2026")</f>
        <v/>
      </c>
      <c r="Y183">
        <f>HYPERLINK("https://klasma.github.io/Logging_0980/tillsynsmail/A 18036-2026 tillsynsbegäran mail.docx", "A 18036-2026")</f>
        <v/>
      </c>
    </row>
    <row r="184" ht="15" customHeight="1">
      <c r="A184" t="inlineStr">
        <is>
          <t>A 49847-2023</t>
        </is>
      </c>
      <c r="B184" s="1" t="n">
        <v>45212</v>
      </c>
      <c r="C184" s="1" t="n">
        <v>46169</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46169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46169</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46169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46169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46169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46169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46169</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46169</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46169</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46169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46169</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46169</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46169</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46169</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46169</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46169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46169</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46169</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46169</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46169</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46169</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46169</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46169</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46169</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46169</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46169</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46169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46169</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46169</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46169</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46169</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46169</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46169</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46169</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17901-2023</t>
        </is>
      </c>
      <c r="B219" s="1" t="n">
        <v>45039</v>
      </c>
      <c r="C219" s="1" t="n">
        <v>46169</v>
      </c>
      <c r="D219" t="inlineStr">
        <is>
          <t>GOTLANDS LÄN</t>
        </is>
      </c>
      <c r="E219" t="inlineStr">
        <is>
          <t>GOTLAND</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456-2023</t>
        </is>
      </c>
      <c r="B220" s="1" t="n">
        <v>44929.87122685185</v>
      </c>
      <c r="C220" s="1" t="n">
        <v>46169</v>
      </c>
      <c r="D220" t="inlineStr">
        <is>
          <t>GOTLANDS LÄN</t>
        </is>
      </c>
      <c r="E220" t="inlineStr">
        <is>
          <t>GOTLAND</t>
        </is>
      </c>
      <c r="G220" t="n">
        <v>3.2</v>
      </c>
      <c r="H220" t="n">
        <v>0</v>
      </c>
      <c r="I220" t="n">
        <v>0</v>
      </c>
      <c r="J220" t="n">
        <v>0</v>
      </c>
      <c r="K220" t="n">
        <v>0</v>
      </c>
      <c r="L220" t="n">
        <v>0</v>
      </c>
      <c r="M220" t="n">
        <v>0</v>
      </c>
      <c r="N220" t="n">
        <v>0</v>
      </c>
      <c r="O220" t="n">
        <v>0</v>
      </c>
      <c r="P220" t="n">
        <v>0</v>
      </c>
      <c r="Q220" t="n">
        <v>0</v>
      </c>
      <c r="R220" s="2" t="inlineStr"/>
    </row>
    <row r="221" ht="15" customHeight="1">
      <c r="A221" t="inlineStr">
        <is>
          <t>A 58476-2022</t>
        </is>
      </c>
      <c r="B221" s="1" t="n">
        <v>44902</v>
      </c>
      <c r="C221" s="1" t="n">
        <v>46169</v>
      </c>
      <c r="D221" t="inlineStr">
        <is>
          <t>GOTLANDS LÄN</t>
        </is>
      </c>
      <c r="E221" t="inlineStr">
        <is>
          <t>GOTLAND</t>
        </is>
      </c>
      <c r="G221" t="n">
        <v>0.9</v>
      </c>
      <c r="H221" t="n">
        <v>0</v>
      </c>
      <c r="I221" t="n">
        <v>0</v>
      </c>
      <c r="J221" t="n">
        <v>0</v>
      </c>
      <c r="K221" t="n">
        <v>0</v>
      </c>
      <c r="L221" t="n">
        <v>0</v>
      </c>
      <c r="M221" t="n">
        <v>0</v>
      </c>
      <c r="N221" t="n">
        <v>0</v>
      </c>
      <c r="O221" t="n">
        <v>0</v>
      </c>
      <c r="P221" t="n">
        <v>0</v>
      </c>
      <c r="Q221" t="n">
        <v>0</v>
      </c>
      <c r="R221" s="2" t="inlineStr"/>
    </row>
    <row r="222" ht="15" customHeight="1">
      <c r="A222" t="inlineStr">
        <is>
          <t>A 61596-2023</t>
        </is>
      </c>
      <c r="B222" s="1" t="n">
        <v>45265</v>
      </c>
      <c r="C222" s="1" t="n">
        <v>46169</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63229-2021</t>
        </is>
      </c>
      <c r="B223" s="1" t="n">
        <v>44508.34518518519</v>
      </c>
      <c r="C223" s="1" t="n">
        <v>46169</v>
      </c>
      <c r="D223" t="inlineStr">
        <is>
          <t>GOTLANDS LÄN</t>
        </is>
      </c>
      <c r="E223" t="inlineStr">
        <is>
          <t>GOTLAND</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46169</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44228-2022</t>
        </is>
      </c>
      <c r="B225" s="1" t="n">
        <v>44839.51599537037</v>
      </c>
      <c r="C225" s="1" t="n">
        <v>46169</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27593-2023</t>
        </is>
      </c>
      <c r="B226" s="1" t="n">
        <v>45097</v>
      </c>
      <c r="C226" s="1" t="n">
        <v>46169</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46169</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25129-2023</t>
        </is>
      </c>
      <c r="B228" s="1" t="n">
        <v>45086.44261574074</v>
      </c>
      <c r="C228" s="1" t="n">
        <v>46169</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56009-2024</t>
        </is>
      </c>
      <c r="B229" s="1" t="n">
        <v>45623.80864583333</v>
      </c>
      <c r="C229" s="1" t="n">
        <v>46169</v>
      </c>
      <c r="D229" t="inlineStr">
        <is>
          <t>GOTLANDS LÄN</t>
        </is>
      </c>
      <c r="E229" t="inlineStr">
        <is>
          <t>GOTLAND</t>
        </is>
      </c>
      <c r="G229" t="n">
        <v>2.8</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46169</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46169</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46169</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3964-2024</t>
        </is>
      </c>
      <c r="B233" s="1" t="n">
        <v>45322</v>
      </c>
      <c r="C233" s="1" t="n">
        <v>46169</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10656-2024</t>
        </is>
      </c>
      <c r="B234" s="1" t="n">
        <v>45368</v>
      </c>
      <c r="C234" s="1" t="n">
        <v>46169</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57356-2023</t>
        </is>
      </c>
      <c r="B235" s="1" t="n">
        <v>45240</v>
      </c>
      <c r="C235" s="1" t="n">
        <v>46169</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28506-2023</t>
        </is>
      </c>
      <c r="B236" s="1" t="n">
        <v>45103</v>
      </c>
      <c r="C236" s="1" t="n">
        <v>46169</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45106-2024</t>
        </is>
      </c>
      <c r="B237" s="1" t="n">
        <v>45575</v>
      </c>
      <c r="C237" s="1" t="n">
        <v>46169</v>
      </c>
      <c r="D237" t="inlineStr">
        <is>
          <t>GOTLANDS LÄN</t>
        </is>
      </c>
      <c r="E237" t="inlineStr">
        <is>
          <t>GOTLAND</t>
        </is>
      </c>
      <c r="G237" t="n">
        <v>10</v>
      </c>
      <c r="H237" t="n">
        <v>0</v>
      </c>
      <c r="I237" t="n">
        <v>0</v>
      </c>
      <c r="J237" t="n">
        <v>0</v>
      </c>
      <c r="K237" t="n">
        <v>0</v>
      </c>
      <c r="L237" t="n">
        <v>0</v>
      </c>
      <c r="M237" t="n">
        <v>0</v>
      </c>
      <c r="N237" t="n">
        <v>0</v>
      </c>
      <c r="O237" t="n">
        <v>0</v>
      </c>
      <c r="P237" t="n">
        <v>0</v>
      </c>
      <c r="Q237" t="n">
        <v>0</v>
      </c>
      <c r="R237" s="2" t="inlineStr"/>
    </row>
    <row r="238" ht="15" customHeight="1">
      <c r="A238" t="inlineStr">
        <is>
          <t>A 45112-2024</t>
        </is>
      </c>
      <c r="B238" s="1" t="n">
        <v>45575</v>
      </c>
      <c r="C238" s="1" t="n">
        <v>46169</v>
      </c>
      <c r="D238" t="inlineStr">
        <is>
          <t>GOTLANDS LÄN</t>
        </is>
      </c>
      <c r="E238" t="inlineStr">
        <is>
          <t>GOTLAND</t>
        </is>
      </c>
      <c r="G238" t="n">
        <v>5.1</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46169</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51262-2025</t>
        </is>
      </c>
      <c r="B240" s="1" t="n">
        <v>45949.49872685185</v>
      </c>
      <c r="C240" s="1" t="n">
        <v>46169</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23188-2025</t>
        </is>
      </c>
      <c r="B241" s="1" t="n">
        <v>45791</v>
      </c>
      <c r="C241" s="1" t="n">
        <v>46169</v>
      </c>
      <c r="D241" t="inlineStr">
        <is>
          <t>GOTLANDS LÄN</t>
        </is>
      </c>
      <c r="E241" t="inlineStr">
        <is>
          <t>GOTLAND</t>
        </is>
      </c>
      <c r="G241" t="n">
        <v>6.2</v>
      </c>
      <c r="H241" t="n">
        <v>0</v>
      </c>
      <c r="I241" t="n">
        <v>0</v>
      </c>
      <c r="J241" t="n">
        <v>0</v>
      </c>
      <c r="K241" t="n">
        <v>0</v>
      </c>
      <c r="L241" t="n">
        <v>0</v>
      </c>
      <c r="M241" t="n">
        <v>0</v>
      </c>
      <c r="N241" t="n">
        <v>0</v>
      </c>
      <c r="O241" t="n">
        <v>0</v>
      </c>
      <c r="P241" t="n">
        <v>0</v>
      </c>
      <c r="Q241" t="n">
        <v>0</v>
      </c>
      <c r="R241" s="2" t="inlineStr"/>
    </row>
    <row r="242" ht="15" customHeight="1">
      <c r="A242" t="inlineStr">
        <is>
          <t>A 35142-2025</t>
        </is>
      </c>
      <c r="B242" s="1" t="n">
        <v>45852.65532407408</v>
      </c>
      <c r="C242" s="1" t="n">
        <v>46169</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7026-2023</t>
        </is>
      </c>
      <c r="B243" s="1" t="n">
        <v>44968.30340277778</v>
      </c>
      <c r="C243" s="1" t="n">
        <v>46169</v>
      </c>
      <c r="D243" t="inlineStr">
        <is>
          <t>GOTLANDS LÄN</t>
        </is>
      </c>
      <c r="E243" t="inlineStr">
        <is>
          <t>GOTLAND</t>
        </is>
      </c>
      <c r="G243" t="n">
        <v>2.9</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46169</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46169</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45852.65206018519</v>
      </c>
      <c r="C246" s="1" t="n">
        <v>46169</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49874-2024</t>
        </is>
      </c>
      <c r="B247" s="1" t="n">
        <v>45597.49274305555</v>
      </c>
      <c r="C247" s="1" t="n">
        <v>46169</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23856-2025</t>
        </is>
      </c>
      <c r="B248" s="1" t="n">
        <v>45793</v>
      </c>
      <c r="C248" s="1" t="n">
        <v>46169</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23473-2025</t>
        </is>
      </c>
      <c r="B249" s="1" t="n">
        <v>45792</v>
      </c>
      <c r="C249" s="1" t="n">
        <v>46169</v>
      </c>
      <c r="D249" t="inlineStr">
        <is>
          <t>GOTLANDS LÄN</t>
        </is>
      </c>
      <c r="E249" t="inlineStr">
        <is>
          <t>GOTLAND</t>
        </is>
      </c>
      <c r="G249" t="n">
        <v>3.6</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46169</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46169</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39849-2025</t>
        </is>
      </c>
      <c r="B252" s="1" t="n">
        <v>45891.58502314815</v>
      </c>
      <c r="C252" s="1" t="n">
        <v>46169</v>
      </c>
      <c r="D252" t="inlineStr">
        <is>
          <t>GOTLANDS LÄN</t>
        </is>
      </c>
      <c r="E252" t="inlineStr">
        <is>
          <t>GOTLAND</t>
        </is>
      </c>
      <c r="G252" t="n">
        <v>6.1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46169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6749-2025</t>
        </is>
      </c>
      <c r="B254" s="1" t="n">
        <v>45700</v>
      </c>
      <c r="C254" s="1" t="n">
        <v>46169</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46169</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46169</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46169</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5217-2023</t>
        </is>
      </c>
      <c r="B258" s="1" t="n">
        <v>44959.39582175926</v>
      </c>
      <c r="C258" s="1" t="n">
        <v>46169</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14638-2025</t>
        </is>
      </c>
      <c r="B259" s="1" t="n">
        <v>45742</v>
      </c>
      <c r="C259" s="1" t="n">
        <v>46169</v>
      </c>
      <c r="D259" t="inlineStr">
        <is>
          <t>GOTLANDS LÄN</t>
        </is>
      </c>
      <c r="E259" t="inlineStr">
        <is>
          <t>GOTLAND</t>
        </is>
      </c>
      <c r="G259" t="n">
        <v>13.4</v>
      </c>
      <c r="H259" t="n">
        <v>0</v>
      </c>
      <c r="I259" t="n">
        <v>0</v>
      </c>
      <c r="J259" t="n">
        <v>0</v>
      </c>
      <c r="K259" t="n">
        <v>0</v>
      </c>
      <c r="L259" t="n">
        <v>0</v>
      </c>
      <c r="M259" t="n">
        <v>0</v>
      </c>
      <c r="N259" t="n">
        <v>0</v>
      </c>
      <c r="O259" t="n">
        <v>0</v>
      </c>
      <c r="P259" t="n">
        <v>0</v>
      </c>
      <c r="Q259" t="n">
        <v>0</v>
      </c>
      <c r="R259" s="2" t="inlineStr"/>
    </row>
    <row r="260" ht="15" customHeight="1">
      <c r="A260" t="inlineStr">
        <is>
          <t>A 39752-2025</t>
        </is>
      </c>
      <c r="B260" s="1" t="n">
        <v>45891</v>
      </c>
      <c r="C260" s="1" t="n">
        <v>46169</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39816-2025</t>
        </is>
      </c>
      <c r="B261" s="1" t="n">
        <v>45891</v>
      </c>
      <c r="C261" s="1" t="n">
        <v>46169</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40372-2025</t>
        </is>
      </c>
      <c r="B262" s="1" t="n">
        <v>45895.5162037037</v>
      </c>
      <c r="C262" s="1" t="n">
        <v>46169</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46169</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46169</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4421-2024</t>
        </is>
      </c>
      <c r="B265" s="1" t="n">
        <v>45327.45173611111</v>
      </c>
      <c r="C265" s="1" t="n">
        <v>46169</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46169</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40103-2025</t>
        </is>
      </c>
      <c r="B267" s="1" t="n">
        <v>45894.4880324074</v>
      </c>
      <c r="C267" s="1" t="n">
        <v>46169</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46169</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40499-2025</t>
        </is>
      </c>
      <c r="B269" s="1" t="n">
        <v>45896.32517361111</v>
      </c>
      <c r="C269" s="1" t="n">
        <v>46169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46169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43223-2023</t>
        </is>
      </c>
      <c r="B271" s="1" t="n">
        <v>45183.45642361111</v>
      </c>
      <c r="C271" s="1" t="n">
        <v>46169</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41551-2025</t>
        </is>
      </c>
      <c r="B272" s="1" t="n">
        <v>45901.58854166666</v>
      </c>
      <c r="C272" s="1" t="n">
        <v>46169</v>
      </c>
      <c r="D272" t="inlineStr">
        <is>
          <t>GOTLANDS LÄN</t>
        </is>
      </c>
      <c r="E272" t="inlineStr">
        <is>
          <t>GOTLAND</t>
        </is>
      </c>
      <c r="G272" t="n">
        <v>5.6</v>
      </c>
      <c r="H272" t="n">
        <v>0</v>
      </c>
      <c r="I272" t="n">
        <v>0</v>
      </c>
      <c r="J272" t="n">
        <v>0</v>
      </c>
      <c r="K272" t="n">
        <v>0</v>
      </c>
      <c r="L272" t="n">
        <v>0</v>
      </c>
      <c r="M272" t="n">
        <v>0</v>
      </c>
      <c r="N272" t="n">
        <v>0</v>
      </c>
      <c r="O272" t="n">
        <v>0</v>
      </c>
      <c r="P272" t="n">
        <v>0</v>
      </c>
      <c r="Q272" t="n">
        <v>0</v>
      </c>
      <c r="R272" s="2" t="inlineStr"/>
    </row>
    <row r="273" ht="15" customHeight="1">
      <c r="A273" t="inlineStr">
        <is>
          <t>A 61962-2024</t>
        </is>
      </c>
      <c r="B273" s="1" t="n">
        <v>45653.54340277778</v>
      </c>
      <c r="C273" s="1" t="n">
        <v>46169</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25796-2025</t>
        </is>
      </c>
      <c r="B274" s="1" t="n">
        <v>45804.39543981481</v>
      </c>
      <c r="C274" s="1" t="n">
        <v>46169</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46169</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46169</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46169</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41435-2025</t>
        </is>
      </c>
      <c r="B278" s="1" t="n">
        <v>45901.39974537037</v>
      </c>
      <c r="C278" s="1" t="n">
        <v>46169</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52249-2025</t>
        </is>
      </c>
      <c r="B279" s="1" t="n">
        <v>45953.48637731482</v>
      </c>
      <c r="C279" s="1" t="n">
        <v>46169</v>
      </c>
      <c r="D279" t="inlineStr">
        <is>
          <t>GOTLANDS LÄN</t>
        </is>
      </c>
      <c r="E279" t="inlineStr">
        <is>
          <t>GOTLAND</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26465-2025</t>
        </is>
      </c>
      <c r="B280" s="1" t="n">
        <v>45807.44377314814</v>
      </c>
      <c r="C280" s="1" t="n">
        <v>46169</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46169</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46169</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46169</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46169</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46169</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46169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46169</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46169</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46169</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52637-2025</t>
        </is>
      </c>
      <c r="B290" s="1" t="n">
        <v>45954.75099537037</v>
      </c>
      <c r="C290" s="1" t="n">
        <v>46169</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38165-2023</t>
        </is>
      </c>
      <c r="B291" s="1" t="n">
        <v>45161</v>
      </c>
      <c r="C291" s="1" t="n">
        <v>46169</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46169</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46169</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27371-2025</t>
        </is>
      </c>
      <c r="B294" s="1" t="n">
        <v>45812</v>
      </c>
      <c r="C294" s="1" t="n">
        <v>46169</v>
      </c>
      <c r="D294" t="inlineStr">
        <is>
          <t>GOTLANDS LÄN</t>
        </is>
      </c>
      <c r="E294" t="inlineStr">
        <is>
          <t>GOTLAND</t>
        </is>
      </c>
      <c r="G294" t="n">
        <v>8</v>
      </c>
      <c r="H294" t="n">
        <v>0</v>
      </c>
      <c r="I294" t="n">
        <v>0</v>
      </c>
      <c r="J294" t="n">
        <v>0</v>
      </c>
      <c r="K294" t="n">
        <v>0</v>
      </c>
      <c r="L294" t="n">
        <v>0</v>
      </c>
      <c r="M294" t="n">
        <v>0</v>
      </c>
      <c r="N294" t="n">
        <v>0</v>
      </c>
      <c r="O294" t="n">
        <v>0</v>
      </c>
      <c r="P294" t="n">
        <v>0</v>
      </c>
      <c r="Q294" t="n">
        <v>0</v>
      </c>
      <c r="R294" s="2" t="inlineStr"/>
    </row>
    <row r="295" ht="15" customHeight="1">
      <c r="A295" t="inlineStr">
        <is>
          <t>A 53577-2025</t>
        </is>
      </c>
      <c r="B295" s="1" t="n">
        <v>45960.42224537037</v>
      </c>
      <c r="C295" s="1" t="n">
        <v>46169</v>
      </c>
      <c r="D295" t="inlineStr">
        <is>
          <t>GOTLANDS LÄN</t>
        </is>
      </c>
      <c r="E295" t="inlineStr">
        <is>
          <t>GOTLAND</t>
        </is>
      </c>
      <c r="F295" t="inlineStr">
        <is>
          <t>Övriga Aktiebolag</t>
        </is>
      </c>
      <c r="G295" t="n">
        <v>3.3</v>
      </c>
      <c r="H295" t="n">
        <v>0</v>
      </c>
      <c r="I295" t="n">
        <v>0</v>
      </c>
      <c r="J295" t="n">
        <v>0</v>
      </c>
      <c r="K295" t="n">
        <v>0</v>
      </c>
      <c r="L295" t="n">
        <v>0</v>
      </c>
      <c r="M295" t="n">
        <v>0</v>
      </c>
      <c r="N295" t="n">
        <v>0</v>
      </c>
      <c r="O295" t="n">
        <v>0</v>
      </c>
      <c r="P295" t="n">
        <v>0</v>
      </c>
      <c r="Q295" t="n">
        <v>0</v>
      </c>
      <c r="R295" s="2" t="inlineStr"/>
    </row>
    <row r="296" ht="15" customHeight="1">
      <c r="A296" t="inlineStr">
        <is>
          <t>A 53569-2025</t>
        </is>
      </c>
      <c r="B296" s="1" t="n">
        <v>45960.41155092593</v>
      </c>
      <c r="C296" s="1" t="n">
        <v>46169</v>
      </c>
      <c r="D296" t="inlineStr">
        <is>
          <t>GOTLANDS LÄN</t>
        </is>
      </c>
      <c r="E296" t="inlineStr">
        <is>
          <t>GOTLAND</t>
        </is>
      </c>
      <c r="F296" t="inlineStr">
        <is>
          <t>Övriga Aktiebolag</t>
        </is>
      </c>
      <c r="G296" t="n">
        <v>11.3</v>
      </c>
      <c r="H296" t="n">
        <v>0</v>
      </c>
      <c r="I296" t="n">
        <v>0</v>
      </c>
      <c r="J296" t="n">
        <v>0</v>
      </c>
      <c r="K296" t="n">
        <v>0</v>
      </c>
      <c r="L296" t="n">
        <v>0</v>
      </c>
      <c r="M296" t="n">
        <v>0</v>
      </c>
      <c r="N296" t="n">
        <v>0</v>
      </c>
      <c r="O296" t="n">
        <v>0</v>
      </c>
      <c r="P296" t="n">
        <v>0</v>
      </c>
      <c r="Q296" t="n">
        <v>0</v>
      </c>
      <c r="R296" s="2" t="inlineStr"/>
    </row>
    <row r="297" ht="15" customHeight="1">
      <c r="A297" t="inlineStr">
        <is>
          <t>A 7850-2025</t>
        </is>
      </c>
      <c r="B297" s="1" t="n">
        <v>45706</v>
      </c>
      <c r="C297" s="1" t="n">
        <v>46169</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46169</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46169</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46169</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46169</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46169</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46169</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19905-2025</t>
        </is>
      </c>
      <c r="B304" s="1" t="n">
        <v>45771</v>
      </c>
      <c r="C304" s="1" t="n">
        <v>46169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46169</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43951-2025</t>
        </is>
      </c>
      <c r="B306" s="1" t="n">
        <v>45915.38119212963</v>
      </c>
      <c r="C306" s="1" t="n">
        <v>46169</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44410-2025</t>
        </is>
      </c>
      <c r="B307" s="1" t="n">
        <v>45916.53699074074</v>
      </c>
      <c r="C307" s="1" t="n">
        <v>46169</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46169</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46169</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46169</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46169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46169</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46169</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46169</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46169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46169</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46169</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46169</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46169</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46169</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46169</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26391-2025</t>
        </is>
      </c>
      <c r="B322" s="1" t="n">
        <v>45806</v>
      </c>
      <c r="C322" s="1" t="n">
        <v>46169</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46836-2025</t>
        </is>
      </c>
      <c r="B323" s="1" t="n">
        <v>45928.31511574074</v>
      </c>
      <c r="C323" s="1" t="n">
        <v>46169</v>
      </c>
      <c r="D323" t="inlineStr">
        <is>
          <t>GOTLANDS LÄN</t>
        </is>
      </c>
      <c r="E323" t="inlineStr">
        <is>
          <t>GOTLAND</t>
        </is>
      </c>
      <c r="G323" t="n">
        <v>2.8</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46169</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47637-2025</t>
        </is>
      </c>
      <c r="B325" s="1" t="n">
        <v>45931.49753472222</v>
      </c>
      <c r="C325" s="1" t="n">
        <v>46169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46169</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46169</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32379-2025</t>
        </is>
      </c>
      <c r="B328" s="1" t="n">
        <v>45837</v>
      </c>
      <c r="C328" s="1" t="n">
        <v>46169</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32378-2025</t>
        </is>
      </c>
      <c r="B329" s="1" t="n">
        <v>45837</v>
      </c>
      <c r="C329" s="1" t="n">
        <v>46169</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46169</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33007-2025</t>
        </is>
      </c>
      <c r="B331" s="1" t="n">
        <v>45840</v>
      </c>
      <c r="C331" s="1" t="n">
        <v>46169</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35550-2025</t>
        </is>
      </c>
      <c r="B332" s="1" t="n">
        <v>45856.49324074074</v>
      </c>
      <c r="C332" s="1" t="n">
        <v>46169</v>
      </c>
      <c r="D332" t="inlineStr">
        <is>
          <t>GOTLANDS LÄN</t>
        </is>
      </c>
      <c r="E332" t="inlineStr">
        <is>
          <t>GOTLAND</t>
        </is>
      </c>
      <c r="G332" t="n">
        <v>3.2</v>
      </c>
      <c r="H332" t="n">
        <v>0</v>
      </c>
      <c r="I332" t="n">
        <v>0</v>
      </c>
      <c r="J332" t="n">
        <v>0</v>
      </c>
      <c r="K332" t="n">
        <v>0</v>
      </c>
      <c r="L332" t="n">
        <v>0</v>
      </c>
      <c r="M332" t="n">
        <v>0</v>
      </c>
      <c r="N332" t="n">
        <v>0</v>
      </c>
      <c r="O332" t="n">
        <v>0</v>
      </c>
      <c r="P332" t="n">
        <v>0</v>
      </c>
      <c r="Q332" t="n">
        <v>0</v>
      </c>
      <c r="R332" s="2" t="inlineStr"/>
    </row>
    <row r="333" ht="15" customHeight="1">
      <c r="A333" t="inlineStr">
        <is>
          <t>A 60709-2023</t>
        </is>
      </c>
      <c r="B333" s="1" t="n">
        <v>45260</v>
      </c>
      <c r="C333" s="1" t="n">
        <v>46169</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46169</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46169</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46169</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47578-2025</t>
        </is>
      </c>
      <c r="B337" s="1" t="n">
        <v>45931</v>
      </c>
      <c r="C337" s="1" t="n">
        <v>46169</v>
      </c>
      <c r="D337" t="inlineStr">
        <is>
          <t>GOTLANDS LÄN</t>
        </is>
      </c>
      <c r="E337" t="inlineStr">
        <is>
          <t>GOTLAND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30956-2024</t>
        </is>
      </c>
      <c r="B338" s="1" t="n">
        <v>45499.42527777778</v>
      </c>
      <c r="C338" s="1" t="n">
        <v>46169</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12596-2023</t>
        </is>
      </c>
      <c r="B339" s="1" t="n">
        <v>45000.43310185185</v>
      </c>
      <c r="C339" s="1" t="n">
        <v>46169</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46169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49690-2025</t>
        </is>
      </c>
      <c r="B341" s="1" t="n">
        <v>45939.66730324074</v>
      </c>
      <c r="C341" s="1" t="n">
        <v>46169</v>
      </c>
      <c r="D341" t="inlineStr">
        <is>
          <t>GOTLANDS LÄN</t>
        </is>
      </c>
      <c r="E341" t="inlineStr">
        <is>
          <t>GOTLAND</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46169</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46169</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46169</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46169</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46169</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65901-2021</t>
        </is>
      </c>
      <c r="B347" s="1" t="n">
        <v>44516</v>
      </c>
      <c r="C347" s="1" t="n">
        <v>46169</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49724-2025</t>
        </is>
      </c>
      <c r="B348" s="1" t="n">
        <v>45939.83730324074</v>
      </c>
      <c r="C348" s="1" t="n">
        <v>46169</v>
      </c>
      <c r="D348" t="inlineStr">
        <is>
          <t>GOTLANDS LÄN</t>
        </is>
      </c>
      <c r="E348" t="inlineStr">
        <is>
          <t>GOTLAND</t>
        </is>
      </c>
      <c r="F348" t="inlineStr">
        <is>
          <t>Kyrkan</t>
        </is>
      </c>
      <c r="G348" t="n">
        <v>3.1</v>
      </c>
      <c r="H348" t="n">
        <v>0</v>
      </c>
      <c r="I348" t="n">
        <v>0</v>
      </c>
      <c r="J348" t="n">
        <v>0</v>
      </c>
      <c r="K348" t="n">
        <v>0</v>
      </c>
      <c r="L348" t="n">
        <v>0</v>
      </c>
      <c r="M348" t="n">
        <v>0</v>
      </c>
      <c r="N348" t="n">
        <v>0</v>
      </c>
      <c r="O348" t="n">
        <v>0</v>
      </c>
      <c r="P348" t="n">
        <v>0</v>
      </c>
      <c r="Q348" t="n">
        <v>0</v>
      </c>
      <c r="R348" s="2" t="inlineStr"/>
    </row>
    <row r="349" ht="15" customHeight="1">
      <c r="A349" t="inlineStr">
        <is>
          <t>A 49730-2025</t>
        </is>
      </c>
      <c r="B349" s="1" t="n">
        <v>45939.87613425926</v>
      </c>
      <c r="C349" s="1" t="n">
        <v>46169</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46169</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46169</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46169</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50421-2025</t>
        </is>
      </c>
      <c r="B353" s="1" t="n">
        <v>45944.66049768519</v>
      </c>
      <c r="C353" s="1" t="n">
        <v>46169</v>
      </c>
      <c r="D353" t="inlineStr">
        <is>
          <t>GOTLANDS LÄN</t>
        </is>
      </c>
      <c r="E353" t="inlineStr">
        <is>
          <t>GOTLAND</t>
        </is>
      </c>
      <c r="G353" t="n">
        <v>3.9</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46169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27602-2023</t>
        </is>
      </c>
      <c r="B355" s="1" t="n">
        <v>45097</v>
      </c>
      <c r="C355" s="1" t="n">
        <v>46169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46169</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45635.84113425926</v>
      </c>
      <c r="C357" s="1" t="n">
        <v>46169</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46169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50431-2025</t>
        </is>
      </c>
      <c r="B359" s="1" t="n">
        <v>45944.68453703704</v>
      </c>
      <c r="C359" s="1" t="n">
        <v>46169</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46169</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46169</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46169</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7835-2024</t>
        </is>
      </c>
      <c r="B363" s="1" t="n">
        <v>45349.83138888889</v>
      </c>
      <c r="C363" s="1" t="n">
        <v>46169</v>
      </c>
      <c r="D363" t="inlineStr">
        <is>
          <t>GOTLANDS LÄN</t>
        </is>
      </c>
      <c r="E363" t="inlineStr">
        <is>
          <t>GOTLAND</t>
        </is>
      </c>
      <c r="G363" t="n">
        <v>3.8</v>
      </c>
      <c r="H363" t="n">
        <v>0</v>
      </c>
      <c r="I363" t="n">
        <v>0</v>
      </c>
      <c r="J363" t="n">
        <v>0</v>
      </c>
      <c r="K363" t="n">
        <v>0</v>
      </c>
      <c r="L363" t="n">
        <v>0</v>
      </c>
      <c r="M363" t="n">
        <v>0</v>
      </c>
      <c r="N363" t="n">
        <v>0</v>
      </c>
      <c r="O363" t="n">
        <v>0</v>
      </c>
      <c r="P363" t="n">
        <v>0</v>
      </c>
      <c r="Q363" t="n">
        <v>0</v>
      </c>
      <c r="R363" s="2" t="inlineStr"/>
    </row>
    <row r="364" ht="15" customHeight="1">
      <c r="A364" t="inlineStr">
        <is>
          <t>A 10650-2022</t>
        </is>
      </c>
      <c r="B364" s="1" t="n">
        <v>44624.57945601852</v>
      </c>
      <c r="C364" s="1" t="n">
        <v>46169</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46169</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30488-2025</t>
        </is>
      </c>
      <c r="B366" s="1" t="n">
        <v>45830</v>
      </c>
      <c r="C366" s="1" t="n">
        <v>46169</v>
      </c>
      <c r="D366" t="inlineStr">
        <is>
          <t>GOTLANDS LÄN</t>
        </is>
      </c>
      <c r="E366" t="inlineStr">
        <is>
          <t>GOTLAND</t>
        </is>
      </c>
      <c r="F366" t="inlineStr">
        <is>
          <t>Kyrkan</t>
        </is>
      </c>
      <c r="G366" t="n">
        <v>3.9</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46169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46169</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46169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46169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46169</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46169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46169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46169</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46169</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46169</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46169</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46169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46169</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46169</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46169</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46169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46169</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46169</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46169</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46169</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30135-2025</t>
        </is>
      </c>
      <c r="B387" s="1" t="n">
        <v>45826</v>
      </c>
      <c r="C387" s="1" t="n">
        <v>46169</v>
      </c>
      <c r="D387" t="inlineStr">
        <is>
          <t>GOTLANDS LÄN</t>
        </is>
      </c>
      <c r="E387" t="inlineStr">
        <is>
          <t>GOTLAND</t>
        </is>
      </c>
      <c r="G387" t="n">
        <v>2.7</v>
      </c>
      <c r="H387" t="n">
        <v>0</v>
      </c>
      <c r="I387" t="n">
        <v>0</v>
      </c>
      <c r="J387" t="n">
        <v>0</v>
      </c>
      <c r="K387" t="n">
        <v>0</v>
      </c>
      <c r="L387" t="n">
        <v>0</v>
      </c>
      <c r="M387" t="n">
        <v>0</v>
      </c>
      <c r="N387" t="n">
        <v>0</v>
      </c>
      <c r="O387" t="n">
        <v>0</v>
      </c>
      <c r="P387" t="n">
        <v>0</v>
      </c>
      <c r="Q387" t="n">
        <v>0</v>
      </c>
      <c r="R387" s="2" t="inlineStr"/>
    </row>
    <row r="388" ht="15" customHeight="1">
      <c r="A388" t="inlineStr">
        <is>
          <t>A 24966-2023</t>
        </is>
      </c>
      <c r="B388" s="1" t="n">
        <v>45085</v>
      </c>
      <c r="C388" s="1" t="n">
        <v>46169</v>
      </c>
      <c r="D388" t="inlineStr">
        <is>
          <t>GOTLANDS LÄN</t>
        </is>
      </c>
      <c r="E388" t="inlineStr">
        <is>
          <t>GOTLAND</t>
        </is>
      </c>
      <c r="G388" t="n">
        <v>7</v>
      </c>
      <c r="H388" t="n">
        <v>0</v>
      </c>
      <c r="I388" t="n">
        <v>0</v>
      </c>
      <c r="J388" t="n">
        <v>0</v>
      </c>
      <c r="K388" t="n">
        <v>0</v>
      </c>
      <c r="L388" t="n">
        <v>0</v>
      </c>
      <c r="M388" t="n">
        <v>0</v>
      </c>
      <c r="N388" t="n">
        <v>0</v>
      </c>
      <c r="O388" t="n">
        <v>0</v>
      </c>
      <c r="P388" t="n">
        <v>0</v>
      </c>
      <c r="Q388" t="n">
        <v>0</v>
      </c>
      <c r="R388" s="2" t="inlineStr"/>
    </row>
    <row r="389" ht="15" customHeight="1">
      <c r="A389" t="inlineStr">
        <is>
          <t>A 57652-2023</t>
        </is>
      </c>
      <c r="B389" s="1" t="n">
        <v>45246</v>
      </c>
      <c r="C389" s="1" t="n">
        <v>46169</v>
      </c>
      <c r="D389" t="inlineStr">
        <is>
          <t>GOTLANDS LÄN</t>
        </is>
      </c>
      <c r="E389" t="inlineStr">
        <is>
          <t>GOTLAND</t>
        </is>
      </c>
      <c r="G389" t="n">
        <v>7.2</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46169</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57522-2022</t>
        </is>
      </c>
      <c r="B391" s="1" t="n">
        <v>44896</v>
      </c>
      <c r="C391" s="1" t="n">
        <v>46169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14797-2024</t>
        </is>
      </c>
      <c r="B392" s="1" t="n">
        <v>45397.87030092593</v>
      </c>
      <c r="C392" s="1" t="n">
        <v>46169</v>
      </c>
      <c r="D392" t="inlineStr">
        <is>
          <t>GOTLANDS LÄN</t>
        </is>
      </c>
      <c r="E392" t="inlineStr">
        <is>
          <t>GOTLAND</t>
        </is>
      </c>
      <c r="G392" t="n">
        <v>8.1</v>
      </c>
      <c r="H392" t="n">
        <v>0</v>
      </c>
      <c r="I392" t="n">
        <v>0</v>
      </c>
      <c r="J392" t="n">
        <v>0</v>
      </c>
      <c r="K392" t="n">
        <v>0</v>
      </c>
      <c r="L392" t="n">
        <v>0</v>
      </c>
      <c r="M392" t="n">
        <v>0</v>
      </c>
      <c r="N392" t="n">
        <v>0</v>
      </c>
      <c r="O392" t="n">
        <v>0</v>
      </c>
      <c r="P392" t="n">
        <v>0</v>
      </c>
      <c r="Q392" t="n">
        <v>0</v>
      </c>
      <c r="R392" s="2" t="inlineStr"/>
    </row>
    <row r="393" ht="15" customHeight="1">
      <c r="A393" t="inlineStr">
        <is>
          <t>A 12599-2025</t>
        </is>
      </c>
      <c r="B393" s="1" t="n">
        <v>45733.29546296296</v>
      </c>
      <c r="C393" s="1" t="n">
        <v>46169</v>
      </c>
      <c r="D393" t="inlineStr">
        <is>
          <t>GOTLANDS LÄN</t>
        </is>
      </c>
      <c r="E393" t="inlineStr">
        <is>
          <t>GOTLAND</t>
        </is>
      </c>
      <c r="G393" t="n">
        <v>4.7</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46169</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59197-2025</t>
        </is>
      </c>
      <c r="B395" s="1" t="n">
        <v>45988.59846064815</v>
      </c>
      <c r="C395" s="1" t="n">
        <v>46169</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46169</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46169</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46169</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36319-2025</t>
        </is>
      </c>
      <c r="B399" s="1" t="n">
        <v>45868</v>
      </c>
      <c r="C399" s="1" t="n">
        <v>46169</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46169</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46169</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46169</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46169</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46169</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46169</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46169</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46169</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46169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46169</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46169</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46169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46169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46169</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46169</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46169</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46169</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46169</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46169</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46169</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46169</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46169</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46169</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62103-2025</t>
        </is>
      </c>
      <c r="B423" s="1" t="n">
        <v>46006</v>
      </c>
      <c r="C423" s="1" t="n">
        <v>46169</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46169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46169</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46169</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46169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46169</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63002-2025</t>
        </is>
      </c>
      <c r="B429" s="1" t="n">
        <v>46009.56564814815</v>
      </c>
      <c r="C429" s="1" t="n">
        <v>46169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46169</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46169</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46169</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46169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46169</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46169</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12155-2023</t>
        </is>
      </c>
      <c r="B436" s="1" t="n">
        <v>44998.49106481481</v>
      </c>
      <c r="C436" s="1" t="n">
        <v>46169</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46169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2774-2024</t>
        </is>
      </c>
      <c r="B438" s="1" t="n">
        <v>45314.62375</v>
      </c>
      <c r="C438" s="1" t="n">
        <v>46169</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46169</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46169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61078-2025</t>
        </is>
      </c>
      <c r="B441" s="1" t="n">
        <v>46000</v>
      </c>
      <c r="C441" s="1" t="n">
        <v>46169</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36-2026</t>
        </is>
      </c>
      <c r="B442" s="1" t="n">
        <v>46024.38886574074</v>
      </c>
      <c r="C442" s="1" t="n">
        <v>46169</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15083-2025</t>
        </is>
      </c>
      <c r="B443" s="1" t="n">
        <v>45743</v>
      </c>
      <c r="C443" s="1" t="n">
        <v>46169</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1355-2026</t>
        </is>
      </c>
      <c r="B444" s="1" t="n">
        <v>46031.59909722222</v>
      </c>
      <c r="C444" s="1" t="n">
        <v>46169</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46169</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46169</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46169</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2415-2026</t>
        </is>
      </c>
      <c r="B448" s="1" t="n">
        <v>46036.76203703704</v>
      </c>
      <c r="C448" s="1" t="n">
        <v>46169</v>
      </c>
      <c r="D448" t="inlineStr">
        <is>
          <t>GOTLANDS LÄN</t>
        </is>
      </c>
      <c r="E448" t="inlineStr">
        <is>
          <t>GOTLAND</t>
        </is>
      </c>
      <c r="G448" t="n">
        <v>6.9</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46169</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46169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46169</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46169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46169</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46169</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46169</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46169</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46169</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46169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46169</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1839-2026</t>
        </is>
      </c>
      <c r="B460" s="1" t="n">
        <v>46035.3942824074</v>
      </c>
      <c r="C460" s="1" t="n">
        <v>46169</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4646-2026</t>
        </is>
      </c>
      <c r="B461" s="1" t="n">
        <v>46048.40357638889</v>
      </c>
      <c r="C461" s="1" t="n">
        <v>46169</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46169</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46169</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46169</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4634-2026</t>
        </is>
      </c>
      <c r="B465" s="1" t="n">
        <v>46048.39304398148</v>
      </c>
      <c r="C465" s="1" t="n">
        <v>46169</v>
      </c>
      <c r="D465" t="inlineStr">
        <is>
          <t>GOTLANDS LÄN</t>
        </is>
      </c>
      <c r="E465" t="inlineStr">
        <is>
          <t>GOTLAND</t>
        </is>
      </c>
      <c r="G465" t="n">
        <v>7.8</v>
      </c>
      <c r="H465" t="n">
        <v>0</v>
      </c>
      <c r="I465" t="n">
        <v>0</v>
      </c>
      <c r="J465" t="n">
        <v>0</v>
      </c>
      <c r="K465" t="n">
        <v>0</v>
      </c>
      <c r="L465" t="n">
        <v>0</v>
      </c>
      <c r="M465" t="n">
        <v>0</v>
      </c>
      <c r="N465" t="n">
        <v>0</v>
      </c>
      <c r="O465" t="n">
        <v>0</v>
      </c>
      <c r="P465" t="n">
        <v>0</v>
      </c>
      <c r="Q465" t="n">
        <v>0</v>
      </c>
      <c r="R465" s="2" t="inlineStr"/>
    </row>
    <row r="466" ht="15" customHeight="1">
      <c r="A466" t="inlineStr">
        <is>
          <t>A 9875-2025</t>
        </is>
      </c>
      <c r="B466" s="1" t="n">
        <v>45716</v>
      </c>
      <c r="C466" s="1" t="n">
        <v>46169</v>
      </c>
      <c r="D466" t="inlineStr">
        <is>
          <t>GOTLANDS LÄN</t>
        </is>
      </c>
      <c r="E466" t="inlineStr">
        <is>
          <t>GOTLAND</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4670-2026</t>
        </is>
      </c>
      <c r="B467" s="1" t="n">
        <v>46048.41733796296</v>
      </c>
      <c r="C467" s="1" t="n">
        <v>46169</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29809-2022</t>
        </is>
      </c>
      <c r="B468" s="1" t="n">
        <v>44755.8713425926</v>
      </c>
      <c r="C468" s="1" t="n">
        <v>46169</v>
      </c>
      <c r="D468" t="inlineStr">
        <is>
          <t>GOTLANDS LÄN</t>
        </is>
      </c>
      <c r="E468" t="inlineStr">
        <is>
          <t>GOTLAND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46169</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43081-2022</t>
        </is>
      </c>
      <c r="B470" s="1" t="n">
        <v>44833</v>
      </c>
      <c r="C470" s="1" t="n">
        <v>46169</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1175-2025</t>
        </is>
      </c>
      <c r="B471" s="1" t="n">
        <v>45667.34449074074</v>
      </c>
      <c r="C471" s="1" t="n">
        <v>46169</v>
      </c>
      <c r="D471" t="inlineStr">
        <is>
          <t>GOTLANDS LÄN</t>
        </is>
      </c>
      <c r="E471" t="inlineStr">
        <is>
          <t>GOTLAND</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3150-2025</t>
        </is>
      </c>
      <c r="B472" s="1" t="n">
        <v>45679.28974537037</v>
      </c>
      <c r="C472" s="1" t="n">
        <v>46169</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6207-2026</t>
        </is>
      </c>
      <c r="B473" s="1" t="n">
        <v>46055.42083333333</v>
      </c>
      <c r="C473" s="1" t="n">
        <v>46169</v>
      </c>
      <c r="D473" t="inlineStr">
        <is>
          <t>GOTLANDS LÄN</t>
        </is>
      </c>
      <c r="E473" t="inlineStr">
        <is>
          <t>GOTLAND</t>
        </is>
      </c>
      <c r="G473" t="n">
        <v>7.6</v>
      </c>
      <c r="H473" t="n">
        <v>0</v>
      </c>
      <c r="I473" t="n">
        <v>0</v>
      </c>
      <c r="J473" t="n">
        <v>0</v>
      </c>
      <c r="K473" t="n">
        <v>0</v>
      </c>
      <c r="L473" t="n">
        <v>0</v>
      </c>
      <c r="M473" t="n">
        <v>0</v>
      </c>
      <c r="N473" t="n">
        <v>0</v>
      </c>
      <c r="O473" t="n">
        <v>0</v>
      </c>
      <c r="P473" t="n">
        <v>0</v>
      </c>
      <c r="Q473" t="n">
        <v>0</v>
      </c>
      <c r="R473" s="2" t="inlineStr"/>
    </row>
    <row r="474" ht="15" customHeight="1">
      <c r="A474" t="inlineStr">
        <is>
          <t>A 6218-2026</t>
        </is>
      </c>
      <c r="B474" s="1" t="n">
        <v>46055.42859953704</v>
      </c>
      <c r="C474" s="1" t="n">
        <v>46169</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6959-2026</t>
        </is>
      </c>
      <c r="B475" s="1" t="n">
        <v>46057.580625</v>
      </c>
      <c r="C475" s="1" t="n">
        <v>46169</v>
      </c>
      <c r="D475" t="inlineStr">
        <is>
          <t>GOTLANDS LÄN</t>
        </is>
      </c>
      <c r="E475" t="inlineStr">
        <is>
          <t>GOTLAND</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6960-2026</t>
        </is>
      </c>
      <c r="B476" s="1" t="n">
        <v>46057.58105324074</v>
      </c>
      <c r="C476" s="1" t="n">
        <v>46169</v>
      </c>
      <c r="D476" t="inlineStr">
        <is>
          <t>GOTLANDS LÄN</t>
        </is>
      </c>
      <c r="E476" t="inlineStr">
        <is>
          <t>GOTLAND</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46169</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46169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7627-2026</t>
        </is>
      </c>
      <c r="B479" s="1" t="n">
        <v>46062.35465277778</v>
      </c>
      <c r="C479" s="1" t="n">
        <v>46169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46169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44705.38832175926</v>
      </c>
      <c r="C481" s="1" t="n">
        <v>46169</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46169</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46169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46169</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46169</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46169</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46169</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46169</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46169</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46169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46169</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53561-2025</t>
        </is>
      </c>
      <c r="B492" s="1" t="n">
        <v>45960.4059375</v>
      </c>
      <c r="C492" s="1" t="n">
        <v>46169</v>
      </c>
      <c r="D492" t="inlineStr">
        <is>
          <t>GOTLANDS LÄN</t>
        </is>
      </c>
      <c r="E492" t="inlineStr">
        <is>
          <t>GOTLAND</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46169</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46169</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46169</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46169</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46169</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46169</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9521-2026</t>
        </is>
      </c>
      <c r="B499" s="1" t="n">
        <v>46071.59969907408</v>
      </c>
      <c r="C499" s="1" t="n">
        <v>46169</v>
      </c>
      <c r="D499" t="inlineStr">
        <is>
          <t>GOTLANDS LÄN</t>
        </is>
      </c>
      <c r="E499" t="inlineStr">
        <is>
          <t>GOTLAND</t>
        </is>
      </c>
      <c r="G499" t="n">
        <v>3.9</v>
      </c>
      <c r="H499" t="n">
        <v>0</v>
      </c>
      <c r="I499" t="n">
        <v>0</v>
      </c>
      <c r="J499" t="n">
        <v>0</v>
      </c>
      <c r="K499" t="n">
        <v>0</v>
      </c>
      <c r="L499" t="n">
        <v>0</v>
      </c>
      <c r="M499" t="n">
        <v>0</v>
      </c>
      <c r="N499" t="n">
        <v>0</v>
      </c>
      <c r="O499" t="n">
        <v>0</v>
      </c>
      <c r="P499" t="n">
        <v>0</v>
      </c>
      <c r="Q499" t="n">
        <v>0</v>
      </c>
      <c r="R499" s="2" t="inlineStr"/>
    </row>
    <row r="500" ht="15" customHeight="1">
      <c r="A500" t="inlineStr">
        <is>
          <t>A 9524-2026</t>
        </is>
      </c>
      <c r="B500" s="1" t="n">
        <v>46071.60108796296</v>
      </c>
      <c r="C500" s="1" t="n">
        <v>46169</v>
      </c>
      <c r="D500" t="inlineStr">
        <is>
          <t>GOTLANDS LÄN</t>
        </is>
      </c>
      <c r="E500" t="inlineStr">
        <is>
          <t>GOTLAND</t>
        </is>
      </c>
      <c r="G500" t="n">
        <v>2.5</v>
      </c>
      <c r="H500" t="n">
        <v>0</v>
      </c>
      <c r="I500" t="n">
        <v>0</v>
      </c>
      <c r="J500" t="n">
        <v>0</v>
      </c>
      <c r="K500" t="n">
        <v>0</v>
      </c>
      <c r="L500" t="n">
        <v>0</v>
      </c>
      <c r="M500" t="n">
        <v>0</v>
      </c>
      <c r="N500" t="n">
        <v>0</v>
      </c>
      <c r="O500" t="n">
        <v>0</v>
      </c>
      <c r="P500" t="n">
        <v>0</v>
      </c>
      <c r="Q500" t="n">
        <v>0</v>
      </c>
      <c r="R500" s="2" t="inlineStr"/>
    </row>
    <row r="501" ht="15" customHeight="1">
      <c r="A501" t="inlineStr">
        <is>
          <t>A 9543-2026</t>
        </is>
      </c>
      <c r="B501" s="1" t="n">
        <v>46071.62486111111</v>
      </c>
      <c r="C501" s="1" t="n">
        <v>46169</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9504-2026</t>
        </is>
      </c>
      <c r="B502" s="1" t="n">
        <v>46071.57730324074</v>
      </c>
      <c r="C502" s="1" t="n">
        <v>46169</v>
      </c>
      <c r="D502" t="inlineStr">
        <is>
          <t>GOTLANDS LÄN</t>
        </is>
      </c>
      <c r="E502" t="inlineStr">
        <is>
          <t>GOTLAND</t>
        </is>
      </c>
      <c r="G502" t="n">
        <v>0.6</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46169</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46169</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46169</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46169</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9901-2026</t>
        </is>
      </c>
      <c r="B507" s="1" t="n">
        <v>46073.40391203704</v>
      </c>
      <c r="C507" s="1" t="n">
        <v>46169</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46169</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46169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10284-2026</t>
        </is>
      </c>
      <c r="B510" s="1" t="n">
        <v>46076</v>
      </c>
      <c r="C510" s="1" t="n">
        <v>46169</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46169</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10486-2026</t>
        </is>
      </c>
      <c r="B512" s="1" t="n">
        <v>46077.51425925926</v>
      </c>
      <c r="C512" s="1" t="n">
        <v>46169</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46169</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60384-2025</t>
        </is>
      </c>
      <c r="B514" s="1" t="n">
        <v>45995</v>
      </c>
      <c r="C514" s="1" t="n">
        <v>46169</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1273-2023</t>
        </is>
      </c>
      <c r="B515" s="1" t="n">
        <v>44936</v>
      </c>
      <c r="C515" s="1" t="n">
        <v>46169</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46169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54584-2025</t>
        </is>
      </c>
      <c r="B517" s="1" t="n">
        <v>45965.71788194445</v>
      </c>
      <c r="C517" s="1" t="n">
        <v>46169</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46169</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46169</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46169</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46169</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43200-2023</t>
        </is>
      </c>
      <c r="B522" s="1" t="n">
        <v>45183</v>
      </c>
      <c r="C522" s="1" t="n">
        <v>46169</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3067-2026</t>
        </is>
      </c>
      <c r="B523" s="1" t="n">
        <v>46040.59025462963</v>
      </c>
      <c r="C523" s="1" t="n">
        <v>46169</v>
      </c>
      <c r="D523" t="inlineStr">
        <is>
          <t>GOTLANDS LÄN</t>
        </is>
      </c>
      <c r="E523" t="inlineStr">
        <is>
          <t>GOTLAND</t>
        </is>
      </c>
      <c r="G523" t="n">
        <v>7.8</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46169</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12135-2026</t>
        </is>
      </c>
      <c r="B525" s="1" t="n">
        <v>46086</v>
      </c>
      <c r="C525" s="1" t="n">
        <v>46169</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46169</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11982-2026</t>
        </is>
      </c>
      <c r="B527" s="1" t="n">
        <v>46085.6434375</v>
      </c>
      <c r="C527" s="1" t="n">
        <v>46169</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46169</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21792-2024</t>
        </is>
      </c>
      <c r="B529" s="1" t="n">
        <v>45442.64326388889</v>
      </c>
      <c r="C529" s="1" t="n">
        <v>46169</v>
      </c>
      <c r="D529" t="inlineStr">
        <is>
          <t>GOTLANDS LÄN</t>
        </is>
      </c>
      <c r="E529" t="inlineStr">
        <is>
          <t>GOTLAND</t>
        </is>
      </c>
      <c r="G529" t="n">
        <v>1</v>
      </c>
      <c r="H529" t="n">
        <v>0</v>
      </c>
      <c r="I529" t="n">
        <v>0</v>
      </c>
      <c r="J529" t="n">
        <v>0</v>
      </c>
      <c r="K529" t="n">
        <v>0</v>
      </c>
      <c r="L529" t="n">
        <v>0</v>
      </c>
      <c r="M529" t="n">
        <v>0</v>
      </c>
      <c r="N529" t="n">
        <v>0</v>
      </c>
      <c r="O529" t="n">
        <v>0</v>
      </c>
      <c r="P529" t="n">
        <v>0</v>
      </c>
      <c r="Q529" t="n">
        <v>0</v>
      </c>
      <c r="R529" s="2" t="inlineStr"/>
    </row>
    <row r="530" ht="15" customHeight="1">
      <c r="A530" t="inlineStr">
        <is>
          <t>A 48843-2024</t>
        </is>
      </c>
      <c r="B530" s="1" t="n">
        <v>45593</v>
      </c>
      <c r="C530" s="1" t="n">
        <v>46169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10653-2023</t>
        </is>
      </c>
      <c r="B531" s="1" t="n">
        <v>44988.48859953704</v>
      </c>
      <c r="C531" s="1" t="n">
        <v>46169</v>
      </c>
      <c r="D531" t="inlineStr">
        <is>
          <t>GOTLANDS LÄN</t>
        </is>
      </c>
      <c r="E531" t="inlineStr">
        <is>
          <t>GOTLAND</t>
        </is>
      </c>
      <c r="F531" t="inlineStr">
        <is>
          <t>Kyrkan</t>
        </is>
      </c>
      <c r="G531" t="n">
        <v>3</v>
      </c>
      <c r="H531" t="n">
        <v>0</v>
      </c>
      <c r="I531" t="n">
        <v>0</v>
      </c>
      <c r="J531" t="n">
        <v>0</v>
      </c>
      <c r="K531" t="n">
        <v>0</v>
      </c>
      <c r="L531" t="n">
        <v>0</v>
      </c>
      <c r="M531" t="n">
        <v>0</v>
      </c>
      <c r="N531" t="n">
        <v>0</v>
      </c>
      <c r="O531" t="n">
        <v>0</v>
      </c>
      <c r="P531" t="n">
        <v>0</v>
      </c>
      <c r="Q531" t="n">
        <v>0</v>
      </c>
      <c r="R531" s="2" t="inlineStr"/>
    </row>
    <row r="532" ht="15" customHeight="1">
      <c r="A532" t="inlineStr">
        <is>
          <t>A 35512-2023</t>
        </is>
      </c>
      <c r="B532" s="1" t="n">
        <v>45147.25623842593</v>
      </c>
      <c r="C532" s="1" t="n">
        <v>46169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46169</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46169</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46169</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46169</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1677-2023</t>
        </is>
      </c>
      <c r="B537" s="1" t="n">
        <v>44938</v>
      </c>
      <c r="C537" s="1" t="n">
        <v>46169</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64831-2023</t>
        </is>
      </c>
      <c r="B538" s="1" t="n">
        <v>45282.44924768519</v>
      </c>
      <c r="C538" s="1" t="n">
        <v>46169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46169</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46169</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46169</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46169</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62915-2021</t>
        </is>
      </c>
      <c r="B543" s="1" t="n">
        <v>44504</v>
      </c>
      <c r="C543" s="1" t="n">
        <v>46169</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46169</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7638-2025</t>
        </is>
      </c>
      <c r="B545" s="1" t="n">
        <v>45705.77306712963</v>
      </c>
      <c r="C545" s="1" t="n">
        <v>46169</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13486-2026</t>
        </is>
      </c>
      <c r="B546" s="1" t="n">
        <v>46094</v>
      </c>
      <c r="C546" s="1" t="n">
        <v>46169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46169</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43901-2023</t>
        </is>
      </c>
      <c r="B548" s="1" t="n">
        <v>45187</v>
      </c>
      <c r="C548" s="1" t="n">
        <v>46169</v>
      </c>
      <c r="D548" t="inlineStr">
        <is>
          <t>GOTLANDS LÄN</t>
        </is>
      </c>
      <c r="E548" t="inlineStr">
        <is>
          <t>GOTLAND</t>
        </is>
      </c>
      <c r="G548" t="n">
        <v>5.4</v>
      </c>
      <c r="H548" t="n">
        <v>0</v>
      </c>
      <c r="I548" t="n">
        <v>0</v>
      </c>
      <c r="J548" t="n">
        <v>0</v>
      </c>
      <c r="K548" t="n">
        <v>0</v>
      </c>
      <c r="L548" t="n">
        <v>0</v>
      </c>
      <c r="M548" t="n">
        <v>0</v>
      </c>
      <c r="N548" t="n">
        <v>0</v>
      </c>
      <c r="O548" t="n">
        <v>0</v>
      </c>
      <c r="P548" t="n">
        <v>0</v>
      </c>
      <c r="Q548" t="n">
        <v>0</v>
      </c>
      <c r="R548" s="2" t="inlineStr"/>
    </row>
    <row r="549" ht="15" customHeight="1">
      <c r="A549" t="inlineStr">
        <is>
          <t>A 17532-2024</t>
        </is>
      </c>
      <c r="B549" s="1" t="n">
        <v>45415</v>
      </c>
      <c r="C549" s="1" t="n">
        <v>46169</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45692-2023</t>
        </is>
      </c>
      <c r="B550" s="1" t="n">
        <v>45195</v>
      </c>
      <c r="C550" s="1" t="n">
        <v>46169</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37222-2021</t>
        </is>
      </c>
      <c r="B551" s="1" t="n">
        <v>44396</v>
      </c>
      <c r="C551" s="1" t="n">
        <v>46169</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46169</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46169</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53934-2024</t>
        </is>
      </c>
      <c r="B554" s="1" t="n">
        <v>45615</v>
      </c>
      <c r="C554" s="1" t="n">
        <v>46169</v>
      </c>
      <c r="D554" t="inlineStr">
        <is>
          <t>GOTLANDS LÄN</t>
        </is>
      </c>
      <c r="E554" t="inlineStr">
        <is>
          <t>GOTLAND</t>
        </is>
      </c>
      <c r="G554" t="n">
        <v>5</v>
      </c>
      <c r="H554" t="n">
        <v>0</v>
      </c>
      <c r="I554" t="n">
        <v>0</v>
      </c>
      <c r="J554" t="n">
        <v>0</v>
      </c>
      <c r="K554" t="n">
        <v>0</v>
      </c>
      <c r="L554" t="n">
        <v>0</v>
      </c>
      <c r="M554" t="n">
        <v>0</v>
      </c>
      <c r="N554" t="n">
        <v>0</v>
      </c>
      <c r="O554" t="n">
        <v>0</v>
      </c>
      <c r="P554" t="n">
        <v>0</v>
      </c>
      <c r="Q554" t="n">
        <v>0</v>
      </c>
      <c r="R554" s="2" t="inlineStr"/>
    </row>
    <row r="555" ht="15" customHeight="1">
      <c r="A555" t="inlineStr">
        <is>
          <t>A 58132-2023</t>
        </is>
      </c>
      <c r="B555" s="1" t="n">
        <v>45250</v>
      </c>
      <c r="C555" s="1" t="n">
        <v>46169</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46169</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46169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14840-2026</t>
        </is>
      </c>
      <c r="B558" s="1" t="n">
        <v>46104.39498842593</v>
      </c>
      <c r="C558" s="1" t="n">
        <v>46169</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46169</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46169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46169</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46169</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21396-2026</t>
        </is>
      </c>
      <c r="B563" s="1" t="n">
        <v>46148.30710648148</v>
      </c>
      <c r="C563" s="1" t="n">
        <v>46169</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46169</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46169</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4662-2026</t>
        </is>
      </c>
      <c r="B566" s="1" t="n">
        <v>46048.40949074074</v>
      </c>
      <c r="C566" s="1" t="n">
        <v>46169</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44988.49543981482</v>
      </c>
      <c r="C567" s="1" t="n">
        <v>46169</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46169</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46169</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1854-2026</t>
        </is>
      </c>
      <c r="B570" s="1" t="n">
        <v>46035.4171875</v>
      </c>
      <c r="C570" s="1" t="n">
        <v>46169</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22351-2026</t>
        </is>
      </c>
      <c r="B571" s="1" t="n">
        <v>46154.58350694444</v>
      </c>
      <c r="C571" s="1" t="n">
        <v>46169</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22348-2026</t>
        </is>
      </c>
      <c r="B572" s="1" t="n">
        <v>46154.58071759259</v>
      </c>
      <c r="C572" s="1" t="n">
        <v>46169</v>
      </c>
      <c r="D572" t="inlineStr">
        <is>
          <t>GOTLANDS LÄN</t>
        </is>
      </c>
      <c r="E572" t="inlineStr">
        <is>
          <t>GOTLAND</t>
        </is>
      </c>
      <c r="G572" t="n">
        <v>3.3</v>
      </c>
      <c r="H572" t="n">
        <v>0</v>
      </c>
      <c r="I572" t="n">
        <v>0</v>
      </c>
      <c r="J572" t="n">
        <v>0</v>
      </c>
      <c r="K572" t="n">
        <v>0</v>
      </c>
      <c r="L572" t="n">
        <v>0</v>
      </c>
      <c r="M572" t="n">
        <v>0</v>
      </c>
      <c r="N572" t="n">
        <v>0</v>
      </c>
      <c r="O572" t="n">
        <v>0</v>
      </c>
      <c r="P572" t="n">
        <v>0</v>
      </c>
      <c r="Q572" t="n">
        <v>0</v>
      </c>
      <c r="R572" s="2" t="inlineStr"/>
    </row>
    <row r="573" ht="15" customHeight="1">
      <c r="A573" t="inlineStr">
        <is>
          <t>A 22275-2026</t>
        </is>
      </c>
      <c r="B573" s="1" t="n">
        <v>46154.41924768518</v>
      </c>
      <c r="C573" s="1" t="n">
        <v>46169</v>
      </c>
      <c r="D573" t="inlineStr">
        <is>
          <t>GOTLANDS LÄN</t>
        </is>
      </c>
      <c r="E573" t="inlineStr">
        <is>
          <t>GOTLAND</t>
        </is>
      </c>
      <c r="G573" t="n">
        <v>3.7</v>
      </c>
      <c r="H573" t="n">
        <v>0</v>
      </c>
      <c r="I573" t="n">
        <v>0</v>
      </c>
      <c r="J573" t="n">
        <v>0</v>
      </c>
      <c r="K573" t="n">
        <v>0</v>
      </c>
      <c r="L573" t="n">
        <v>0</v>
      </c>
      <c r="M573" t="n">
        <v>0</v>
      </c>
      <c r="N573" t="n">
        <v>0</v>
      </c>
      <c r="O573" t="n">
        <v>0</v>
      </c>
      <c r="P573" t="n">
        <v>0</v>
      </c>
      <c r="Q573" t="n">
        <v>0</v>
      </c>
      <c r="R573" s="2" t="inlineStr"/>
    </row>
    <row r="574" ht="15" customHeight="1">
      <c r="A574" t="inlineStr">
        <is>
          <t>A 4639-2026</t>
        </is>
      </c>
      <c r="B574" s="1" t="n">
        <v>46048.39880787037</v>
      </c>
      <c r="C574" s="1" t="n">
        <v>46169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46169</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17000-2026</t>
        </is>
      </c>
      <c r="B576" s="1" t="n">
        <v>46114.42690972222</v>
      </c>
      <c r="C576" s="1" t="n">
        <v>46169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46169</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46169</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38787-2023</t>
        </is>
      </c>
      <c r="B579" s="1" t="n">
        <v>45163</v>
      </c>
      <c r="C579" s="1" t="n">
        <v>46169</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16993-2026</t>
        </is>
      </c>
      <c r="B580" s="1" t="n">
        <v>46114.41918981481</v>
      </c>
      <c r="C580" s="1" t="n">
        <v>46169</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46169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46169</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46169</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62836-2025</t>
        </is>
      </c>
      <c r="B584" s="1" t="n">
        <v>46008</v>
      </c>
      <c r="C584" s="1" t="n">
        <v>46169</v>
      </c>
      <c r="D584" t="inlineStr">
        <is>
          <t>GOTLANDS LÄN</t>
        </is>
      </c>
      <c r="E584" t="inlineStr">
        <is>
          <t>GOTLAND</t>
        </is>
      </c>
      <c r="G584" t="n">
        <v>6.5</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44938.39715277778</v>
      </c>
      <c r="C585" s="1" t="n">
        <v>46169</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22887-2026</t>
        </is>
      </c>
      <c r="B586" s="1" t="n">
        <v>46160.47591435185</v>
      </c>
      <c r="C586" s="1" t="n">
        <v>46169</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63152-2025</t>
        </is>
      </c>
      <c r="B587" s="1" t="n">
        <v>46010</v>
      </c>
      <c r="C587" s="1" t="n">
        <v>46169</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42338-2023</t>
        </is>
      </c>
      <c r="B588" s="1" t="n">
        <v>45180</v>
      </c>
      <c r="C588" s="1" t="n">
        <v>46169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46169</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11013-2024</t>
        </is>
      </c>
      <c r="B590" s="1" t="n">
        <v>45370</v>
      </c>
      <c r="C590" s="1" t="n">
        <v>46169</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45084-2024</t>
        </is>
      </c>
      <c r="B591" s="1" t="n">
        <v>45575</v>
      </c>
      <c r="C591" s="1" t="n">
        <v>46169</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20356-2022</t>
        </is>
      </c>
      <c r="B592" s="1" t="n">
        <v>44699</v>
      </c>
      <c r="C592" s="1" t="n">
        <v>46169</v>
      </c>
      <c r="D592" t="inlineStr">
        <is>
          <t>GOTLANDS LÄN</t>
        </is>
      </c>
      <c r="E592" t="inlineStr">
        <is>
          <t>GOTLAND</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4868-2024</t>
        </is>
      </c>
      <c r="B593" s="1" t="n">
        <v>45329</v>
      </c>
      <c r="C593" s="1" t="n">
        <v>46169</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5863-2026</t>
        </is>
      </c>
      <c r="B594" s="1" t="n">
        <v>46052</v>
      </c>
      <c r="C594" s="1" t="n">
        <v>46169</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9613-2025</t>
        </is>
      </c>
      <c r="B595" s="1" t="n">
        <v>45715</v>
      </c>
      <c r="C595" s="1" t="n">
        <v>46169</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5386-2023</t>
        </is>
      </c>
      <c r="B596" s="1" t="n">
        <v>44959</v>
      </c>
      <c r="C596" s="1" t="n">
        <v>46169</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23103-2026</t>
        </is>
      </c>
      <c r="B597" s="1" t="n">
        <v>46161.57108796296</v>
      </c>
      <c r="C597" s="1" t="n">
        <v>46169</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46169</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46169</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58211-2024</t>
        </is>
      </c>
      <c r="B600" s="1" t="n">
        <v>45632.49292824074</v>
      </c>
      <c r="C600" s="1" t="n">
        <v>46169</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23504-2026</t>
        </is>
      </c>
      <c r="B601" s="1" t="n">
        <v>46163.45875</v>
      </c>
      <c r="C601" s="1" t="n">
        <v>46169</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46169</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46169</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46169</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46169</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46169</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46169</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62674-2025</t>
        </is>
      </c>
      <c r="B608" s="1" t="n">
        <v>46008</v>
      </c>
      <c r="C608" s="1" t="n">
        <v>46169</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25866-2022</t>
        </is>
      </c>
      <c r="B609" s="1" t="n">
        <v>44733</v>
      </c>
      <c r="C609" s="1" t="n">
        <v>46169</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9887-2025</t>
        </is>
      </c>
      <c r="B610" s="1" t="n">
        <v>45716</v>
      </c>
      <c r="C610" s="1" t="n">
        <v>46169</v>
      </c>
      <c r="D610" t="inlineStr">
        <is>
          <t>GOTLANDS LÄN</t>
        </is>
      </c>
      <c r="E610" t="inlineStr">
        <is>
          <t>GOTLAND</t>
        </is>
      </c>
      <c r="G610" t="n">
        <v>7.5</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46169</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46169</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46169</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31802-2024</t>
        </is>
      </c>
      <c r="B614" s="1" t="n">
        <v>45509</v>
      </c>
      <c r="C614" s="1" t="n">
        <v>46169</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46169</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46169</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12327-2025</t>
        </is>
      </c>
      <c r="B617" s="1" t="n">
        <v>45730</v>
      </c>
      <c r="C617" s="1" t="n">
        <v>46169</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46169</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14427-2024</t>
        </is>
      </c>
      <c r="B619" s="1" t="n">
        <v>45394</v>
      </c>
      <c r="C619" s="1" t="n">
        <v>46169</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49257-2024</t>
        </is>
      </c>
      <c r="B620" s="1" t="n">
        <v>45595.47627314815</v>
      </c>
      <c r="C620" s="1" t="n">
        <v>46169</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49315-2024</t>
        </is>
      </c>
      <c r="B621" s="1" t="n">
        <v>45595</v>
      </c>
      <c r="C621" s="1" t="n">
        <v>46169</v>
      </c>
      <c r="D621" t="inlineStr">
        <is>
          <t>GOTLANDS LÄN</t>
        </is>
      </c>
      <c r="E621" t="inlineStr">
        <is>
          <t>GOTLAND</t>
        </is>
      </c>
      <c r="G621" t="n">
        <v>1.5</v>
      </c>
      <c r="H621" t="n">
        <v>0</v>
      </c>
      <c r="I621" t="n">
        <v>0</v>
      </c>
      <c r="J621" t="n">
        <v>0</v>
      </c>
      <c r="K621" t="n">
        <v>0</v>
      </c>
      <c r="L621" t="n">
        <v>0</v>
      </c>
      <c r="M621" t="n">
        <v>0</v>
      </c>
      <c r="N621" t="n">
        <v>0</v>
      </c>
      <c r="O621" t="n">
        <v>0</v>
      </c>
      <c r="P621" t="n">
        <v>0</v>
      </c>
      <c r="Q621" t="n">
        <v>0</v>
      </c>
      <c r="R621" s="2" t="inlineStr"/>
    </row>
    <row r="622" ht="15" customHeight="1">
      <c r="A622" t="inlineStr">
        <is>
          <t>A 27596-2023</t>
        </is>
      </c>
      <c r="B622" s="1" t="n">
        <v>45097</v>
      </c>
      <c r="C622" s="1" t="n">
        <v>46169</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46169</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64969-2023</t>
        </is>
      </c>
      <c r="B624" s="1" t="n">
        <v>45284.54009259259</v>
      </c>
      <c r="C624" s="1" t="n">
        <v>46169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33853-2024</t>
        </is>
      </c>
      <c r="B625" s="1" t="n">
        <v>45520.64298611111</v>
      </c>
      <c r="C625" s="1" t="n">
        <v>46169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18223-2025</t>
        </is>
      </c>
      <c r="B626" s="1" t="n">
        <v>45761</v>
      </c>
      <c r="C626" s="1" t="n">
        <v>46169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46949-2024</t>
        </is>
      </c>
      <c r="B627" s="1" t="n">
        <v>45585</v>
      </c>
      <c r="C627" s="1" t="n">
        <v>46169</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46169</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46169</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46169</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46169</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46169</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46169</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46169</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46169</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46169</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46169</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46169</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46169</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46169</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46169</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46169</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46169</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2026-05-27T10:52:26Z</dcterms:created>
  <dcterms:modified xmlns:dcterms="http://purl.org/dc/terms/" xmlns:xsi="http://www.w3.org/2001/XMLSchema-instance" xsi:type="dcterms:W3CDTF">2026-05-27T10:52:27Z</dcterms:modified>
</cp:coreProperties>
</file>