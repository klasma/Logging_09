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46099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46099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46099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46099</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46099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46099</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46099</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46099</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46099</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46099</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46099</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46099</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46099</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46099</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46099</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62551-2022</t>
        </is>
      </c>
      <c r="B21" s="1" t="n">
        <v>44924</v>
      </c>
      <c r="C21" s="1" t="n">
        <v>46099</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8645-2025</t>
        </is>
      </c>
      <c r="B22" s="1" t="n">
        <v>45712</v>
      </c>
      <c r="C22" s="1" t="n">
        <v>46099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34100-2024</t>
        </is>
      </c>
      <c r="B23" s="1" t="n">
        <v>45523</v>
      </c>
      <c r="C23" s="1" t="n">
        <v>46099</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46099</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46099</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46099</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46099</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62132-2023</t>
        </is>
      </c>
      <c r="B28" s="1" t="n">
        <v>45267</v>
      </c>
      <c r="C28" s="1" t="n">
        <v>46099</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17762-2024</t>
        </is>
      </c>
      <c r="B29" s="1" t="n">
        <v>45418</v>
      </c>
      <c r="C29" s="1" t="n">
        <v>46099</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46099</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2222-2024</t>
        </is>
      </c>
      <c r="B31" s="1" t="n">
        <v>45309</v>
      </c>
      <c r="C31" s="1" t="n">
        <v>46099</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46099</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35141-2022</t>
        </is>
      </c>
      <c r="B33" s="1" t="n">
        <v>44797.53318287037</v>
      </c>
      <c r="C33" s="1" t="n">
        <v>46099</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2804-2023</t>
        </is>
      </c>
      <c r="B34" s="1" t="n">
        <v>44944</v>
      </c>
      <c r="C34" s="1" t="n">
        <v>46099</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44928-2022</t>
        </is>
      </c>
      <c r="B35" s="1" t="n">
        <v>44841</v>
      </c>
      <c r="C35" s="1" t="n">
        <v>46099</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46099</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63872-2021</t>
        </is>
      </c>
      <c r="B37" s="1" t="n">
        <v>44509</v>
      </c>
      <c r="C37" s="1" t="n">
        <v>46099</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46099</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3324-2023</t>
        </is>
      </c>
      <c r="B39" s="1" t="n">
        <v>44949</v>
      </c>
      <c r="C39" s="1" t="n">
        <v>46099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61664-2023</t>
        </is>
      </c>
      <c r="B40" s="1" t="n">
        <v>45265</v>
      </c>
      <c r="C40" s="1" t="n">
        <v>46099</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46099</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46099</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43201-2023</t>
        </is>
      </c>
      <c r="B43" s="1" t="n">
        <v>45183</v>
      </c>
      <c r="C43" s="1" t="n">
        <v>46099</v>
      </c>
      <c r="D43" t="inlineStr">
        <is>
          <t>GOTLANDS LÄN</t>
        </is>
      </c>
      <c r="E43" t="inlineStr">
        <is>
          <t>GOTLAND</t>
        </is>
      </c>
      <c r="G43" t="n">
        <v>5.6</v>
      </c>
      <c r="H43" t="n">
        <v>0</v>
      </c>
      <c r="I43" t="n">
        <v>4</v>
      </c>
      <c r="J43" t="n">
        <v>2</v>
      </c>
      <c r="K43" t="n">
        <v>3</v>
      </c>
      <c r="L43" t="n">
        <v>1</v>
      </c>
      <c r="M43" t="n">
        <v>1</v>
      </c>
      <c r="N43" t="n">
        <v>0</v>
      </c>
      <c r="O43" t="n">
        <v>7</v>
      </c>
      <c r="P43" t="n">
        <v>5</v>
      </c>
      <c r="Q43" t="n">
        <v>11</v>
      </c>
      <c r="R43" s="2" t="inlineStr">
        <is>
          <t>Mörk lundlav
Norsk belonia
Almlav
Blek kraterlav
Mörk kraterlav
Lunglav
Skuggorangelav
Lönnlav
Rostfläck
Slät lönnlav
Vitskivlav</t>
        </is>
      </c>
      <c r="S43">
        <f>HYPERLINK("https://klasma.github.io/Logging_0980/artfynd/A 43201-2023 artfynd.xlsx", "A 43201-2023")</f>
        <v/>
      </c>
      <c r="T43">
        <f>HYPERLINK("https://klasma.github.io/Logging_0980/kartor/A 43201-2023 karta.png", "A 43201-2023")</f>
        <v/>
      </c>
      <c r="V43">
        <f>HYPERLINK("https://klasma.github.io/Logging_0980/klagomål/A 43201-2023 FSC-klagomål.docx", "A 43201-2023")</f>
        <v/>
      </c>
      <c r="W43">
        <f>HYPERLINK("https://klasma.github.io/Logging_0980/klagomålsmail/A 43201-2023 FSC-klagomål mail.docx", "A 43201-2023")</f>
        <v/>
      </c>
      <c r="X43">
        <f>HYPERLINK("https://klasma.github.io/Logging_0980/tillsyn/A 43201-2023 tillsynsbegäran.docx", "A 43201-2023")</f>
        <v/>
      </c>
      <c r="Y43">
        <f>HYPERLINK("https://klasma.github.io/Logging_0980/tillsynsmail/A 43201-2023 tillsynsbegäran mail.docx", "A 43201-2023")</f>
        <v/>
      </c>
    </row>
    <row r="44" ht="15" customHeight="1">
      <c r="A44" t="inlineStr">
        <is>
          <t>A 6052-2024</t>
        </is>
      </c>
      <c r="B44" s="1" t="n">
        <v>45336</v>
      </c>
      <c r="C44" s="1" t="n">
        <v>46099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46099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46099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45248-2024</t>
        </is>
      </c>
      <c r="B47" s="1" t="n">
        <v>45576</v>
      </c>
      <c r="C47" s="1" t="n">
        <v>46099</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584-2023</t>
        </is>
      </c>
      <c r="B48" s="1" t="n">
        <v>44930</v>
      </c>
      <c r="C48" s="1" t="n">
        <v>46099</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46099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agg.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46099</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46099</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46099</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46099</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39376-2023</t>
        </is>
      </c>
      <c r="B54" s="1" t="n">
        <v>45166</v>
      </c>
      <c r="C54" s="1" t="n">
        <v>46099</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46099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7039-2023</t>
        </is>
      </c>
      <c r="B56" s="1" t="n">
        <v>44968</v>
      </c>
      <c r="C56" s="1" t="n">
        <v>46099</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46099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27168-2022</t>
        </is>
      </c>
      <c r="B58" s="1" t="n">
        <v>44741</v>
      </c>
      <c r="C58" s="1" t="n">
        <v>46099</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2649-2023</t>
        </is>
      </c>
      <c r="B59" s="1" t="n">
        <v>44943</v>
      </c>
      <c r="C59" s="1" t="n">
        <v>46099</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46099</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46099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46099</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18541-2024</t>
        </is>
      </c>
      <c r="B63" s="1" t="n">
        <v>45425</v>
      </c>
      <c r="C63" s="1" t="n">
        <v>46099</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34142-2024</t>
        </is>
      </c>
      <c r="B64" s="1" t="n">
        <v>45524.36521990741</v>
      </c>
      <c r="C64" s="1" t="n">
        <v>46099</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44944-2022</t>
        </is>
      </c>
      <c r="B65" s="1" t="n">
        <v>44841</v>
      </c>
      <c r="C65" s="1" t="n">
        <v>46099</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10419-2025</t>
        </is>
      </c>
      <c r="B66" s="1" t="n">
        <v>45720</v>
      </c>
      <c r="C66" s="1" t="n">
        <v>46099</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4984-2025</t>
        </is>
      </c>
      <c r="B67" s="1" t="n">
        <v>45691.29891203704</v>
      </c>
      <c r="C67" s="1" t="n">
        <v>46099</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56687-2025</t>
        </is>
      </c>
      <c r="B68" s="1" t="n">
        <v>45975.84065972222</v>
      </c>
      <c r="C68" s="1" t="n">
        <v>46099</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25205-2021</t>
        </is>
      </c>
      <c r="B69" s="1" t="n">
        <v>44342</v>
      </c>
      <c r="C69" s="1" t="n">
        <v>46099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54527-2023</t>
        </is>
      </c>
      <c r="B70" s="1" t="n">
        <v>45233</v>
      </c>
      <c r="C70" s="1" t="n">
        <v>46099</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7038-2023</t>
        </is>
      </c>
      <c r="B71" s="1" t="n">
        <v>44968</v>
      </c>
      <c r="C71" s="1" t="n">
        <v>46099</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46099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2085-2023</t>
        </is>
      </c>
      <c r="B73" s="1" t="n">
        <v>44939</v>
      </c>
      <c r="C73" s="1" t="n">
        <v>46099</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16823-2024</t>
        </is>
      </c>
      <c r="B74" s="1" t="n">
        <v>45411</v>
      </c>
      <c r="C74" s="1" t="n">
        <v>46099</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446-2023</t>
        </is>
      </c>
      <c r="B75" s="1" t="n">
        <v>44929</v>
      </c>
      <c r="C75" s="1" t="n">
        <v>46099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46099</v>
      </c>
      <c r="D76" t="inlineStr">
        <is>
          <t>GOTLANDS LÄN</t>
        </is>
      </c>
      <c r="E76" t="inlineStr">
        <is>
          <t>GOTLAND</t>
        </is>
      </c>
      <c r="F76" t="inlineStr">
        <is>
          <t>Övriga Aktiebolag</t>
        </is>
      </c>
      <c r="G76" t="n">
        <v>18.1</v>
      </c>
      <c r="H76" t="n">
        <v>3</v>
      </c>
      <c r="I76" t="n">
        <v>0</v>
      </c>
      <c r="J76" t="n">
        <v>5</v>
      </c>
      <c r="K76" t="n">
        <v>0</v>
      </c>
      <c r="L76" t="n">
        <v>0</v>
      </c>
      <c r="M76" t="n">
        <v>0</v>
      </c>
      <c r="N76" t="n">
        <v>0</v>
      </c>
      <c r="O76" t="n">
        <v>5</v>
      </c>
      <c r="P76" t="n">
        <v>0</v>
      </c>
      <c r="Q76" t="n">
        <v>6</v>
      </c>
      <c r="R76" s="2" t="inlineStr">
        <is>
          <t>Apollofjäril
Jordtistel
Klasefibbla
Kråka
Majviva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c r="Z76">
        <f>HYPERLINK("https://klasma.github.io/Logging_0980/fåglar/A 53584-2025 prioriterade fågelarter.docx", "A 53584-2025")</f>
        <v/>
      </c>
    </row>
    <row r="77" ht="15" customHeight="1">
      <c r="A77" t="inlineStr">
        <is>
          <t>A 57773-2025</t>
        </is>
      </c>
      <c r="B77" s="1" t="n">
        <v>45981.56349537037</v>
      </c>
      <c r="C77" s="1" t="n">
        <v>46099</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66091-2021</t>
        </is>
      </c>
      <c r="B78" s="1" t="n">
        <v>44517</v>
      </c>
      <c r="C78" s="1" t="n">
        <v>46099</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2213-2023</t>
        </is>
      </c>
      <c r="B79" s="1" t="n">
        <v>44942</v>
      </c>
      <c r="C79" s="1" t="n">
        <v>46099</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46099</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46099</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16375-2025</t>
        </is>
      </c>
      <c r="B82" s="1" t="n">
        <v>45751.41064814815</v>
      </c>
      <c r="C82" s="1" t="n">
        <v>46099</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54055-2022</t>
        </is>
      </c>
      <c r="B83" s="1" t="n">
        <v>44881</v>
      </c>
      <c r="C83" s="1" t="n">
        <v>46099</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42936-2024</t>
        </is>
      </c>
      <c r="B84" s="1" t="n">
        <v>45567</v>
      </c>
      <c r="C84" s="1" t="n">
        <v>46099</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35293-2025</t>
        </is>
      </c>
      <c r="B85" s="1" t="n">
        <v>45854.39438657407</v>
      </c>
      <c r="C85" s="1" t="n">
        <v>46099</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6839-2026</t>
        </is>
      </c>
      <c r="B86" s="1" t="n">
        <v>46057.41193287037</v>
      </c>
      <c r="C86" s="1" t="n">
        <v>46099</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52245-2025</t>
        </is>
      </c>
      <c r="B87" s="1" t="n">
        <v>45953.47115740741</v>
      </c>
      <c r="C87" s="1" t="n">
        <v>46099</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46099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46099</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2485-2025</t>
        </is>
      </c>
      <c r="B90" s="1" t="n">
        <v>45673</v>
      </c>
      <c r="C90" s="1" t="n">
        <v>46099</v>
      </c>
      <c r="D90" t="inlineStr">
        <is>
          <t>GOTLANDS LÄN</t>
        </is>
      </c>
      <c r="E90" t="inlineStr">
        <is>
          <t>GOTLAND</t>
        </is>
      </c>
      <c r="G90" t="n">
        <v>5</v>
      </c>
      <c r="H90" t="n">
        <v>2</v>
      </c>
      <c r="I90" t="n">
        <v>2</v>
      </c>
      <c r="J90" t="n">
        <v>0</v>
      </c>
      <c r="K90" t="n">
        <v>2</v>
      </c>
      <c r="L90" t="n">
        <v>0</v>
      </c>
      <c r="M90" t="n">
        <v>0</v>
      </c>
      <c r="N90" t="n">
        <v>0</v>
      </c>
      <c r="O90" t="n">
        <v>2</v>
      </c>
      <c r="P90" t="n">
        <v>2</v>
      </c>
      <c r="Q90" t="n">
        <v>4</v>
      </c>
      <c r="R90" s="2" t="inlineStr">
        <is>
          <t>Gotlandsmåra
Skogskorn
Nästrot
Skogsknipprot</t>
        </is>
      </c>
      <c r="S90">
        <f>HYPERLINK("https://klasma.github.io/Logging_0980/artfynd/A 2485-2025 artfynd.xlsx", "A 2485-2025")</f>
        <v/>
      </c>
      <c r="T90">
        <f>HYPERLINK("https://klasma.github.io/Logging_0980/kartor/A 2485-2025 karta.png", "A 2485-2025")</f>
        <v/>
      </c>
      <c r="V90">
        <f>HYPERLINK("https://klasma.github.io/Logging_0980/klagomål/A 2485-2025 FSC-klagomål.docx", "A 2485-2025")</f>
        <v/>
      </c>
      <c r="W90">
        <f>HYPERLINK("https://klasma.github.io/Logging_0980/klagomålsmail/A 2485-2025 FSC-klagomål mail.docx", "A 2485-2025")</f>
        <v/>
      </c>
      <c r="X90">
        <f>HYPERLINK("https://klasma.github.io/Logging_0980/tillsyn/A 2485-2025 tillsynsbegäran.docx", "A 2485-2025")</f>
        <v/>
      </c>
      <c r="Y90">
        <f>HYPERLINK("https://klasma.github.io/Logging_0980/tillsynsmail/A 2485-2025 tillsynsbegäran mail.docx", "A 2485-2025")</f>
        <v/>
      </c>
    </row>
    <row r="91" ht="15" customHeight="1">
      <c r="A91" t="inlineStr">
        <is>
          <t>A 8265-2023</t>
        </is>
      </c>
      <c r="B91" s="1" t="n">
        <v>44974</v>
      </c>
      <c r="C91" s="1" t="n">
        <v>46099</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186-2023</t>
        </is>
      </c>
      <c r="B92" s="1" t="n">
        <v>44928</v>
      </c>
      <c r="C92" s="1" t="n">
        <v>46099</v>
      </c>
      <c r="D92" t="inlineStr">
        <is>
          <t>GOTLANDS LÄN</t>
        </is>
      </c>
      <c r="E92" t="inlineStr">
        <is>
          <t>GOTLAND</t>
        </is>
      </c>
      <c r="G92" t="n">
        <v>2.2</v>
      </c>
      <c r="H92" t="n">
        <v>2</v>
      </c>
      <c r="I92" t="n">
        <v>2</v>
      </c>
      <c r="J92" t="n">
        <v>0</v>
      </c>
      <c r="K92" t="n">
        <v>2</v>
      </c>
      <c r="L92" t="n">
        <v>0</v>
      </c>
      <c r="M92" t="n">
        <v>0</v>
      </c>
      <c r="N92" t="n">
        <v>0</v>
      </c>
      <c r="O92" t="n">
        <v>2</v>
      </c>
      <c r="P92" t="n">
        <v>2</v>
      </c>
      <c r="Q92" t="n">
        <v>4</v>
      </c>
      <c r="R92" s="2" t="inlineStr">
        <is>
          <t>Svartgrön spindling
Vit taggsvamp
Nästrot
Skogsknipprot</t>
        </is>
      </c>
      <c r="S92">
        <f>HYPERLINK("https://klasma.github.io/Logging_0980/artfynd/A 186-2023 artfynd.xlsx", "A 186-2023")</f>
        <v/>
      </c>
      <c r="T92">
        <f>HYPERLINK("https://klasma.github.io/Logging_0980/kartor/A 186-2023 karta.png", "A 186-2023")</f>
        <v/>
      </c>
      <c r="V92">
        <f>HYPERLINK("https://klasma.github.io/Logging_0980/klagomål/A 186-2023 FSC-klagomål.docx", "A 186-2023")</f>
        <v/>
      </c>
      <c r="W92">
        <f>HYPERLINK("https://klasma.github.io/Logging_0980/klagomålsmail/A 186-2023 FSC-klagomål mail.docx", "A 186-2023")</f>
        <v/>
      </c>
      <c r="X92">
        <f>HYPERLINK("https://klasma.github.io/Logging_0980/tillsyn/A 186-2023 tillsynsbegäran.docx", "A 186-2023")</f>
        <v/>
      </c>
      <c r="Y92">
        <f>HYPERLINK("https://klasma.github.io/Logging_0980/tillsynsmail/A 186-2023 tillsynsbegäran mail.docx", "A 186-2023")</f>
        <v/>
      </c>
    </row>
    <row r="93" ht="15" customHeight="1">
      <c r="A93" t="inlineStr">
        <is>
          <t>A 56717-2024</t>
        </is>
      </c>
      <c r="B93" s="1" t="n">
        <v>45628.3166550926</v>
      </c>
      <c r="C93" s="1" t="n">
        <v>46099</v>
      </c>
      <c r="D93" t="inlineStr">
        <is>
          <t>GOTLANDS LÄN</t>
        </is>
      </c>
      <c r="E93" t="inlineStr">
        <is>
          <t>GOTLAND</t>
        </is>
      </c>
      <c r="G93" t="n">
        <v>9.699999999999999</v>
      </c>
      <c r="H93" t="n">
        <v>0</v>
      </c>
      <c r="I93" t="n">
        <v>2</v>
      </c>
      <c r="J93" t="n">
        <v>2</v>
      </c>
      <c r="K93" t="n">
        <v>0</v>
      </c>
      <c r="L93" t="n">
        <v>0</v>
      </c>
      <c r="M93" t="n">
        <v>0</v>
      </c>
      <c r="N93" t="n">
        <v>0</v>
      </c>
      <c r="O93" t="n">
        <v>2</v>
      </c>
      <c r="P93" t="n">
        <v>0</v>
      </c>
      <c r="Q93" t="n">
        <v>4</v>
      </c>
      <c r="R93" s="2" t="inlineStr">
        <is>
          <t>Ekvaxskivling
Odörspindling
Fjällig taggsvamp s.str.
Kattfotslav</t>
        </is>
      </c>
      <c r="S93">
        <f>HYPERLINK("https://klasma.github.io/Logging_0980/artfynd/A 56717-2024 artfynd.xlsx", "A 56717-2024")</f>
        <v/>
      </c>
      <c r="T93">
        <f>HYPERLINK("https://klasma.github.io/Logging_0980/kartor/A 56717-2024 karta.png", "A 56717-2024")</f>
        <v/>
      </c>
      <c r="V93">
        <f>HYPERLINK("https://klasma.github.io/Logging_0980/klagomål/A 56717-2024 FSC-klagomål.docx", "A 56717-2024")</f>
        <v/>
      </c>
      <c r="W93">
        <f>HYPERLINK("https://klasma.github.io/Logging_0980/klagomålsmail/A 56717-2024 FSC-klagomål mail.docx", "A 56717-2024")</f>
        <v/>
      </c>
      <c r="X93">
        <f>HYPERLINK("https://klasma.github.io/Logging_0980/tillsyn/A 56717-2024 tillsynsbegäran.docx", "A 56717-2024")</f>
        <v/>
      </c>
      <c r="Y93">
        <f>HYPERLINK("https://klasma.github.io/Logging_0980/tillsynsmail/A 56717-2024 tillsynsbegäran mail.docx", "A 56717-2024")</f>
        <v/>
      </c>
    </row>
    <row r="94" ht="15" customHeight="1">
      <c r="A94" t="inlineStr">
        <is>
          <t>A 6159-2023</t>
        </is>
      </c>
      <c r="B94" s="1" t="n">
        <v>44964</v>
      </c>
      <c r="C94" s="1" t="n">
        <v>46099</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46099</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46099</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46099</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40099-2025</t>
        </is>
      </c>
      <c r="B98" s="1" t="n">
        <v>45894.48462962963</v>
      </c>
      <c r="C98" s="1" t="n">
        <v>46099</v>
      </c>
      <c r="D98" t="inlineStr">
        <is>
          <t>GOTLANDS LÄN</t>
        </is>
      </c>
      <c r="E98" t="inlineStr">
        <is>
          <t>GOTLAND</t>
        </is>
      </c>
      <c r="G98" t="n">
        <v>6.5</v>
      </c>
      <c r="H98" t="n">
        <v>0</v>
      </c>
      <c r="I98" t="n">
        <v>3</v>
      </c>
      <c r="J98" t="n">
        <v>0</v>
      </c>
      <c r="K98" t="n">
        <v>1</v>
      </c>
      <c r="L98" t="n">
        <v>0</v>
      </c>
      <c r="M98" t="n">
        <v>0</v>
      </c>
      <c r="N98" t="n">
        <v>0</v>
      </c>
      <c r="O98" t="n">
        <v>1</v>
      </c>
      <c r="P98" t="n">
        <v>1</v>
      </c>
      <c r="Q98" t="n">
        <v>4</v>
      </c>
      <c r="R98" s="2" t="inlineStr">
        <is>
          <t>Mörkfjällig olivspindling
Fjällig taggsvamp s.str.
Olivspindling
Svavelriska</t>
        </is>
      </c>
      <c r="S98">
        <f>HYPERLINK("https://klasma.github.io/Logging_0980/artfynd/A 40099-2025 artfynd.xlsx", "A 40099-2025")</f>
        <v/>
      </c>
      <c r="T98">
        <f>HYPERLINK("https://klasma.github.io/Logging_0980/kartor/A 40099-2025 karta.png", "A 40099-2025")</f>
        <v/>
      </c>
      <c r="V98">
        <f>HYPERLINK("https://klasma.github.io/Logging_0980/klagomål/A 40099-2025 FSC-klagomål.docx", "A 40099-2025")</f>
        <v/>
      </c>
      <c r="W98">
        <f>HYPERLINK("https://klasma.github.io/Logging_0980/klagomålsmail/A 40099-2025 FSC-klagomål mail.docx", "A 40099-2025")</f>
        <v/>
      </c>
      <c r="X98">
        <f>HYPERLINK("https://klasma.github.io/Logging_0980/tillsyn/A 40099-2025 tillsynsbegäran.docx", "A 40099-2025")</f>
        <v/>
      </c>
      <c r="Y98">
        <f>HYPERLINK("https://klasma.github.io/Logging_0980/tillsynsmail/A 40099-2025 tillsynsbegäran mail.docx", "A 40099-2025")</f>
        <v/>
      </c>
    </row>
    <row r="99" ht="15" customHeight="1">
      <c r="A99" t="inlineStr">
        <is>
          <t>A 20833-2024</t>
        </is>
      </c>
      <c r="B99" s="1" t="n">
        <v>45439</v>
      </c>
      <c r="C99" s="1" t="n">
        <v>46099</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54523-2023</t>
        </is>
      </c>
      <c r="B100" s="1" t="n">
        <v>45233</v>
      </c>
      <c r="C100" s="1" t="n">
        <v>46099</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6836-2026</t>
        </is>
      </c>
      <c r="B101" s="1" t="n">
        <v>46057.40902777778</v>
      </c>
      <c r="C101" s="1" t="n">
        <v>46099</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57463-2025</t>
        </is>
      </c>
      <c r="B102" s="1" t="n">
        <v>45980.54174768519</v>
      </c>
      <c r="C102" s="1" t="n">
        <v>46099</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46099</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13203-2026</t>
        </is>
      </c>
      <c r="B104" s="1" t="n">
        <v>46093</v>
      </c>
      <c r="C104" s="1" t="n">
        <v>46099</v>
      </c>
      <c r="D104" t="inlineStr">
        <is>
          <t>GOTLANDS LÄN</t>
        </is>
      </c>
      <c r="E104" t="inlineStr">
        <is>
          <t>GOTLAND</t>
        </is>
      </c>
      <c r="G104" t="n">
        <v>4.5</v>
      </c>
      <c r="H104" t="n">
        <v>2</v>
      </c>
      <c r="I104" t="n">
        <v>1</v>
      </c>
      <c r="J104" t="n">
        <v>1</v>
      </c>
      <c r="K104" t="n">
        <v>1</v>
      </c>
      <c r="L104" t="n">
        <v>0</v>
      </c>
      <c r="M104" t="n">
        <v>0</v>
      </c>
      <c r="N104" t="n">
        <v>0</v>
      </c>
      <c r="O104" t="n">
        <v>2</v>
      </c>
      <c r="P104" t="n">
        <v>1</v>
      </c>
      <c r="Q104" t="n">
        <v>4</v>
      </c>
      <c r="R104" s="2" t="inlineStr">
        <is>
          <t>Gotlandsmåra
Svinrot
Nästrot
Grönvit nattviol</t>
        </is>
      </c>
      <c r="S104">
        <f>HYPERLINK("https://klasma.github.io/Logging_0980/artfynd/A 13203-2026 artfynd.xlsx", "A 13203-2026")</f>
        <v/>
      </c>
      <c r="T104">
        <f>HYPERLINK("https://klasma.github.io/Logging_0980/kartor/A 13203-2026 karta.png", "A 13203-2026")</f>
        <v/>
      </c>
      <c r="V104">
        <f>HYPERLINK("https://klasma.github.io/Logging_0980/klagomål/A 13203-2026 FSC-klagomål.docx", "A 13203-2026")</f>
        <v/>
      </c>
      <c r="W104">
        <f>HYPERLINK("https://klasma.github.io/Logging_0980/klagomålsmail/A 13203-2026 FSC-klagomål mail.docx", "A 13203-2026")</f>
        <v/>
      </c>
      <c r="X104">
        <f>HYPERLINK("https://klasma.github.io/Logging_0980/tillsyn/A 13203-2026 tillsynsbegäran.docx", "A 13203-2026")</f>
        <v/>
      </c>
      <c r="Y104">
        <f>HYPERLINK("https://klasma.github.io/Logging_0980/tillsynsmail/A 13203-2026 tillsynsbegäran mail.docx", "A 13203-2026")</f>
        <v/>
      </c>
    </row>
    <row r="105" ht="15" customHeight="1">
      <c r="A105" t="inlineStr">
        <is>
          <t>A 44323-2021</t>
        </is>
      </c>
      <c r="B105" s="1" t="n">
        <v>44434</v>
      </c>
      <c r="C105" s="1" t="n">
        <v>46099</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46099</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46099</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17982-2023</t>
        </is>
      </c>
      <c r="B108" s="1" t="n">
        <v>45040</v>
      </c>
      <c r="C108" s="1" t="n">
        <v>46099</v>
      </c>
      <c r="D108" t="inlineStr">
        <is>
          <t>GOTLANDS LÄN</t>
        </is>
      </c>
      <c r="E108" t="inlineStr">
        <is>
          <t>GOTLAND</t>
        </is>
      </c>
      <c r="G108" t="n">
        <v>2.2</v>
      </c>
      <c r="H108" t="n">
        <v>0</v>
      </c>
      <c r="I108" t="n">
        <v>0</v>
      </c>
      <c r="J108" t="n">
        <v>2</v>
      </c>
      <c r="K108" t="n">
        <v>0</v>
      </c>
      <c r="L108" t="n">
        <v>0</v>
      </c>
      <c r="M108" t="n">
        <v>1</v>
      </c>
      <c r="N108" t="n">
        <v>0</v>
      </c>
      <c r="O108" t="n">
        <v>3</v>
      </c>
      <c r="P108" t="n">
        <v>1</v>
      </c>
      <c r="Q108" t="n">
        <v>3</v>
      </c>
      <c r="R108" s="2" t="inlineStr">
        <is>
          <t>Lundalm
Krusfrö
Ängsskära</t>
        </is>
      </c>
      <c r="S108">
        <f>HYPERLINK("https://klasma.github.io/Logging_0980/artfynd/A 17982-2023 artfynd.xlsx", "A 17982-2023")</f>
        <v/>
      </c>
      <c r="T108">
        <f>HYPERLINK("https://klasma.github.io/Logging_0980/kartor/A 17982-2023 karta.png", "A 17982-2023")</f>
        <v/>
      </c>
      <c r="V108">
        <f>HYPERLINK("https://klasma.github.io/Logging_0980/klagomål/A 17982-2023 FSC-klagomål.docx", "A 17982-2023")</f>
        <v/>
      </c>
      <c r="W108">
        <f>HYPERLINK("https://klasma.github.io/Logging_0980/klagomålsmail/A 17982-2023 FSC-klagomål mail.docx", "A 17982-2023")</f>
        <v/>
      </c>
      <c r="X108">
        <f>HYPERLINK("https://klasma.github.io/Logging_0980/tillsyn/A 17982-2023 tillsynsbegäran.docx", "A 17982-2023")</f>
        <v/>
      </c>
      <c r="Y108">
        <f>HYPERLINK("https://klasma.github.io/Logging_0980/tillsynsmail/A 17982-2023 tillsynsbegäran mail.docx", "A 17982-2023")</f>
        <v/>
      </c>
    </row>
    <row r="109" ht="15" customHeight="1">
      <c r="A109" t="inlineStr">
        <is>
          <t>A 17975-2024</t>
        </is>
      </c>
      <c r="B109" s="1" t="n">
        <v>45419.85546296297</v>
      </c>
      <c r="C109" s="1" t="n">
        <v>46099</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13499-2022</t>
        </is>
      </c>
      <c r="B110" s="1" t="n">
        <v>44647.79203703703</v>
      </c>
      <c r="C110" s="1" t="n">
        <v>46099</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48126-2022</t>
        </is>
      </c>
      <c r="B111" s="1" t="n">
        <v>44857</v>
      </c>
      <c r="C111" s="1" t="n">
        <v>46099</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73144-2021</t>
        </is>
      </c>
      <c r="B112" s="1" t="n">
        <v>44550</v>
      </c>
      <c r="C112" s="1" t="n">
        <v>46099</v>
      </c>
      <c r="D112" t="inlineStr">
        <is>
          <t>GOTLANDS LÄN</t>
        </is>
      </c>
      <c r="E112" t="inlineStr">
        <is>
          <t>GOTLAND</t>
        </is>
      </c>
      <c r="G112" t="n">
        <v>1.9</v>
      </c>
      <c r="H112" t="n">
        <v>0</v>
      </c>
      <c r="I112" t="n">
        <v>1</v>
      </c>
      <c r="J112" t="n">
        <v>1</v>
      </c>
      <c r="K112" t="n">
        <v>1</v>
      </c>
      <c r="L112" t="n">
        <v>0</v>
      </c>
      <c r="M112" t="n">
        <v>0</v>
      </c>
      <c r="N112" t="n">
        <v>0</v>
      </c>
      <c r="O112" t="n">
        <v>2</v>
      </c>
      <c r="P112" t="n">
        <v>1</v>
      </c>
      <c r="Q112" t="n">
        <v>3</v>
      </c>
      <c r="R112" s="2" t="inlineStr">
        <is>
          <t>Skogskorn
Igelkott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43013-2022</t>
        </is>
      </c>
      <c r="B113" s="1" t="n">
        <v>44833</v>
      </c>
      <c r="C113" s="1" t="n">
        <v>46099</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46099</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46099</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12315-2024</t>
        </is>
      </c>
      <c r="B116" s="1" t="n">
        <v>45378.6434837963</v>
      </c>
      <c r="C116" s="1" t="n">
        <v>46099</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46099</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30490-2025</t>
        </is>
      </c>
      <c r="B118" s="1" t="n">
        <v>45830</v>
      </c>
      <c r="C118" s="1" t="n">
        <v>46099</v>
      </c>
      <c r="D118" t="inlineStr">
        <is>
          <t>GOTLANDS LÄN</t>
        </is>
      </c>
      <c r="E118" t="inlineStr">
        <is>
          <t>GOTLAND</t>
        </is>
      </c>
      <c r="G118" t="n">
        <v>7.9</v>
      </c>
      <c r="H118" t="n">
        <v>1</v>
      </c>
      <c r="I118" t="n">
        <v>0</v>
      </c>
      <c r="J118" t="n">
        <v>2</v>
      </c>
      <c r="K118" t="n">
        <v>0</v>
      </c>
      <c r="L118" t="n">
        <v>0</v>
      </c>
      <c r="M118" t="n">
        <v>0</v>
      </c>
      <c r="N118" t="n">
        <v>0</v>
      </c>
      <c r="O118" t="n">
        <v>2</v>
      </c>
      <c r="P118" t="n">
        <v>0</v>
      </c>
      <c r="Q118" t="n">
        <v>3</v>
      </c>
      <c r="R118" s="2" t="inlineStr">
        <is>
          <t>Klasefibbla
Majviva
Nattviol</t>
        </is>
      </c>
      <c r="S118">
        <f>HYPERLINK("https://klasma.github.io/Logging_0980/artfynd/A 30490-2025 artfynd.xlsx", "A 30490-2025")</f>
        <v/>
      </c>
      <c r="T118">
        <f>HYPERLINK("https://klasma.github.io/Logging_0980/kartor/A 30490-2025 karta.png", "A 30490-2025")</f>
        <v/>
      </c>
      <c r="V118">
        <f>HYPERLINK("https://klasma.github.io/Logging_0980/klagomål/A 30490-2025 FSC-klagomål.docx", "A 30490-2025")</f>
        <v/>
      </c>
      <c r="W118">
        <f>HYPERLINK("https://klasma.github.io/Logging_0980/klagomålsmail/A 30490-2025 FSC-klagomål mail.docx", "A 30490-2025")</f>
        <v/>
      </c>
      <c r="X118">
        <f>HYPERLINK("https://klasma.github.io/Logging_0980/tillsyn/A 30490-2025 tillsynsbegäran.docx", "A 30490-2025")</f>
        <v/>
      </c>
      <c r="Y118">
        <f>HYPERLINK("https://klasma.github.io/Logging_0980/tillsynsmail/A 30490-2025 tillsynsbegäran mail.docx", "A 30490-2025")</f>
        <v/>
      </c>
    </row>
    <row r="119" ht="15" customHeight="1">
      <c r="A119" t="inlineStr">
        <is>
          <t>A 49709-2025</t>
        </is>
      </c>
      <c r="B119" s="1" t="n">
        <v>45939.68228009259</v>
      </c>
      <c r="C119" s="1" t="n">
        <v>46099</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20831-2024</t>
        </is>
      </c>
      <c r="B120" s="1" t="n">
        <v>45439</v>
      </c>
      <c r="C120" s="1" t="n">
        <v>46099</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1520-2026</t>
        </is>
      </c>
      <c r="B121" s="1" t="n">
        <v>46034.35891203704</v>
      </c>
      <c r="C121" s="1" t="n">
        <v>46099</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29870-2021</t>
        </is>
      </c>
      <c r="B122" s="1" t="n">
        <v>44362</v>
      </c>
      <c r="C122" s="1" t="n">
        <v>46099</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46099</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46099</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20218-2022</t>
        </is>
      </c>
      <c r="B125" s="1" t="n">
        <v>44698</v>
      </c>
      <c r="C125" s="1" t="n">
        <v>46099</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46099</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54357-2024</t>
        </is>
      </c>
      <c r="B127" s="1" t="n">
        <v>45617.40662037037</v>
      </c>
      <c r="C127" s="1" t="n">
        <v>46099</v>
      </c>
      <c r="D127" t="inlineStr">
        <is>
          <t>GOTLANDS LÄN</t>
        </is>
      </c>
      <c r="E127" t="inlineStr">
        <is>
          <t>GOTLAND</t>
        </is>
      </c>
      <c r="G127" t="n">
        <v>1.5</v>
      </c>
      <c r="H127" t="n">
        <v>1</v>
      </c>
      <c r="I127" t="n">
        <v>0</v>
      </c>
      <c r="J127" t="n">
        <v>1</v>
      </c>
      <c r="K127" t="n">
        <v>0</v>
      </c>
      <c r="L127" t="n">
        <v>0</v>
      </c>
      <c r="M127" t="n">
        <v>0</v>
      </c>
      <c r="N127" t="n">
        <v>0</v>
      </c>
      <c r="O127" t="n">
        <v>1</v>
      </c>
      <c r="P127" t="n">
        <v>0</v>
      </c>
      <c r="Q127" t="n">
        <v>2</v>
      </c>
      <c r="R127" s="2" t="inlineStr">
        <is>
          <t>Loppstarr
Fläcknycklar</t>
        </is>
      </c>
      <c r="S127">
        <f>HYPERLINK("https://klasma.github.io/Logging_0980/artfynd/A 54357-2024 artfynd.xlsx", "A 54357-2024")</f>
        <v/>
      </c>
      <c r="T127">
        <f>HYPERLINK("https://klasma.github.io/Logging_0980/kartor/A 54357-2024 karta.png", "A 54357-2024")</f>
        <v/>
      </c>
      <c r="V127">
        <f>HYPERLINK("https://klasma.github.io/Logging_0980/klagomål/A 54357-2024 FSC-klagomål.docx", "A 54357-2024")</f>
        <v/>
      </c>
      <c r="W127">
        <f>HYPERLINK("https://klasma.github.io/Logging_0980/klagomålsmail/A 54357-2024 FSC-klagomål mail.docx", "A 54357-2024")</f>
        <v/>
      </c>
      <c r="X127">
        <f>HYPERLINK("https://klasma.github.io/Logging_0980/tillsyn/A 54357-2024 tillsynsbegäran.docx", "A 54357-2024")</f>
        <v/>
      </c>
      <c r="Y127">
        <f>HYPERLINK("https://klasma.github.io/Logging_0980/tillsynsmail/A 54357-2024 tillsynsbegäran mail.docx", "A 54357-2024")</f>
        <v/>
      </c>
    </row>
    <row r="128" ht="15" customHeight="1">
      <c r="A128" t="inlineStr">
        <is>
          <t>A 7070-2022</t>
        </is>
      </c>
      <c r="B128" s="1" t="n">
        <v>44603</v>
      </c>
      <c r="C128" s="1" t="n">
        <v>46099</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43219-2023</t>
        </is>
      </c>
      <c r="B129" s="1" t="n">
        <v>45183</v>
      </c>
      <c r="C129" s="1" t="n">
        <v>46099</v>
      </c>
      <c r="D129" t="inlineStr">
        <is>
          <t>GOTLANDS LÄN</t>
        </is>
      </c>
      <c r="E129" t="inlineStr">
        <is>
          <t>GOTLAND</t>
        </is>
      </c>
      <c r="G129" t="n">
        <v>3.6</v>
      </c>
      <c r="H129" t="n">
        <v>1</v>
      </c>
      <c r="I129" t="n">
        <v>0</v>
      </c>
      <c r="J129" t="n">
        <v>1</v>
      </c>
      <c r="K129" t="n">
        <v>0</v>
      </c>
      <c r="L129" t="n">
        <v>0</v>
      </c>
      <c r="M129" t="n">
        <v>0</v>
      </c>
      <c r="N129" t="n">
        <v>0</v>
      </c>
      <c r="O129" t="n">
        <v>1</v>
      </c>
      <c r="P129" t="n">
        <v>0</v>
      </c>
      <c r="Q129" t="n">
        <v>2</v>
      </c>
      <c r="R129" s="2" t="inlineStr">
        <is>
          <t>Axveronika
Skogsduva</t>
        </is>
      </c>
      <c r="S129">
        <f>HYPERLINK("https://klasma.github.io/Logging_0980/artfynd/A 43219-2023 artfynd.xlsx", "A 43219-2023")</f>
        <v/>
      </c>
      <c r="T129">
        <f>HYPERLINK("https://klasma.github.io/Logging_0980/kartor/A 43219-2023 karta.png", "A 43219-2023")</f>
        <v/>
      </c>
      <c r="V129">
        <f>HYPERLINK("https://klasma.github.io/Logging_0980/klagomål/A 43219-2023 FSC-klagomål.docx", "A 43219-2023")</f>
        <v/>
      </c>
      <c r="W129">
        <f>HYPERLINK("https://klasma.github.io/Logging_0980/klagomålsmail/A 43219-2023 FSC-klagomål mail.docx", "A 43219-2023")</f>
        <v/>
      </c>
      <c r="X129">
        <f>HYPERLINK("https://klasma.github.io/Logging_0980/tillsyn/A 43219-2023 tillsynsbegäran.docx", "A 43219-2023")</f>
        <v/>
      </c>
      <c r="Y129">
        <f>HYPERLINK("https://klasma.github.io/Logging_0980/tillsynsmail/A 43219-2023 tillsynsbegäran mail.docx", "A 43219-2023")</f>
        <v/>
      </c>
      <c r="Z129">
        <f>HYPERLINK("https://klasma.github.io/Logging_0980/fåglar/A 43219-2023 prioriterade fågelarter.docx", "A 43219-2023")</f>
        <v/>
      </c>
    </row>
    <row r="130" ht="15" customHeight="1">
      <c r="A130" t="inlineStr">
        <is>
          <t>A 28276-2024</t>
        </is>
      </c>
      <c r="B130" s="1" t="n">
        <v>45477</v>
      </c>
      <c r="C130" s="1" t="n">
        <v>46099</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12914-2025</t>
        </is>
      </c>
      <c r="B131" s="1" t="n">
        <v>45733</v>
      </c>
      <c r="C131" s="1" t="n">
        <v>46099</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46099</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20838-2024</t>
        </is>
      </c>
      <c r="B133" s="1" t="n">
        <v>45439</v>
      </c>
      <c r="C133" s="1" t="n">
        <v>46099</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21879-2025</t>
        </is>
      </c>
      <c r="B134" s="1" t="n">
        <v>45784.40533564815</v>
      </c>
      <c r="C134" s="1" t="n">
        <v>46099</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55649-2024</t>
        </is>
      </c>
      <c r="B135" s="1" t="n">
        <v>45622.63053240741</v>
      </c>
      <c r="C135" s="1" t="n">
        <v>46099</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26077-2024</t>
        </is>
      </c>
      <c r="B136" s="1" t="n">
        <v>45467</v>
      </c>
      <c r="C136" s="1" t="n">
        <v>46099</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20429-2025</t>
        </is>
      </c>
      <c r="B137" s="1" t="n">
        <v>45775.47728009259</v>
      </c>
      <c r="C137" s="1" t="n">
        <v>46099</v>
      </c>
      <c r="D137" t="inlineStr">
        <is>
          <t>GOTLANDS LÄN</t>
        </is>
      </c>
      <c r="E137" t="inlineStr">
        <is>
          <t>GOTLAND</t>
        </is>
      </c>
      <c r="G137" t="n">
        <v>1.4</v>
      </c>
      <c r="H137" t="n">
        <v>2</v>
      </c>
      <c r="I137" t="n">
        <v>0</v>
      </c>
      <c r="J137" t="n">
        <v>0</v>
      </c>
      <c r="K137" t="n">
        <v>0</v>
      </c>
      <c r="L137" t="n">
        <v>0</v>
      </c>
      <c r="M137" t="n">
        <v>0</v>
      </c>
      <c r="N137" t="n">
        <v>0</v>
      </c>
      <c r="O137" t="n">
        <v>0</v>
      </c>
      <c r="P137" t="n">
        <v>0</v>
      </c>
      <c r="Q137" t="n">
        <v>2</v>
      </c>
      <c r="R137" s="2" t="inlineStr">
        <is>
          <t>Lopplummer (aggregat)
Äkta lopplummer</t>
        </is>
      </c>
      <c r="S137">
        <f>HYPERLINK("https://klasma.github.io/Logging_0980/artfynd/A 20429-2025 artfynd.xlsx", "A 20429-2025")</f>
        <v/>
      </c>
      <c r="T137">
        <f>HYPERLINK("https://klasma.github.io/Logging_0980/kartor/A 20429-2025 karta.png", "A 20429-2025")</f>
        <v/>
      </c>
      <c r="V137">
        <f>HYPERLINK("https://klasma.github.io/Logging_0980/klagomål/A 20429-2025 FSC-klagomål.docx", "A 20429-2025")</f>
        <v/>
      </c>
      <c r="W137">
        <f>HYPERLINK("https://klasma.github.io/Logging_0980/klagomålsmail/A 20429-2025 FSC-klagomål mail.docx", "A 20429-2025")</f>
        <v/>
      </c>
      <c r="X137">
        <f>HYPERLINK("https://klasma.github.io/Logging_0980/tillsyn/A 20429-2025 tillsynsbegäran.docx", "A 20429-2025")</f>
        <v/>
      </c>
      <c r="Y137">
        <f>HYPERLINK("https://klasma.github.io/Logging_0980/tillsynsmail/A 20429-2025 tillsynsbegäran mail.docx", "A 20429-2025")</f>
        <v/>
      </c>
    </row>
    <row r="138" ht="15" customHeight="1">
      <c r="A138" t="inlineStr">
        <is>
          <t>A 63162-2025</t>
        </is>
      </c>
      <c r="B138" s="1" t="n">
        <v>46010.37629629629</v>
      </c>
      <c r="C138" s="1" t="n">
        <v>46099</v>
      </c>
      <c r="D138" t="inlineStr">
        <is>
          <t>GOTLANDS LÄN</t>
        </is>
      </c>
      <c r="E138" t="inlineStr">
        <is>
          <t>GOTLAND</t>
        </is>
      </c>
      <c r="G138" t="n">
        <v>3.5</v>
      </c>
      <c r="H138" t="n">
        <v>0</v>
      </c>
      <c r="I138" t="n">
        <v>1</v>
      </c>
      <c r="J138" t="n">
        <v>0</v>
      </c>
      <c r="K138" t="n">
        <v>1</v>
      </c>
      <c r="L138" t="n">
        <v>0</v>
      </c>
      <c r="M138" t="n">
        <v>0</v>
      </c>
      <c r="N138" t="n">
        <v>0</v>
      </c>
      <c r="O138" t="n">
        <v>1</v>
      </c>
      <c r="P138" t="n">
        <v>1</v>
      </c>
      <c r="Q138" t="n">
        <v>2</v>
      </c>
      <c r="R138" s="2" t="inlineStr">
        <is>
          <t>Gotlandsmåra
Myskmadra</t>
        </is>
      </c>
      <c r="S138">
        <f>HYPERLINK("https://klasma.github.io/Logging_0980/artfynd/A 63162-2025 artfynd.xlsx", "A 63162-2025")</f>
        <v/>
      </c>
      <c r="T138">
        <f>HYPERLINK("https://klasma.github.io/Logging_0980/kartor/A 63162-2025 karta.png", "A 63162-2025")</f>
        <v/>
      </c>
      <c r="V138">
        <f>HYPERLINK("https://klasma.github.io/Logging_0980/klagomål/A 63162-2025 FSC-klagomål.docx", "A 63162-2025")</f>
        <v/>
      </c>
      <c r="W138">
        <f>HYPERLINK("https://klasma.github.io/Logging_0980/klagomålsmail/A 63162-2025 FSC-klagomål mail.docx", "A 63162-2025")</f>
        <v/>
      </c>
      <c r="X138">
        <f>HYPERLINK("https://klasma.github.io/Logging_0980/tillsyn/A 63162-2025 tillsynsbegäran.docx", "A 63162-2025")</f>
        <v/>
      </c>
      <c r="Y138">
        <f>HYPERLINK("https://klasma.github.io/Logging_0980/tillsynsmail/A 63162-2025 tillsynsbegäran mail.docx", "A 63162-2025")</f>
        <v/>
      </c>
    </row>
    <row r="139" ht="15" customHeight="1">
      <c r="A139" t="inlineStr">
        <is>
          <t>A 10274-2026</t>
        </is>
      </c>
      <c r="B139" s="1" t="n">
        <v>46076.58261574074</v>
      </c>
      <c r="C139" s="1" t="n">
        <v>46099</v>
      </c>
      <c r="D139" t="inlineStr">
        <is>
          <t>GOTLANDS LÄN</t>
        </is>
      </c>
      <c r="E139" t="inlineStr">
        <is>
          <t>GOTLAND</t>
        </is>
      </c>
      <c r="G139" t="n">
        <v>9.800000000000001</v>
      </c>
      <c r="H139" t="n">
        <v>1</v>
      </c>
      <c r="I139" t="n">
        <v>0</v>
      </c>
      <c r="J139" t="n">
        <v>0</v>
      </c>
      <c r="K139" t="n">
        <v>1</v>
      </c>
      <c r="L139" t="n">
        <v>0</v>
      </c>
      <c r="M139" t="n">
        <v>0</v>
      </c>
      <c r="N139" t="n">
        <v>0</v>
      </c>
      <c r="O139" t="n">
        <v>1</v>
      </c>
      <c r="P139" t="n">
        <v>1</v>
      </c>
      <c r="Q139" t="n">
        <v>2</v>
      </c>
      <c r="R139" s="2" t="inlineStr">
        <is>
          <t>Gråfingerört
Alvarstånds</t>
        </is>
      </c>
      <c r="S139">
        <f>HYPERLINK("https://klasma.github.io/Logging_0980/artfynd/A 10274-2026 artfynd.xlsx", "A 10274-2026")</f>
        <v/>
      </c>
      <c r="T139">
        <f>HYPERLINK("https://klasma.github.io/Logging_0980/kartor/A 10274-2026 karta.png", "A 10274-2026")</f>
        <v/>
      </c>
      <c r="V139">
        <f>HYPERLINK("https://klasma.github.io/Logging_0980/klagomål/A 10274-2026 FSC-klagomål.docx", "A 10274-2026")</f>
        <v/>
      </c>
      <c r="W139">
        <f>HYPERLINK("https://klasma.github.io/Logging_0980/klagomålsmail/A 10274-2026 FSC-klagomål mail.docx", "A 10274-2026")</f>
        <v/>
      </c>
      <c r="X139">
        <f>HYPERLINK("https://klasma.github.io/Logging_0980/tillsyn/A 10274-2026 tillsynsbegäran.docx", "A 10274-2026")</f>
        <v/>
      </c>
      <c r="Y139">
        <f>HYPERLINK("https://klasma.github.io/Logging_0980/tillsynsmail/A 10274-2026 tillsynsbegäran mail.docx", "A 10274-2026")</f>
        <v/>
      </c>
    </row>
    <row r="140" ht="15" customHeight="1">
      <c r="A140" t="inlineStr">
        <is>
          <t>A 62760-2025</t>
        </is>
      </c>
      <c r="B140" s="1" t="n">
        <v>46008</v>
      </c>
      <c r="C140" s="1" t="n">
        <v>46099</v>
      </c>
      <c r="D140" t="inlineStr">
        <is>
          <t>GOTLANDS LÄN</t>
        </is>
      </c>
      <c r="E140" t="inlineStr">
        <is>
          <t>GOTLAND</t>
        </is>
      </c>
      <c r="F140" t="inlineStr">
        <is>
          <t>Övriga Aktiebolag</t>
        </is>
      </c>
      <c r="G140" t="n">
        <v>4.6</v>
      </c>
      <c r="H140" t="n">
        <v>1</v>
      </c>
      <c r="I140" t="n">
        <v>2</v>
      </c>
      <c r="J140" t="n">
        <v>0</v>
      </c>
      <c r="K140" t="n">
        <v>0</v>
      </c>
      <c r="L140" t="n">
        <v>0</v>
      </c>
      <c r="M140" t="n">
        <v>0</v>
      </c>
      <c r="N140" t="n">
        <v>0</v>
      </c>
      <c r="O140" t="n">
        <v>0</v>
      </c>
      <c r="P140" t="n">
        <v>0</v>
      </c>
      <c r="Q140" t="n">
        <v>2</v>
      </c>
      <c r="R140" s="2" t="inlineStr">
        <is>
          <t>Nästrot
Vårärt</t>
        </is>
      </c>
      <c r="S140">
        <f>HYPERLINK("https://klasma.github.io/Logging_0980/artfynd/A 62760-2025 artfynd.xlsx", "A 62760-2025")</f>
        <v/>
      </c>
      <c r="T140">
        <f>HYPERLINK("https://klasma.github.io/Logging_0980/kartor/A 62760-2025 karta.png", "A 62760-2025")</f>
        <v/>
      </c>
      <c r="V140">
        <f>HYPERLINK("https://klasma.github.io/Logging_0980/klagomål/A 62760-2025 FSC-klagomål.docx", "A 62760-2025")</f>
        <v/>
      </c>
      <c r="W140">
        <f>HYPERLINK("https://klasma.github.io/Logging_0980/klagomålsmail/A 62760-2025 FSC-klagomål mail.docx", "A 62760-2025")</f>
        <v/>
      </c>
      <c r="X140">
        <f>HYPERLINK("https://klasma.github.io/Logging_0980/tillsyn/A 62760-2025 tillsynsbegäran.docx", "A 62760-2025")</f>
        <v/>
      </c>
      <c r="Y140">
        <f>HYPERLINK("https://klasma.github.io/Logging_0980/tillsynsmail/A 62760-2025 tillsynsbegäran mail.docx", "A 62760-2025")</f>
        <v/>
      </c>
    </row>
    <row r="141" ht="15" customHeight="1">
      <c r="A141" t="inlineStr">
        <is>
          <t>A 46362-2021</t>
        </is>
      </c>
      <c r="B141" s="1" t="n">
        <v>44442</v>
      </c>
      <c r="C141" s="1" t="n">
        <v>46099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46099</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46099</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1477-2024</t>
        </is>
      </c>
      <c r="B144" s="1" t="n">
        <v>45305.37987268518</v>
      </c>
      <c r="C144" s="1" t="n">
        <v>46099</v>
      </c>
      <c r="D144" t="inlineStr">
        <is>
          <t>GOTLANDS LÄN</t>
        </is>
      </c>
      <c r="E144" t="inlineStr">
        <is>
          <t>GOTLAND</t>
        </is>
      </c>
      <c r="G144" t="n">
        <v>6.9</v>
      </c>
      <c r="H144" t="n">
        <v>0</v>
      </c>
      <c r="I144" t="n">
        <v>0</v>
      </c>
      <c r="J144" t="n">
        <v>1</v>
      </c>
      <c r="K144" t="n">
        <v>0</v>
      </c>
      <c r="L144" t="n">
        <v>0</v>
      </c>
      <c r="M144" t="n">
        <v>0</v>
      </c>
      <c r="N144" t="n">
        <v>0</v>
      </c>
      <c r="O144" t="n">
        <v>1</v>
      </c>
      <c r="P144" t="n">
        <v>0</v>
      </c>
      <c r="Q144" t="n">
        <v>1</v>
      </c>
      <c r="R144" s="2" t="inlineStr">
        <is>
          <t>Igelkott</t>
        </is>
      </c>
      <c r="S144">
        <f>HYPERLINK("https://klasma.github.io/Logging_0980/artfynd/A 1477-2024 artfynd.xlsx", "A 1477-2024")</f>
        <v/>
      </c>
      <c r="T144">
        <f>HYPERLINK("https://klasma.github.io/Logging_0980/kartor/A 1477-2024 karta.png", "A 1477-2024")</f>
        <v/>
      </c>
      <c r="V144">
        <f>HYPERLINK("https://klasma.github.io/Logging_0980/klagomål/A 1477-2024 FSC-klagomål.docx", "A 1477-2024")</f>
        <v/>
      </c>
      <c r="W144">
        <f>HYPERLINK("https://klasma.github.io/Logging_0980/klagomålsmail/A 1477-2024 FSC-klagomål mail.docx", "A 1477-2024")</f>
        <v/>
      </c>
      <c r="X144">
        <f>HYPERLINK("https://klasma.github.io/Logging_0980/tillsyn/A 1477-2024 tillsynsbegäran.docx", "A 1477-2024")</f>
        <v/>
      </c>
      <c r="Y144">
        <f>HYPERLINK("https://klasma.github.io/Logging_0980/tillsynsmail/A 1477-2024 tillsynsbegäran mail.docx", "A 1477-2024")</f>
        <v/>
      </c>
    </row>
    <row r="145" ht="15" customHeight="1">
      <c r="A145" t="inlineStr">
        <is>
          <t>A 35574-2024</t>
        </is>
      </c>
      <c r="B145" s="1" t="n">
        <v>45531</v>
      </c>
      <c r="C145" s="1" t="n">
        <v>46099</v>
      </c>
      <c r="D145" t="inlineStr">
        <is>
          <t>GOTLANDS LÄN</t>
        </is>
      </c>
      <c r="E145" t="inlineStr">
        <is>
          <t>GOTLAND</t>
        </is>
      </c>
      <c r="G145" t="n">
        <v>5.7</v>
      </c>
      <c r="H145" t="n">
        <v>0</v>
      </c>
      <c r="I145" t="n">
        <v>1</v>
      </c>
      <c r="J145" t="n">
        <v>0</v>
      </c>
      <c r="K145" t="n">
        <v>0</v>
      </c>
      <c r="L145" t="n">
        <v>0</v>
      </c>
      <c r="M145" t="n">
        <v>0</v>
      </c>
      <c r="N145" t="n">
        <v>0</v>
      </c>
      <c r="O145" t="n">
        <v>0</v>
      </c>
      <c r="P145" t="n">
        <v>0</v>
      </c>
      <c r="Q145" t="n">
        <v>1</v>
      </c>
      <c r="R145" s="2" t="inlineStr">
        <is>
          <t>Murgröna</t>
        </is>
      </c>
      <c r="S145">
        <f>HYPERLINK("https://klasma.github.io/Logging_0980/artfynd/A 35574-2024 artfynd.xlsx", "A 35574-2024")</f>
        <v/>
      </c>
      <c r="T145">
        <f>HYPERLINK("https://klasma.github.io/Logging_0980/kartor/A 35574-2024 karta.png", "A 35574-2024")</f>
        <v/>
      </c>
      <c r="V145">
        <f>HYPERLINK("https://klasma.github.io/Logging_0980/klagomål/A 35574-2024 FSC-klagomål.docx", "A 35574-2024")</f>
        <v/>
      </c>
      <c r="W145">
        <f>HYPERLINK("https://klasma.github.io/Logging_0980/klagomålsmail/A 35574-2024 FSC-klagomål mail.docx", "A 35574-2024")</f>
        <v/>
      </c>
      <c r="X145">
        <f>HYPERLINK("https://klasma.github.io/Logging_0980/tillsyn/A 35574-2024 tillsynsbegäran.docx", "A 35574-2024")</f>
        <v/>
      </c>
      <c r="Y145">
        <f>HYPERLINK("https://klasma.github.io/Logging_0980/tillsynsmail/A 35574-2024 tillsynsbegäran mail.docx", "A 35574-2024")</f>
        <v/>
      </c>
    </row>
    <row r="146" ht="15" customHeight="1">
      <c r="A146" t="inlineStr">
        <is>
          <t>A 22782-2023</t>
        </is>
      </c>
      <c r="B146" s="1" t="n">
        <v>45072</v>
      </c>
      <c r="C146" s="1" t="n">
        <v>46099</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7637-2025</t>
        </is>
      </c>
      <c r="B147" s="1" t="n">
        <v>45705.77181712963</v>
      </c>
      <c r="C147" s="1" t="n">
        <v>46099</v>
      </c>
      <c r="D147" t="inlineStr">
        <is>
          <t>GOTLANDS LÄN</t>
        </is>
      </c>
      <c r="E147" t="inlineStr">
        <is>
          <t>GOTLAND</t>
        </is>
      </c>
      <c r="G147" t="n">
        <v>3.7</v>
      </c>
      <c r="H147" t="n">
        <v>0</v>
      </c>
      <c r="I147" t="n">
        <v>0</v>
      </c>
      <c r="J147" t="n">
        <v>0</v>
      </c>
      <c r="K147" t="n">
        <v>0</v>
      </c>
      <c r="L147" t="n">
        <v>0</v>
      </c>
      <c r="M147" t="n">
        <v>1</v>
      </c>
      <c r="N147" t="n">
        <v>0</v>
      </c>
      <c r="O147" t="n">
        <v>1</v>
      </c>
      <c r="P147" t="n">
        <v>1</v>
      </c>
      <c r="Q147" t="n">
        <v>1</v>
      </c>
      <c r="R147" s="2" t="inlineStr">
        <is>
          <t>Skogsalm</t>
        </is>
      </c>
      <c r="S147">
        <f>HYPERLINK("https://klasma.github.io/Logging_0980/artfynd/A 7637-2025 artfynd.xlsx", "A 7637-2025")</f>
        <v/>
      </c>
      <c r="T147">
        <f>HYPERLINK("https://klasma.github.io/Logging_0980/kartor/A 7637-2025 karta.png", "A 7637-2025")</f>
        <v/>
      </c>
      <c r="V147">
        <f>HYPERLINK("https://klasma.github.io/Logging_0980/klagomål/A 7637-2025 FSC-klagomål.docx", "A 7637-2025")</f>
        <v/>
      </c>
      <c r="W147">
        <f>HYPERLINK("https://klasma.github.io/Logging_0980/klagomålsmail/A 7637-2025 FSC-klagomål mail.docx", "A 7637-2025")</f>
        <v/>
      </c>
      <c r="X147">
        <f>HYPERLINK("https://klasma.github.io/Logging_0980/tillsyn/A 7637-2025 tillsynsbegäran.docx", "A 7637-2025")</f>
        <v/>
      </c>
      <c r="Y147">
        <f>HYPERLINK("https://klasma.github.io/Logging_0980/tillsynsmail/A 7637-2025 tillsynsbegäran mail.docx", "A 7637-2025")</f>
        <v/>
      </c>
    </row>
    <row r="148" ht="15" customHeight="1">
      <c r="A148" t="inlineStr">
        <is>
          <t>A 15637-2024</t>
        </is>
      </c>
      <c r="B148" s="1" t="n">
        <v>45403.6684837963</v>
      </c>
      <c r="C148" s="1" t="n">
        <v>46099</v>
      </c>
      <c r="D148" t="inlineStr">
        <is>
          <t>GOTLANDS LÄN</t>
        </is>
      </c>
      <c r="E148" t="inlineStr">
        <is>
          <t>GOTLAND</t>
        </is>
      </c>
      <c r="G148" t="n">
        <v>4.1</v>
      </c>
      <c r="H148" t="n">
        <v>1</v>
      </c>
      <c r="I148" t="n">
        <v>0</v>
      </c>
      <c r="J148" t="n">
        <v>0</v>
      </c>
      <c r="K148" t="n">
        <v>0</v>
      </c>
      <c r="L148" t="n">
        <v>0</v>
      </c>
      <c r="M148" t="n">
        <v>0</v>
      </c>
      <c r="N148" t="n">
        <v>0</v>
      </c>
      <c r="O148" t="n">
        <v>0</v>
      </c>
      <c r="P148" t="n">
        <v>0</v>
      </c>
      <c r="Q148" t="n">
        <v>1</v>
      </c>
      <c r="R148" s="2" t="inlineStr">
        <is>
          <t>Blåsippa</t>
        </is>
      </c>
      <c r="S148">
        <f>HYPERLINK("https://klasma.github.io/Logging_0980/artfynd/A 15637-2024 artfynd.xlsx", "A 15637-2024")</f>
        <v/>
      </c>
      <c r="T148">
        <f>HYPERLINK("https://klasma.github.io/Logging_0980/kartor/A 15637-2024 karta.png", "A 15637-2024")</f>
        <v/>
      </c>
      <c r="V148">
        <f>HYPERLINK("https://klasma.github.io/Logging_0980/klagomål/A 15637-2024 FSC-klagomål.docx", "A 15637-2024")</f>
        <v/>
      </c>
      <c r="W148">
        <f>HYPERLINK("https://klasma.github.io/Logging_0980/klagomålsmail/A 15637-2024 FSC-klagomål mail.docx", "A 15637-2024")</f>
        <v/>
      </c>
      <c r="X148">
        <f>HYPERLINK("https://klasma.github.io/Logging_0980/tillsyn/A 15637-2024 tillsynsbegäran.docx", "A 15637-2024")</f>
        <v/>
      </c>
      <c r="Y148">
        <f>HYPERLINK("https://klasma.github.io/Logging_0980/tillsynsmail/A 15637-2024 tillsynsbegäran mail.docx", "A 15637-2024")</f>
        <v/>
      </c>
    </row>
    <row r="149" ht="15" customHeight="1">
      <c r="A149" t="inlineStr">
        <is>
          <t>A 22883-2024</t>
        </is>
      </c>
      <c r="B149" s="1" t="n">
        <v>45448.66368055555</v>
      </c>
      <c r="C149" s="1" t="n">
        <v>46099</v>
      </c>
      <c r="D149" t="inlineStr">
        <is>
          <t>GOTLANDS LÄN</t>
        </is>
      </c>
      <c r="E149" t="inlineStr">
        <is>
          <t>GOTLAND</t>
        </is>
      </c>
      <c r="G149" t="n">
        <v>0.5</v>
      </c>
      <c r="H149" t="n">
        <v>0</v>
      </c>
      <c r="I149" t="n">
        <v>0</v>
      </c>
      <c r="J149" t="n">
        <v>0</v>
      </c>
      <c r="K149" t="n">
        <v>1</v>
      </c>
      <c r="L149" t="n">
        <v>0</v>
      </c>
      <c r="M149" t="n">
        <v>0</v>
      </c>
      <c r="N149" t="n">
        <v>0</v>
      </c>
      <c r="O149" t="n">
        <v>1</v>
      </c>
      <c r="P149" t="n">
        <v>1</v>
      </c>
      <c r="Q149" t="n">
        <v>1</v>
      </c>
      <c r="R149" s="2" t="inlineStr">
        <is>
          <t>Gotlandsmåra</t>
        </is>
      </c>
      <c r="S149">
        <f>HYPERLINK("https://klasma.github.io/Logging_0980/artfynd/A 22883-2024 artfynd.xlsx", "A 22883-2024")</f>
        <v/>
      </c>
      <c r="T149">
        <f>HYPERLINK("https://klasma.github.io/Logging_0980/kartor/A 22883-2024 karta.png", "A 22883-2024")</f>
        <v/>
      </c>
      <c r="V149">
        <f>HYPERLINK("https://klasma.github.io/Logging_0980/klagomål/A 22883-2024 FSC-klagomål.docx", "A 22883-2024")</f>
        <v/>
      </c>
      <c r="W149">
        <f>HYPERLINK("https://klasma.github.io/Logging_0980/klagomålsmail/A 22883-2024 FSC-klagomål mail.docx", "A 22883-2024")</f>
        <v/>
      </c>
      <c r="X149">
        <f>HYPERLINK("https://klasma.github.io/Logging_0980/tillsyn/A 22883-2024 tillsynsbegäran.docx", "A 22883-2024")</f>
        <v/>
      </c>
      <c r="Y149">
        <f>HYPERLINK("https://klasma.github.io/Logging_0980/tillsynsmail/A 22883-2024 tillsynsbegäran mail.docx", "A 22883-2024")</f>
        <v/>
      </c>
    </row>
    <row r="150" ht="15" customHeight="1">
      <c r="A150" t="inlineStr">
        <is>
          <t>A 6303-2024</t>
        </is>
      </c>
      <c r="B150" s="1" t="n">
        <v>45338.35376157407</v>
      </c>
      <c r="C150" s="1" t="n">
        <v>46099</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2476-2025</t>
        </is>
      </c>
      <c r="B151" s="1" t="n">
        <v>45673</v>
      </c>
      <c r="C151" s="1" t="n">
        <v>46099</v>
      </c>
      <c r="D151" t="inlineStr">
        <is>
          <t>GOTLANDS LÄN</t>
        </is>
      </c>
      <c r="E151" t="inlineStr">
        <is>
          <t>GOTLAND</t>
        </is>
      </c>
      <c r="G151" t="n">
        <v>3.1</v>
      </c>
      <c r="H151" t="n">
        <v>0</v>
      </c>
      <c r="I151" t="n">
        <v>1</v>
      </c>
      <c r="J151" t="n">
        <v>0</v>
      </c>
      <c r="K151" t="n">
        <v>0</v>
      </c>
      <c r="L151" t="n">
        <v>0</v>
      </c>
      <c r="M151" t="n">
        <v>0</v>
      </c>
      <c r="N151" t="n">
        <v>0</v>
      </c>
      <c r="O151" t="n">
        <v>0</v>
      </c>
      <c r="P151" t="n">
        <v>0</v>
      </c>
      <c r="Q151" t="n">
        <v>1</v>
      </c>
      <c r="R151" s="2" t="inlineStr">
        <is>
          <t>Kryddspindling</t>
        </is>
      </c>
      <c r="S151">
        <f>HYPERLINK("https://klasma.github.io/Logging_0980/artfynd/A 2476-2025 artfynd.xlsx", "A 2476-2025")</f>
        <v/>
      </c>
      <c r="T151">
        <f>HYPERLINK("https://klasma.github.io/Logging_0980/kartor/A 2476-2025 karta.png", "A 2476-2025")</f>
        <v/>
      </c>
      <c r="V151">
        <f>HYPERLINK("https://klasma.github.io/Logging_0980/klagomål/A 2476-2025 FSC-klagomål.docx", "A 2476-2025")</f>
        <v/>
      </c>
      <c r="W151">
        <f>HYPERLINK("https://klasma.github.io/Logging_0980/klagomålsmail/A 2476-2025 FSC-klagomål mail.docx", "A 2476-2025")</f>
        <v/>
      </c>
      <c r="X151">
        <f>HYPERLINK("https://klasma.github.io/Logging_0980/tillsyn/A 2476-2025 tillsynsbegäran.docx", "A 2476-2025")</f>
        <v/>
      </c>
      <c r="Y151">
        <f>HYPERLINK("https://klasma.github.io/Logging_0980/tillsynsmail/A 2476-2025 tillsynsbegäran mail.docx", "A 2476-2025")</f>
        <v/>
      </c>
    </row>
    <row r="152" ht="15" customHeight="1">
      <c r="A152" t="inlineStr">
        <is>
          <t>A 24245-2022</t>
        </is>
      </c>
      <c r="B152" s="1" t="n">
        <v>44725</v>
      </c>
      <c r="C152" s="1" t="n">
        <v>46099</v>
      </c>
      <c r="D152" t="inlineStr">
        <is>
          <t>GOTLANDS LÄN</t>
        </is>
      </c>
      <c r="E152" t="inlineStr">
        <is>
          <t>GOTLAND</t>
        </is>
      </c>
      <c r="G152" t="n">
        <v>4.9</v>
      </c>
      <c r="H152" t="n">
        <v>0</v>
      </c>
      <c r="I152" t="n">
        <v>0</v>
      </c>
      <c r="J152" t="n">
        <v>0</v>
      </c>
      <c r="K152" t="n">
        <v>0</v>
      </c>
      <c r="L152" t="n">
        <v>1</v>
      </c>
      <c r="M152" t="n">
        <v>0</v>
      </c>
      <c r="N152" t="n">
        <v>0</v>
      </c>
      <c r="O152" t="n">
        <v>1</v>
      </c>
      <c r="P152" t="n">
        <v>1</v>
      </c>
      <c r="Q152" t="n">
        <v>1</v>
      </c>
      <c r="R152" s="2" t="inlineStr">
        <is>
          <t>Slät taggsvamp</t>
        </is>
      </c>
      <c r="S152">
        <f>HYPERLINK("https://klasma.github.io/Logging_0980/artfynd/A 24245-2022 artfynd.xlsx", "A 24245-2022")</f>
        <v/>
      </c>
      <c r="T152">
        <f>HYPERLINK("https://klasma.github.io/Logging_0980/kartor/A 24245-2022 karta.png", "A 24245-2022")</f>
        <v/>
      </c>
      <c r="V152">
        <f>HYPERLINK("https://klasma.github.io/Logging_0980/klagomål/A 24245-2022 FSC-klagomål.docx", "A 24245-2022")</f>
        <v/>
      </c>
      <c r="W152">
        <f>HYPERLINK("https://klasma.github.io/Logging_0980/klagomålsmail/A 24245-2022 FSC-klagomål mail.docx", "A 24245-2022")</f>
        <v/>
      </c>
      <c r="X152">
        <f>HYPERLINK("https://klasma.github.io/Logging_0980/tillsyn/A 24245-2022 tillsynsbegäran.docx", "A 24245-2022")</f>
        <v/>
      </c>
      <c r="Y152">
        <f>HYPERLINK("https://klasma.github.io/Logging_0980/tillsynsmail/A 24245-2022 tillsynsbegäran mail.docx", "A 24245-2022")</f>
        <v/>
      </c>
    </row>
    <row r="153" ht="15" customHeight="1">
      <c r="A153" t="inlineStr">
        <is>
          <t>A 10995-2023</t>
        </is>
      </c>
      <c r="B153" s="1" t="n">
        <v>44986</v>
      </c>
      <c r="C153" s="1" t="n">
        <v>46099</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34809-2024</t>
        </is>
      </c>
      <c r="B154" s="1" t="n">
        <v>45526</v>
      </c>
      <c r="C154" s="1" t="n">
        <v>46099</v>
      </c>
      <c r="D154" t="inlineStr">
        <is>
          <t>GOTLANDS LÄN</t>
        </is>
      </c>
      <c r="E154" t="inlineStr">
        <is>
          <t>GOTLAND</t>
        </is>
      </c>
      <c r="G154" t="n">
        <v>9.9</v>
      </c>
      <c r="H154" t="n">
        <v>1</v>
      </c>
      <c r="I154" t="n">
        <v>0</v>
      </c>
      <c r="J154" t="n">
        <v>1</v>
      </c>
      <c r="K154" t="n">
        <v>0</v>
      </c>
      <c r="L154" t="n">
        <v>0</v>
      </c>
      <c r="M154" t="n">
        <v>0</v>
      </c>
      <c r="N154" t="n">
        <v>0</v>
      </c>
      <c r="O154" t="n">
        <v>1</v>
      </c>
      <c r="P154" t="n">
        <v>0</v>
      </c>
      <c r="Q154" t="n">
        <v>1</v>
      </c>
      <c r="R154" s="2" t="inlineStr">
        <is>
          <t>Brun ögontröst</t>
        </is>
      </c>
      <c r="S154">
        <f>HYPERLINK("https://klasma.github.io/Logging_0980/artfynd/A 34809-2024 artfynd.xlsx", "A 34809-2024")</f>
        <v/>
      </c>
      <c r="T154">
        <f>HYPERLINK("https://klasma.github.io/Logging_0980/kartor/A 34809-2024 karta.png", "A 34809-2024")</f>
        <v/>
      </c>
      <c r="V154">
        <f>HYPERLINK("https://klasma.github.io/Logging_0980/klagomål/A 34809-2024 FSC-klagomål.docx", "A 34809-2024")</f>
        <v/>
      </c>
      <c r="W154">
        <f>HYPERLINK("https://klasma.github.io/Logging_0980/klagomålsmail/A 34809-2024 FSC-klagomål mail.docx", "A 34809-2024")</f>
        <v/>
      </c>
      <c r="X154">
        <f>HYPERLINK("https://klasma.github.io/Logging_0980/tillsyn/A 34809-2024 tillsynsbegäran.docx", "A 34809-2024")</f>
        <v/>
      </c>
      <c r="Y154">
        <f>HYPERLINK("https://klasma.github.io/Logging_0980/tillsynsmail/A 34809-2024 tillsynsbegäran mail.docx", "A 34809-2024")</f>
        <v/>
      </c>
    </row>
    <row r="155" ht="15" customHeight="1">
      <c r="A155" t="inlineStr">
        <is>
          <t>A 12379-2024</t>
        </is>
      </c>
      <c r="B155" s="1" t="n">
        <v>45379.28155092592</v>
      </c>
      <c r="C155" s="1" t="n">
        <v>46099</v>
      </c>
      <c r="D155" t="inlineStr">
        <is>
          <t>GOTLANDS LÄN</t>
        </is>
      </c>
      <c r="E155" t="inlineStr">
        <is>
          <t>GOTLAND</t>
        </is>
      </c>
      <c r="G155" t="n">
        <v>4.4</v>
      </c>
      <c r="H155" t="n">
        <v>0</v>
      </c>
      <c r="I155" t="n">
        <v>0</v>
      </c>
      <c r="J155" t="n">
        <v>1</v>
      </c>
      <c r="K155" t="n">
        <v>0</v>
      </c>
      <c r="L155" t="n">
        <v>0</v>
      </c>
      <c r="M155" t="n">
        <v>0</v>
      </c>
      <c r="N155" t="n">
        <v>0</v>
      </c>
      <c r="O155" t="n">
        <v>1</v>
      </c>
      <c r="P155" t="n">
        <v>0</v>
      </c>
      <c r="Q155" t="n">
        <v>1</v>
      </c>
      <c r="R155" s="2" t="inlineStr">
        <is>
          <t>Svinrot</t>
        </is>
      </c>
      <c r="S155">
        <f>HYPERLINK("https://klasma.github.io/Logging_0980/artfynd/A 12379-2024 artfynd.xlsx", "A 12379-2024")</f>
        <v/>
      </c>
      <c r="T155">
        <f>HYPERLINK("https://klasma.github.io/Logging_0980/kartor/A 12379-2024 karta.png", "A 12379-2024")</f>
        <v/>
      </c>
      <c r="V155">
        <f>HYPERLINK("https://klasma.github.io/Logging_0980/klagomål/A 12379-2024 FSC-klagomål.docx", "A 12379-2024")</f>
        <v/>
      </c>
      <c r="W155">
        <f>HYPERLINK("https://klasma.github.io/Logging_0980/klagomålsmail/A 12379-2024 FSC-klagomål mail.docx", "A 12379-2024")</f>
        <v/>
      </c>
      <c r="X155">
        <f>HYPERLINK("https://klasma.github.io/Logging_0980/tillsyn/A 12379-2024 tillsynsbegäran.docx", "A 12379-2024")</f>
        <v/>
      </c>
      <c r="Y155">
        <f>HYPERLINK("https://klasma.github.io/Logging_0980/tillsynsmail/A 12379-2024 tillsynsbegäran mail.docx", "A 12379-2024")</f>
        <v/>
      </c>
    </row>
    <row r="156" ht="15" customHeight="1">
      <c r="A156" t="inlineStr">
        <is>
          <t>A 62552-2022</t>
        </is>
      </c>
      <c r="B156" s="1" t="n">
        <v>44924</v>
      </c>
      <c r="C156" s="1" t="n">
        <v>46099</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49847-2023</t>
        </is>
      </c>
      <c r="B157" s="1" t="n">
        <v>45212</v>
      </c>
      <c r="C157" s="1" t="n">
        <v>46099</v>
      </c>
      <c r="D157" t="inlineStr">
        <is>
          <t>GOTLANDS LÄN</t>
        </is>
      </c>
      <c r="E157" t="inlineStr">
        <is>
          <t>GOTLAND</t>
        </is>
      </c>
      <c r="G157" t="n">
        <v>35.2</v>
      </c>
      <c r="H157" t="n">
        <v>0</v>
      </c>
      <c r="I157" t="n">
        <v>0</v>
      </c>
      <c r="J157" t="n">
        <v>0</v>
      </c>
      <c r="K157" t="n">
        <v>1</v>
      </c>
      <c r="L157" t="n">
        <v>0</v>
      </c>
      <c r="M157" t="n">
        <v>0</v>
      </c>
      <c r="N157" t="n">
        <v>0</v>
      </c>
      <c r="O157" t="n">
        <v>1</v>
      </c>
      <c r="P157" t="n">
        <v>1</v>
      </c>
      <c r="Q157" t="n">
        <v>1</v>
      </c>
      <c r="R157" s="2" t="inlineStr">
        <is>
          <t>Strandviol</t>
        </is>
      </c>
      <c r="S157">
        <f>HYPERLINK("https://klasma.github.io/Logging_0980/artfynd/A 49847-2023 artfynd.xlsx", "A 49847-2023")</f>
        <v/>
      </c>
      <c r="T157">
        <f>HYPERLINK("https://klasma.github.io/Logging_0980/kartor/A 49847-2023 karta.png", "A 49847-2023")</f>
        <v/>
      </c>
      <c r="V157">
        <f>HYPERLINK("https://klasma.github.io/Logging_0980/klagomål/A 49847-2023 FSC-klagomål.docx", "A 49847-2023")</f>
        <v/>
      </c>
      <c r="W157">
        <f>HYPERLINK("https://klasma.github.io/Logging_0980/klagomålsmail/A 49847-2023 FSC-klagomål mail.docx", "A 49847-2023")</f>
        <v/>
      </c>
      <c r="X157">
        <f>HYPERLINK("https://klasma.github.io/Logging_0980/tillsyn/A 49847-2023 tillsynsbegäran.docx", "A 49847-2023")</f>
        <v/>
      </c>
      <c r="Y157">
        <f>HYPERLINK("https://klasma.github.io/Logging_0980/tillsynsmail/A 49847-2023 tillsynsbegäran mail.docx", "A 49847-2023")</f>
        <v/>
      </c>
    </row>
    <row r="158" ht="15" customHeight="1">
      <c r="A158" t="inlineStr">
        <is>
          <t>A 17723-2021</t>
        </is>
      </c>
      <c r="B158" s="1" t="n">
        <v>44300</v>
      </c>
      <c r="C158" s="1" t="n">
        <v>46099</v>
      </c>
      <c r="D158" t="inlineStr">
        <is>
          <t>GOTLANDS LÄN</t>
        </is>
      </c>
      <c r="E158" t="inlineStr">
        <is>
          <t>GOTLAND</t>
        </is>
      </c>
      <c r="G158" t="n">
        <v>1.5</v>
      </c>
      <c r="H158" t="n">
        <v>1</v>
      </c>
      <c r="I158" t="n">
        <v>1</v>
      </c>
      <c r="J158" t="n">
        <v>0</v>
      </c>
      <c r="K158" t="n">
        <v>0</v>
      </c>
      <c r="L158" t="n">
        <v>0</v>
      </c>
      <c r="M158" t="n">
        <v>0</v>
      </c>
      <c r="N158" t="n">
        <v>0</v>
      </c>
      <c r="O158" t="n">
        <v>0</v>
      </c>
      <c r="P158" t="n">
        <v>0</v>
      </c>
      <c r="Q158" t="n">
        <v>1</v>
      </c>
      <c r="R158" s="2" t="inlineStr">
        <is>
          <t>Vit skogslilja</t>
        </is>
      </c>
      <c r="S158">
        <f>HYPERLINK("https://klasma.github.io/Logging_0980/artfynd/A 17723-2021 artfynd.xlsx", "A 17723-2021")</f>
        <v/>
      </c>
      <c r="T158">
        <f>HYPERLINK("https://klasma.github.io/Logging_0980/kartor/A 17723-2021 karta.png", "A 17723-2021")</f>
        <v/>
      </c>
      <c r="V158">
        <f>HYPERLINK("https://klasma.github.io/Logging_0980/klagomål/A 17723-2021 FSC-klagomål.docx", "A 17723-2021")</f>
        <v/>
      </c>
      <c r="W158">
        <f>HYPERLINK("https://klasma.github.io/Logging_0980/klagomålsmail/A 17723-2021 FSC-klagomål mail.docx", "A 17723-2021")</f>
        <v/>
      </c>
      <c r="X158">
        <f>HYPERLINK("https://klasma.github.io/Logging_0980/tillsyn/A 17723-2021 tillsynsbegäran.docx", "A 17723-2021")</f>
        <v/>
      </c>
      <c r="Y158">
        <f>HYPERLINK("https://klasma.github.io/Logging_0980/tillsynsmail/A 17723-2021 tillsynsbegäran mail.docx", "A 17723-2021")</f>
        <v/>
      </c>
    </row>
    <row r="159" ht="15" customHeight="1">
      <c r="A159" t="inlineStr">
        <is>
          <t>A 44088-2022</t>
        </is>
      </c>
      <c r="B159" s="1" t="n">
        <v>44839</v>
      </c>
      <c r="C159" s="1" t="n">
        <v>46099</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46527-2023</t>
        </is>
      </c>
      <c r="B160" s="1" t="n">
        <v>45197</v>
      </c>
      <c r="C160" s="1" t="n">
        <v>46099</v>
      </c>
      <c r="D160" t="inlineStr">
        <is>
          <t>GOTLANDS LÄN</t>
        </is>
      </c>
      <c r="E160" t="inlineStr">
        <is>
          <t>GOTLAND</t>
        </is>
      </c>
      <c r="G160" t="n">
        <v>0.9</v>
      </c>
      <c r="H160" t="n">
        <v>0</v>
      </c>
      <c r="I160" t="n">
        <v>0</v>
      </c>
      <c r="J160" t="n">
        <v>1</v>
      </c>
      <c r="K160" t="n">
        <v>0</v>
      </c>
      <c r="L160" t="n">
        <v>0</v>
      </c>
      <c r="M160" t="n">
        <v>0</v>
      </c>
      <c r="N160" t="n">
        <v>0</v>
      </c>
      <c r="O160" t="n">
        <v>1</v>
      </c>
      <c r="P160" t="n">
        <v>0</v>
      </c>
      <c r="Q160" t="n">
        <v>1</v>
      </c>
      <c r="R160" s="2" t="inlineStr">
        <is>
          <t>Guldgräshoppa</t>
        </is>
      </c>
      <c r="S160">
        <f>HYPERLINK("https://klasma.github.io/Logging_0980/artfynd/A 46527-2023 artfynd.xlsx", "A 46527-2023")</f>
        <v/>
      </c>
      <c r="T160">
        <f>HYPERLINK("https://klasma.github.io/Logging_0980/kartor/A 46527-2023 karta.png", "A 46527-2023")</f>
        <v/>
      </c>
      <c r="V160">
        <f>HYPERLINK("https://klasma.github.io/Logging_0980/klagomål/A 46527-2023 FSC-klagomål.docx", "A 46527-2023")</f>
        <v/>
      </c>
      <c r="W160">
        <f>HYPERLINK("https://klasma.github.io/Logging_0980/klagomålsmail/A 46527-2023 FSC-klagomål mail.docx", "A 46527-2023")</f>
        <v/>
      </c>
      <c r="X160">
        <f>HYPERLINK("https://klasma.github.io/Logging_0980/tillsyn/A 46527-2023 tillsynsbegäran.docx", "A 46527-2023")</f>
        <v/>
      </c>
      <c r="Y160">
        <f>HYPERLINK("https://klasma.github.io/Logging_0980/tillsynsmail/A 46527-2023 tillsynsbegäran mail.docx", "A 46527-2023")</f>
        <v/>
      </c>
    </row>
    <row r="161" ht="15" customHeight="1">
      <c r="A161" t="inlineStr">
        <is>
          <t>A 12324-2025</t>
        </is>
      </c>
      <c r="B161" s="1" t="n">
        <v>45730</v>
      </c>
      <c r="C161" s="1" t="n">
        <v>46099</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44308-2021</t>
        </is>
      </c>
      <c r="B162" s="1" t="n">
        <v>44434</v>
      </c>
      <c r="C162" s="1" t="n">
        <v>46099</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37591-2023</t>
        </is>
      </c>
      <c r="B163" s="1" t="n">
        <v>45159</v>
      </c>
      <c r="C163" s="1" t="n">
        <v>46099</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447-2023</t>
        </is>
      </c>
      <c r="B164" s="1" t="n">
        <v>44929</v>
      </c>
      <c r="C164" s="1" t="n">
        <v>46099</v>
      </c>
      <c r="D164" t="inlineStr">
        <is>
          <t>GOTLANDS LÄN</t>
        </is>
      </c>
      <c r="E164" t="inlineStr">
        <is>
          <t>GOTLAND</t>
        </is>
      </c>
      <c r="G164" t="n">
        <v>5.1</v>
      </c>
      <c r="H164" t="n">
        <v>0</v>
      </c>
      <c r="I164" t="n">
        <v>0</v>
      </c>
      <c r="J164" t="n">
        <v>1</v>
      </c>
      <c r="K164" t="n">
        <v>0</v>
      </c>
      <c r="L164" t="n">
        <v>0</v>
      </c>
      <c r="M164" t="n">
        <v>0</v>
      </c>
      <c r="N164" t="n">
        <v>0</v>
      </c>
      <c r="O164" t="n">
        <v>1</v>
      </c>
      <c r="P164" t="n">
        <v>0</v>
      </c>
      <c r="Q164" t="n">
        <v>1</v>
      </c>
      <c r="R164" s="2" t="inlineStr">
        <is>
          <t>Äggspindling</t>
        </is>
      </c>
      <c r="S164">
        <f>HYPERLINK("https://klasma.github.io/Logging_0980/artfynd/A 447-2023 artfynd.xlsx", "A 447-2023")</f>
        <v/>
      </c>
      <c r="T164">
        <f>HYPERLINK("https://klasma.github.io/Logging_0980/kartor/A 447-2023 karta.png", "A 447-2023")</f>
        <v/>
      </c>
      <c r="V164">
        <f>HYPERLINK("https://klasma.github.io/Logging_0980/klagomål/A 447-2023 FSC-klagomål.docx", "A 447-2023")</f>
        <v/>
      </c>
      <c r="W164">
        <f>HYPERLINK("https://klasma.github.io/Logging_0980/klagomålsmail/A 447-2023 FSC-klagomål mail.docx", "A 447-2023")</f>
        <v/>
      </c>
      <c r="X164">
        <f>HYPERLINK("https://klasma.github.io/Logging_0980/tillsyn/A 447-2023 tillsynsbegäran.docx", "A 447-2023")</f>
        <v/>
      </c>
      <c r="Y164">
        <f>HYPERLINK("https://klasma.github.io/Logging_0980/tillsynsmail/A 447-2023 tillsynsbegäran mail.docx", "A 447-2023")</f>
        <v/>
      </c>
    </row>
    <row r="165" ht="15" customHeight="1">
      <c r="A165" t="inlineStr">
        <is>
          <t>A 61561-2023</t>
        </is>
      </c>
      <c r="B165" s="1" t="n">
        <v>45265</v>
      </c>
      <c r="C165" s="1" t="n">
        <v>46099</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21466-2025</t>
        </is>
      </c>
      <c r="B166" s="1" t="n">
        <v>45782</v>
      </c>
      <c r="C166" s="1" t="n">
        <v>46099</v>
      </c>
      <c r="D166" t="inlineStr">
        <is>
          <t>GOTLANDS LÄN</t>
        </is>
      </c>
      <c r="E166" t="inlineStr">
        <is>
          <t>GOTLAND</t>
        </is>
      </c>
      <c r="F166" t="inlineStr">
        <is>
          <t>Övriga statliga verk och myndigheter</t>
        </is>
      </c>
      <c r="G166" t="n">
        <v>1.7</v>
      </c>
      <c r="H166" t="n">
        <v>1</v>
      </c>
      <c r="I166" t="n">
        <v>0</v>
      </c>
      <c r="J166" t="n">
        <v>0</v>
      </c>
      <c r="K166" t="n">
        <v>0</v>
      </c>
      <c r="L166" t="n">
        <v>0</v>
      </c>
      <c r="M166" t="n">
        <v>0</v>
      </c>
      <c r="N166" t="n">
        <v>0</v>
      </c>
      <c r="O166" t="n">
        <v>0</v>
      </c>
      <c r="P166" t="n">
        <v>0</v>
      </c>
      <c r="Q166" t="n">
        <v>1</v>
      </c>
      <c r="R166" s="2" t="inlineStr">
        <is>
          <t>Blåsippa</t>
        </is>
      </c>
      <c r="S166">
        <f>HYPERLINK("https://klasma.github.io/Logging_0980/artfynd/A 21466-2025 artfynd.xlsx", "A 21466-2025")</f>
        <v/>
      </c>
      <c r="T166">
        <f>HYPERLINK("https://klasma.github.io/Logging_0980/kartor/A 21466-2025 karta.png", "A 21466-2025")</f>
        <v/>
      </c>
      <c r="V166">
        <f>HYPERLINK("https://klasma.github.io/Logging_0980/klagomål/A 21466-2025 FSC-klagomål.docx", "A 21466-2025")</f>
        <v/>
      </c>
      <c r="W166">
        <f>HYPERLINK("https://klasma.github.io/Logging_0980/klagomålsmail/A 21466-2025 FSC-klagomål mail.docx", "A 21466-2025")</f>
        <v/>
      </c>
      <c r="X166">
        <f>HYPERLINK("https://klasma.github.io/Logging_0980/tillsyn/A 21466-2025 tillsynsbegäran.docx", "A 21466-2025")</f>
        <v/>
      </c>
      <c r="Y166">
        <f>HYPERLINK("https://klasma.github.io/Logging_0980/tillsynsmail/A 21466-2025 tillsynsbegäran mail.docx", "A 21466-2025")</f>
        <v/>
      </c>
    </row>
    <row r="167" ht="15" customHeight="1">
      <c r="A167" t="inlineStr">
        <is>
          <t>A 947-2023</t>
        </is>
      </c>
      <c r="B167" s="1" t="n">
        <v>44934</v>
      </c>
      <c r="C167" s="1" t="n">
        <v>46099</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44304-2021</t>
        </is>
      </c>
      <c r="B168" s="1" t="n">
        <v>44434</v>
      </c>
      <c r="C168" s="1" t="n">
        <v>46099</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49304-2024</t>
        </is>
      </c>
      <c r="B169" s="1" t="n">
        <v>45595.54996527778</v>
      </c>
      <c r="C169" s="1" t="n">
        <v>46099</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10440-2024</t>
        </is>
      </c>
      <c r="B170" s="1" t="n">
        <v>45366.32818287037</v>
      </c>
      <c r="C170" s="1" t="n">
        <v>46099</v>
      </c>
      <c r="D170" t="inlineStr">
        <is>
          <t>GOTLANDS LÄN</t>
        </is>
      </c>
      <c r="E170" t="inlineStr">
        <is>
          <t>GOTLAND</t>
        </is>
      </c>
      <c r="G170" t="n">
        <v>2.5</v>
      </c>
      <c r="H170" t="n">
        <v>1</v>
      </c>
      <c r="I170" t="n">
        <v>0</v>
      </c>
      <c r="J170" t="n">
        <v>1</v>
      </c>
      <c r="K170" t="n">
        <v>0</v>
      </c>
      <c r="L170" t="n">
        <v>0</v>
      </c>
      <c r="M170" t="n">
        <v>0</v>
      </c>
      <c r="N170" t="n">
        <v>0</v>
      </c>
      <c r="O170" t="n">
        <v>1</v>
      </c>
      <c r="P170" t="n">
        <v>0</v>
      </c>
      <c r="Q170" t="n">
        <v>1</v>
      </c>
      <c r="R170" s="2" t="inlineStr">
        <is>
          <t>Mindre hackspett</t>
        </is>
      </c>
      <c r="S170">
        <f>HYPERLINK("https://klasma.github.io/Logging_0980/artfynd/A 10440-2024 artfynd.xlsx", "A 10440-2024")</f>
        <v/>
      </c>
      <c r="T170">
        <f>HYPERLINK("https://klasma.github.io/Logging_0980/kartor/A 10440-2024 karta.png", "A 10440-2024")</f>
        <v/>
      </c>
      <c r="V170">
        <f>HYPERLINK("https://klasma.github.io/Logging_0980/klagomål/A 10440-2024 FSC-klagomål.docx", "A 10440-2024")</f>
        <v/>
      </c>
      <c r="W170">
        <f>HYPERLINK("https://klasma.github.io/Logging_0980/klagomålsmail/A 10440-2024 FSC-klagomål mail.docx", "A 10440-2024")</f>
        <v/>
      </c>
      <c r="X170">
        <f>HYPERLINK("https://klasma.github.io/Logging_0980/tillsyn/A 10440-2024 tillsynsbegäran.docx", "A 10440-2024")</f>
        <v/>
      </c>
      <c r="Y170">
        <f>HYPERLINK("https://klasma.github.io/Logging_0980/tillsynsmail/A 10440-2024 tillsynsbegäran mail.docx", "A 10440-2024")</f>
        <v/>
      </c>
      <c r="Z170">
        <f>HYPERLINK("https://klasma.github.io/Logging_0980/fåglar/A 10440-2024 prioriterade fågelarter.docx", "A 10440-2024")</f>
        <v/>
      </c>
    </row>
    <row r="171" ht="15" customHeight="1">
      <c r="A171" t="inlineStr">
        <is>
          <t>A 63576-2021</t>
        </is>
      </c>
      <c r="B171" s="1" t="n">
        <v>44508</v>
      </c>
      <c r="C171" s="1" t="n">
        <v>46099</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46099</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13939-2021</t>
        </is>
      </c>
      <c r="B173" s="1" t="n">
        <v>44277</v>
      </c>
      <c r="C173" s="1" t="n">
        <v>46099</v>
      </c>
      <c r="D173" t="inlineStr">
        <is>
          <t>GOTLANDS LÄN</t>
        </is>
      </c>
      <c r="E173" t="inlineStr">
        <is>
          <t>GOTLAND</t>
        </is>
      </c>
      <c r="G173" t="n">
        <v>1</v>
      </c>
      <c r="H173" t="n">
        <v>0</v>
      </c>
      <c r="I173" t="n">
        <v>0</v>
      </c>
      <c r="J173" t="n">
        <v>1</v>
      </c>
      <c r="K173" t="n">
        <v>0</v>
      </c>
      <c r="L173" t="n">
        <v>0</v>
      </c>
      <c r="M173" t="n">
        <v>0</v>
      </c>
      <c r="N173" t="n">
        <v>0</v>
      </c>
      <c r="O173" t="n">
        <v>1</v>
      </c>
      <c r="P173" t="n">
        <v>0</v>
      </c>
      <c r="Q173" t="n">
        <v>1</v>
      </c>
      <c r="R173" s="2" t="inlineStr">
        <is>
          <t>Axveronika</t>
        </is>
      </c>
      <c r="S173">
        <f>HYPERLINK("https://klasma.github.io/Logging_0980/artfynd/A 13939-2021 artfynd.xlsx", "A 13939-2021")</f>
        <v/>
      </c>
      <c r="T173">
        <f>HYPERLINK("https://klasma.github.io/Logging_0980/kartor/A 13939-2021 karta.png", "A 13939-2021")</f>
        <v/>
      </c>
      <c r="V173">
        <f>HYPERLINK("https://klasma.github.io/Logging_0980/klagomål/A 13939-2021 FSC-klagomål.docx", "A 13939-2021")</f>
        <v/>
      </c>
      <c r="W173">
        <f>HYPERLINK("https://klasma.github.io/Logging_0980/klagomålsmail/A 13939-2021 FSC-klagomål mail.docx", "A 13939-2021")</f>
        <v/>
      </c>
      <c r="X173">
        <f>HYPERLINK("https://klasma.github.io/Logging_0980/tillsyn/A 13939-2021 tillsynsbegäran.docx", "A 13939-2021")</f>
        <v/>
      </c>
      <c r="Y173">
        <f>HYPERLINK("https://klasma.github.io/Logging_0980/tillsynsmail/A 13939-2021 tillsynsbegäran mail.docx", "A 13939-2021")</f>
        <v/>
      </c>
    </row>
    <row r="174" ht="15" customHeight="1">
      <c r="A174" t="inlineStr">
        <is>
          <t>A 27589-2023</t>
        </is>
      </c>
      <c r="B174" s="1" t="n">
        <v>45097</v>
      </c>
      <c r="C174" s="1" t="n">
        <v>46099</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35467-2021</t>
        </is>
      </c>
      <c r="B175" s="1" t="n">
        <v>44385</v>
      </c>
      <c r="C175" s="1" t="n">
        <v>46099</v>
      </c>
      <c r="D175" t="inlineStr">
        <is>
          <t>GOTLANDS LÄN</t>
        </is>
      </c>
      <c r="E175" t="inlineStr">
        <is>
          <t>GOTLAND</t>
        </is>
      </c>
      <c r="G175" t="n">
        <v>12.7</v>
      </c>
      <c r="H175" t="n">
        <v>0</v>
      </c>
      <c r="I175" t="n">
        <v>0</v>
      </c>
      <c r="J175" t="n">
        <v>1</v>
      </c>
      <c r="K175" t="n">
        <v>0</v>
      </c>
      <c r="L175" t="n">
        <v>0</v>
      </c>
      <c r="M175" t="n">
        <v>0</v>
      </c>
      <c r="N175" t="n">
        <v>0</v>
      </c>
      <c r="O175" t="n">
        <v>1</v>
      </c>
      <c r="P175" t="n">
        <v>0</v>
      </c>
      <c r="Q175" t="n">
        <v>1</v>
      </c>
      <c r="R175" s="2" t="inlineStr">
        <is>
          <t>Loppstarr</t>
        </is>
      </c>
      <c r="S175">
        <f>HYPERLINK("https://klasma.github.io/Logging_0980/artfynd/A 35467-2021 artfynd.xlsx", "A 35467-2021")</f>
        <v/>
      </c>
      <c r="T175">
        <f>HYPERLINK("https://klasma.github.io/Logging_0980/kartor/A 35467-2021 karta.png", "A 35467-2021")</f>
        <v/>
      </c>
      <c r="V175">
        <f>HYPERLINK("https://klasma.github.io/Logging_0980/klagomål/A 35467-2021 FSC-klagomål.docx", "A 35467-2021")</f>
        <v/>
      </c>
      <c r="W175">
        <f>HYPERLINK("https://klasma.github.io/Logging_0980/klagomålsmail/A 35467-2021 FSC-klagomål mail.docx", "A 35467-2021")</f>
        <v/>
      </c>
      <c r="X175">
        <f>HYPERLINK("https://klasma.github.io/Logging_0980/tillsyn/A 35467-2021 tillsynsbegäran.docx", "A 35467-2021")</f>
        <v/>
      </c>
      <c r="Y175">
        <f>HYPERLINK("https://klasma.github.io/Logging_0980/tillsynsmail/A 35467-2021 tillsynsbegäran mail.docx", "A 35467-2021")</f>
        <v/>
      </c>
    </row>
    <row r="176" ht="15" customHeight="1">
      <c r="A176" t="inlineStr">
        <is>
          <t>A 44619-2025</t>
        </is>
      </c>
      <c r="B176" s="1" t="n">
        <v>45917</v>
      </c>
      <c r="C176" s="1" t="n">
        <v>46099</v>
      </c>
      <c r="D176" t="inlineStr">
        <is>
          <t>GOTLANDS LÄN</t>
        </is>
      </c>
      <c r="E176" t="inlineStr">
        <is>
          <t>GOTLAND</t>
        </is>
      </c>
      <c r="G176" t="n">
        <v>4.3</v>
      </c>
      <c r="H176" t="n">
        <v>0</v>
      </c>
      <c r="I176" t="n">
        <v>1</v>
      </c>
      <c r="J176" t="n">
        <v>0</v>
      </c>
      <c r="K176" t="n">
        <v>0</v>
      </c>
      <c r="L176" t="n">
        <v>0</v>
      </c>
      <c r="M176" t="n">
        <v>0</v>
      </c>
      <c r="N176" t="n">
        <v>0</v>
      </c>
      <c r="O176" t="n">
        <v>0</v>
      </c>
      <c r="P176" t="n">
        <v>0</v>
      </c>
      <c r="Q176" t="n">
        <v>1</v>
      </c>
      <c r="R176" s="2" t="inlineStr">
        <is>
          <t>Ögonpyrola</t>
        </is>
      </c>
      <c r="S176">
        <f>HYPERLINK("https://klasma.github.io/Logging_0980/artfynd/A 44619-2025 artfynd.xlsx", "A 44619-2025")</f>
        <v/>
      </c>
      <c r="T176">
        <f>HYPERLINK("https://klasma.github.io/Logging_0980/kartor/A 44619-2025 karta.png", "A 44619-2025")</f>
        <v/>
      </c>
      <c r="V176">
        <f>HYPERLINK("https://klasma.github.io/Logging_0980/klagomål/A 44619-2025 FSC-klagomål.docx", "A 44619-2025")</f>
        <v/>
      </c>
      <c r="W176">
        <f>HYPERLINK("https://klasma.github.io/Logging_0980/klagomålsmail/A 44619-2025 FSC-klagomål mail.docx", "A 44619-2025")</f>
        <v/>
      </c>
      <c r="X176">
        <f>HYPERLINK("https://klasma.github.io/Logging_0980/tillsyn/A 44619-2025 tillsynsbegäran.docx", "A 44619-2025")</f>
        <v/>
      </c>
      <c r="Y176">
        <f>HYPERLINK("https://klasma.github.io/Logging_0980/tillsynsmail/A 44619-2025 tillsynsbegäran mail.docx", "A 44619-2025")</f>
        <v/>
      </c>
    </row>
    <row r="177" ht="15" customHeight="1">
      <c r="A177" t="inlineStr">
        <is>
          <t>A 25977-2024</t>
        </is>
      </c>
      <c r="B177" s="1" t="n">
        <v>45467.69356481481</v>
      </c>
      <c r="C177" s="1" t="n">
        <v>46099</v>
      </c>
      <c r="D177" t="inlineStr">
        <is>
          <t>GOTLANDS LÄN</t>
        </is>
      </c>
      <c r="E177" t="inlineStr">
        <is>
          <t>GOTLAND</t>
        </is>
      </c>
      <c r="G177" t="n">
        <v>3</v>
      </c>
      <c r="H177" t="n">
        <v>1</v>
      </c>
      <c r="I177" t="n">
        <v>0</v>
      </c>
      <c r="J177" t="n">
        <v>0</v>
      </c>
      <c r="K177" t="n">
        <v>0</v>
      </c>
      <c r="L177" t="n">
        <v>0</v>
      </c>
      <c r="M177" t="n">
        <v>0</v>
      </c>
      <c r="N177" t="n">
        <v>0</v>
      </c>
      <c r="O177" t="n">
        <v>0</v>
      </c>
      <c r="P177" t="n">
        <v>0</v>
      </c>
      <c r="Q177" t="n">
        <v>1</v>
      </c>
      <c r="R177" s="2" t="inlineStr">
        <is>
          <t>Nattviol</t>
        </is>
      </c>
      <c r="S177">
        <f>HYPERLINK("https://klasma.github.io/Logging_0980/artfynd/A 25977-2024 artfynd.xlsx", "A 25977-2024")</f>
        <v/>
      </c>
      <c r="T177">
        <f>HYPERLINK("https://klasma.github.io/Logging_0980/kartor/A 25977-2024 karta.png", "A 25977-2024")</f>
        <v/>
      </c>
      <c r="V177">
        <f>HYPERLINK("https://klasma.github.io/Logging_0980/klagomål/A 25977-2024 FSC-klagomål.docx", "A 25977-2024")</f>
        <v/>
      </c>
      <c r="W177">
        <f>HYPERLINK("https://klasma.github.io/Logging_0980/klagomålsmail/A 25977-2024 FSC-klagomål mail.docx", "A 25977-2024")</f>
        <v/>
      </c>
      <c r="X177">
        <f>HYPERLINK("https://klasma.github.io/Logging_0980/tillsyn/A 25977-2024 tillsynsbegäran.docx", "A 25977-2024")</f>
        <v/>
      </c>
      <c r="Y177">
        <f>HYPERLINK("https://klasma.github.io/Logging_0980/tillsynsmail/A 25977-2024 tillsynsbegäran mail.docx", "A 25977-2024")</f>
        <v/>
      </c>
    </row>
    <row r="178" ht="15" customHeight="1">
      <c r="A178" t="inlineStr">
        <is>
          <t>A 26461-2025</t>
        </is>
      </c>
      <c r="B178" s="1" t="n">
        <v>45807.43337962963</v>
      </c>
      <c r="C178" s="1" t="n">
        <v>46099</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65927-2021</t>
        </is>
      </c>
      <c r="B179" s="1" t="n">
        <v>44516</v>
      </c>
      <c r="C179" s="1" t="n">
        <v>46099</v>
      </c>
      <c r="D179" t="inlineStr">
        <is>
          <t>GOTLANDS LÄN</t>
        </is>
      </c>
      <c r="E179" t="inlineStr">
        <is>
          <t>GOTLAND</t>
        </is>
      </c>
      <c r="G179" t="n">
        <v>3.1</v>
      </c>
      <c r="H179" t="n">
        <v>1</v>
      </c>
      <c r="I179" t="n">
        <v>0</v>
      </c>
      <c r="J179" t="n">
        <v>0</v>
      </c>
      <c r="K179" t="n">
        <v>1</v>
      </c>
      <c r="L179" t="n">
        <v>0</v>
      </c>
      <c r="M179" t="n">
        <v>0</v>
      </c>
      <c r="N179" t="n">
        <v>0</v>
      </c>
      <c r="O179" t="n">
        <v>1</v>
      </c>
      <c r="P179" t="n">
        <v>1</v>
      </c>
      <c r="Q179" t="n">
        <v>1</v>
      </c>
      <c r="R179" s="2" t="inlineStr">
        <is>
          <t>Grenigt kungsljus</t>
        </is>
      </c>
      <c r="S179">
        <f>HYPERLINK("https://klasma.github.io/Logging_0980/artfynd/A 65927-2021 artfynd.xlsx", "A 65927-2021")</f>
        <v/>
      </c>
      <c r="T179">
        <f>HYPERLINK("https://klasma.github.io/Logging_0980/kartor/A 65927-2021 karta.png", "A 65927-2021")</f>
        <v/>
      </c>
      <c r="V179">
        <f>HYPERLINK("https://klasma.github.io/Logging_0980/klagomål/A 65927-2021 FSC-klagomål.docx", "A 65927-2021")</f>
        <v/>
      </c>
      <c r="W179">
        <f>HYPERLINK("https://klasma.github.io/Logging_0980/klagomålsmail/A 65927-2021 FSC-klagomål mail.docx", "A 65927-2021")</f>
        <v/>
      </c>
      <c r="X179">
        <f>HYPERLINK("https://klasma.github.io/Logging_0980/tillsyn/A 65927-2021 tillsynsbegäran.docx", "A 65927-2021")</f>
        <v/>
      </c>
      <c r="Y179">
        <f>HYPERLINK("https://klasma.github.io/Logging_0980/tillsynsmail/A 65927-2021 tillsynsbegäran mail.docx", "A 65927-2021")</f>
        <v/>
      </c>
    </row>
    <row r="180" ht="15" customHeight="1">
      <c r="A180" t="inlineStr">
        <is>
          <t>A 39812-2025</t>
        </is>
      </c>
      <c r="B180" s="1" t="n">
        <v>45891</v>
      </c>
      <c r="C180" s="1" t="n">
        <v>46099</v>
      </c>
      <c r="D180" t="inlineStr">
        <is>
          <t>GOTLANDS LÄN</t>
        </is>
      </c>
      <c r="E180" t="inlineStr">
        <is>
          <t>GOTLAND</t>
        </is>
      </c>
      <c r="G180" t="n">
        <v>6</v>
      </c>
      <c r="H180" t="n">
        <v>1</v>
      </c>
      <c r="I180" t="n">
        <v>0</v>
      </c>
      <c r="J180" t="n">
        <v>0</v>
      </c>
      <c r="K180" t="n">
        <v>0</v>
      </c>
      <c r="L180" t="n">
        <v>1</v>
      </c>
      <c r="M180" t="n">
        <v>0</v>
      </c>
      <c r="N180" t="n">
        <v>0</v>
      </c>
      <c r="O180" t="n">
        <v>1</v>
      </c>
      <c r="P180" t="n">
        <v>1</v>
      </c>
      <c r="Q180" t="n">
        <v>1</v>
      </c>
      <c r="R180" s="2" t="inlineStr">
        <is>
          <t>Nålkörvel</t>
        </is>
      </c>
      <c r="S180">
        <f>HYPERLINK("https://klasma.github.io/Logging_0980/artfynd/A 39812-2025 artfynd.xlsx", "A 39812-2025")</f>
        <v/>
      </c>
      <c r="T180">
        <f>HYPERLINK("https://klasma.github.io/Logging_0980/kartor/A 39812-2025 karta.png", "A 39812-2025")</f>
        <v/>
      </c>
      <c r="V180">
        <f>HYPERLINK("https://klasma.github.io/Logging_0980/klagomål/A 39812-2025 FSC-klagomål.docx", "A 39812-2025")</f>
        <v/>
      </c>
      <c r="W180">
        <f>HYPERLINK("https://klasma.github.io/Logging_0980/klagomålsmail/A 39812-2025 FSC-klagomål mail.docx", "A 39812-2025")</f>
        <v/>
      </c>
      <c r="X180">
        <f>HYPERLINK("https://klasma.github.io/Logging_0980/tillsyn/A 39812-2025 tillsynsbegäran.docx", "A 39812-2025")</f>
        <v/>
      </c>
      <c r="Y180">
        <f>HYPERLINK("https://klasma.github.io/Logging_0980/tillsynsmail/A 39812-2025 tillsynsbegäran mail.docx", "A 39812-2025")</f>
        <v/>
      </c>
    </row>
    <row r="181" ht="15" customHeight="1">
      <c r="A181" t="inlineStr">
        <is>
          <t>A 61796-2022</t>
        </is>
      </c>
      <c r="B181" s="1" t="n">
        <v>44917</v>
      </c>
      <c r="C181" s="1" t="n">
        <v>46099</v>
      </c>
      <c r="D181" t="inlineStr">
        <is>
          <t>GOTLANDS LÄN</t>
        </is>
      </c>
      <c r="E181" t="inlineStr">
        <is>
          <t>GOTLAND</t>
        </is>
      </c>
      <c r="G181" t="n">
        <v>1.5</v>
      </c>
      <c r="H181" t="n">
        <v>1</v>
      </c>
      <c r="I181" t="n">
        <v>0</v>
      </c>
      <c r="J181" t="n">
        <v>0</v>
      </c>
      <c r="K181" t="n">
        <v>0</v>
      </c>
      <c r="L181" t="n">
        <v>0</v>
      </c>
      <c r="M181" t="n">
        <v>0</v>
      </c>
      <c r="N181" t="n">
        <v>0</v>
      </c>
      <c r="O181" t="n">
        <v>0</v>
      </c>
      <c r="P181" t="n">
        <v>0</v>
      </c>
      <c r="Q181" t="n">
        <v>1</v>
      </c>
      <c r="R181" s="2" t="inlineStr">
        <is>
          <t>Skogsduva</t>
        </is>
      </c>
      <c r="S181">
        <f>HYPERLINK("https://klasma.github.io/Logging_0980/artfynd/A 61796-2022 artfynd.xlsx", "A 61796-2022")</f>
        <v/>
      </c>
      <c r="T181">
        <f>HYPERLINK("https://klasma.github.io/Logging_0980/kartor/A 61796-2022 karta.png", "A 61796-2022")</f>
        <v/>
      </c>
      <c r="V181">
        <f>HYPERLINK("https://klasma.github.io/Logging_0980/klagomål/A 61796-2022 FSC-klagomål.docx", "A 61796-2022")</f>
        <v/>
      </c>
      <c r="W181">
        <f>HYPERLINK("https://klasma.github.io/Logging_0980/klagomålsmail/A 61796-2022 FSC-klagomål mail.docx", "A 61796-2022")</f>
        <v/>
      </c>
      <c r="X181">
        <f>HYPERLINK("https://klasma.github.io/Logging_0980/tillsyn/A 61796-2022 tillsynsbegäran.docx", "A 61796-2022")</f>
        <v/>
      </c>
      <c r="Y181">
        <f>HYPERLINK("https://klasma.github.io/Logging_0980/tillsynsmail/A 61796-2022 tillsynsbegäran mail.docx", "A 61796-2022")</f>
        <v/>
      </c>
      <c r="Z181">
        <f>HYPERLINK("https://klasma.github.io/Logging_0980/fåglar/A 61796-2022 prioriterade fågelarter.docx", "A 61796-2022")</f>
        <v/>
      </c>
    </row>
    <row r="182" ht="15" customHeight="1">
      <c r="A182" t="inlineStr">
        <is>
          <t>A 49726-2025</t>
        </is>
      </c>
      <c r="B182" s="1" t="n">
        <v>45939.84466435185</v>
      </c>
      <c r="C182" s="1" t="n">
        <v>46099</v>
      </c>
      <c r="D182" t="inlineStr">
        <is>
          <t>GOTLANDS LÄN</t>
        </is>
      </c>
      <c r="E182" t="inlineStr">
        <is>
          <t>GOTLAND</t>
        </is>
      </c>
      <c r="F182" t="inlineStr">
        <is>
          <t>Kyrkan</t>
        </is>
      </c>
      <c r="G182" t="n">
        <v>5.4</v>
      </c>
      <c r="H182" t="n">
        <v>0</v>
      </c>
      <c r="I182" t="n">
        <v>0</v>
      </c>
      <c r="J182" t="n">
        <v>1</v>
      </c>
      <c r="K182" t="n">
        <v>0</v>
      </c>
      <c r="L182" t="n">
        <v>0</v>
      </c>
      <c r="M182" t="n">
        <v>0</v>
      </c>
      <c r="N182" t="n">
        <v>0</v>
      </c>
      <c r="O182" t="n">
        <v>1</v>
      </c>
      <c r="P182" t="n">
        <v>0</v>
      </c>
      <c r="Q182" t="n">
        <v>1</v>
      </c>
      <c r="R182" s="2" t="inlineStr">
        <is>
          <t>Odörspindling</t>
        </is>
      </c>
      <c r="S182">
        <f>HYPERLINK("https://klasma.github.io/Logging_0980/artfynd/A 49726-2025 artfynd.xlsx", "A 49726-2025")</f>
        <v/>
      </c>
      <c r="T182">
        <f>HYPERLINK("https://klasma.github.io/Logging_0980/kartor/A 49726-2025 karta.png", "A 49726-2025")</f>
        <v/>
      </c>
      <c r="V182">
        <f>HYPERLINK("https://klasma.github.io/Logging_0980/klagomål/A 49726-2025 FSC-klagomål.docx", "A 49726-2025")</f>
        <v/>
      </c>
      <c r="W182">
        <f>HYPERLINK("https://klasma.github.io/Logging_0980/klagomålsmail/A 49726-2025 FSC-klagomål mail.docx", "A 49726-2025")</f>
        <v/>
      </c>
      <c r="X182">
        <f>HYPERLINK("https://klasma.github.io/Logging_0980/tillsyn/A 49726-2025 tillsynsbegäran.docx", "A 49726-2025")</f>
        <v/>
      </c>
      <c r="Y182">
        <f>HYPERLINK("https://klasma.github.io/Logging_0980/tillsynsmail/A 49726-2025 tillsynsbegäran mail.docx", "A 49726-2025")</f>
        <v/>
      </c>
    </row>
    <row r="183" ht="15" customHeight="1">
      <c r="A183" t="inlineStr">
        <is>
          <t>A 34141-2024</t>
        </is>
      </c>
      <c r="B183" s="1" t="n">
        <v>45524.36229166666</v>
      </c>
      <c r="C183" s="1" t="n">
        <v>46099</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9862-2024</t>
        </is>
      </c>
      <c r="B184" s="1" t="n">
        <v>45363</v>
      </c>
      <c r="C184" s="1" t="n">
        <v>46099</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12924-2025</t>
        </is>
      </c>
      <c r="B185" s="1" t="n">
        <v>45734</v>
      </c>
      <c r="C185" s="1" t="n">
        <v>46099</v>
      </c>
      <c r="D185" t="inlineStr">
        <is>
          <t>GOTLANDS LÄN</t>
        </is>
      </c>
      <c r="E185" t="inlineStr">
        <is>
          <t>GOTLAND</t>
        </is>
      </c>
      <c r="G185" t="n">
        <v>11.7</v>
      </c>
      <c r="H185" t="n">
        <v>0</v>
      </c>
      <c r="I185" t="n">
        <v>0</v>
      </c>
      <c r="J185" t="n">
        <v>0</v>
      </c>
      <c r="K185" t="n">
        <v>1</v>
      </c>
      <c r="L185" t="n">
        <v>0</v>
      </c>
      <c r="M185" t="n">
        <v>0</v>
      </c>
      <c r="N185" t="n">
        <v>0</v>
      </c>
      <c r="O185" t="n">
        <v>1</v>
      </c>
      <c r="P185" t="n">
        <v>1</v>
      </c>
      <c r="Q185" t="n">
        <v>1</v>
      </c>
      <c r="R185" s="2" t="inlineStr">
        <is>
          <t>Gotlandsmåra</t>
        </is>
      </c>
      <c r="S185">
        <f>HYPERLINK("https://klasma.github.io/Logging_0980/artfynd/A 12924-2025 artfynd.xlsx", "A 12924-2025")</f>
        <v/>
      </c>
      <c r="T185">
        <f>HYPERLINK("https://klasma.github.io/Logging_0980/kartor/A 12924-2025 karta.png", "A 12924-2025")</f>
        <v/>
      </c>
      <c r="V185">
        <f>HYPERLINK("https://klasma.github.io/Logging_0980/klagomål/A 12924-2025 FSC-klagomål.docx", "A 12924-2025")</f>
        <v/>
      </c>
      <c r="W185">
        <f>HYPERLINK("https://klasma.github.io/Logging_0980/klagomålsmail/A 12924-2025 FSC-klagomål mail.docx", "A 12924-2025")</f>
        <v/>
      </c>
      <c r="X185">
        <f>HYPERLINK("https://klasma.github.io/Logging_0980/tillsyn/A 12924-2025 tillsynsbegäran.docx", "A 12924-2025")</f>
        <v/>
      </c>
      <c r="Y185">
        <f>HYPERLINK("https://klasma.github.io/Logging_0980/tillsynsmail/A 12924-2025 tillsynsbegäran mail.docx", "A 12924-2025")</f>
        <v/>
      </c>
    </row>
    <row r="186" ht="15" customHeight="1">
      <c r="A186" t="inlineStr">
        <is>
          <t>A 63149-2025</t>
        </is>
      </c>
      <c r="B186" s="1" t="n">
        <v>46010</v>
      </c>
      <c r="C186" s="1" t="n">
        <v>46099</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11708-2026</t>
        </is>
      </c>
      <c r="B187" s="1" t="n">
        <v>46084</v>
      </c>
      <c r="C187" s="1" t="n">
        <v>46099</v>
      </c>
      <c r="D187" t="inlineStr">
        <is>
          <t>GOTLANDS LÄN</t>
        </is>
      </c>
      <c r="E187" t="inlineStr">
        <is>
          <t>GOTLAND</t>
        </is>
      </c>
      <c r="G187" t="n">
        <v>8.4</v>
      </c>
      <c r="H187" t="n">
        <v>1</v>
      </c>
      <c r="I187" t="n">
        <v>0</v>
      </c>
      <c r="J187" t="n">
        <v>1</v>
      </c>
      <c r="K187" t="n">
        <v>0</v>
      </c>
      <c r="L187" t="n">
        <v>0</v>
      </c>
      <c r="M187" t="n">
        <v>0</v>
      </c>
      <c r="N187" t="n">
        <v>0</v>
      </c>
      <c r="O187" t="n">
        <v>1</v>
      </c>
      <c r="P187" t="n">
        <v>0</v>
      </c>
      <c r="Q187" t="n">
        <v>1</v>
      </c>
      <c r="R187" s="2" t="inlineStr">
        <is>
          <t>Bredarun</t>
        </is>
      </c>
      <c r="S187">
        <f>HYPERLINK("https://klasma.github.io/Logging_0980/artfynd/A 11708-2026 artfynd.xlsx", "A 11708-2026")</f>
        <v/>
      </c>
      <c r="T187">
        <f>HYPERLINK("https://klasma.github.io/Logging_0980/kartor/A 11708-2026 karta.png", "A 11708-2026")</f>
        <v/>
      </c>
      <c r="V187">
        <f>HYPERLINK("https://klasma.github.io/Logging_0980/klagomål/A 11708-2026 FSC-klagomål.docx", "A 11708-2026")</f>
        <v/>
      </c>
      <c r="W187">
        <f>HYPERLINK("https://klasma.github.io/Logging_0980/klagomålsmail/A 11708-2026 FSC-klagomål mail.docx", "A 11708-2026")</f>
        <v/>
      </c>
      <c r="X187">
        <f>HYPERLINK("https://klasma.github.io/Logging_0980/tillsyn/A 11708-2026 tillsynsbegäran.docx", "A 11708-2026")</f>
        <v/>
      </c>
      <c r="Y187">
        <f>HYPERLINK("https://klasma.github.io/Logging_0980/tillsynsmail/A 11708-2026 tillsynsbegäran mail.docx", "A 11708-2026")</f>
        <v/>
      </c>
    </row>
    <row r="188" ht="15" customHeight="1">
      <c r="A188" t="inlineStr">
        <is>
          <t>A 10013-2026</t>
        </is>
      </c>
      <c r="B188" s="1" t="n">
        <v>46073</v>
      </c>
      <c r="C188" s="1" t="n">
        <v>46099</v>
      </c>
      <c r="D188" t="inlineStr">
        <is>
          <t>GOTLANDS LÄN</t>
        </is>
      </c>
      <c r="E188" t="inlineStr">
        <is>
          <t>GOTLAND</t>
        </is>
      </c>
      <c r="G188" t="n">
        <v>10.5</v>
      </c>
      <c r="H188" t="n">
        <v>0</v>
      </c>
      <c r="I188" t="n">
        <v>0</v>
      </c>
      <c r="J188" t="n">
        <v>0</v>
      </c>
      <c r="K188" t="n">
        <v>1</v>
      </c>
      <c r="L188" t="n">
        <v>0</v>
      </c>
      <c r="M188" t="n">
        <v>0</v>
      </c>
      <c r="N188" t="n">
        <v>0</v>
      </c>
      <c r="O188" t="n">
        <v>1</v>
      </c>
      <c r="P188" t="n">
        <v>1</v>
      </c>
      <c r="Q188" t="n">
        <v>1</v>
      </c>
      <c r="R188" s="2" t="inlineStr">
        <is>
          <t>Skogskorn</t>
        </is>
      </c>
      <c r="S188">
        <f>HYPERLINK("https://klasma.github.io/Logging_0980/artfynd/A 10013-2026 artfynd.xlsx", "A 10013-2026")</f>
        <v/>
      </c>
      <c r="T188">
        <f>HYPERLINK("https://klasma.github.io/Logging_0980/kartor/A 10013-2026 karta.png", "A 10013-2026")</f>
        <v/>
      </c>
      <c r="V188">
        <f>HYPERLINK("https://klasma.github.io/Logging_0980/klagomål/A 10013-2026 FSC-klagomål.docx", "A 10013-2026")</f>
        <v/>
      </c>
      <c r="W188">
        <f>HYPERLINK("https://klasma.github.io/Logging_0980/klagomålsmail/A 10013-2026 FSC-klagomål mail.docx", "A 10013-2026")</f>
        <v/>
      </c>
      <c r="X188">
        <f>HYPERLINK("https://klasma.github.io/Logging_0980/tillsyn/A 10013-2026 tillsynsbegäran.docx", "A 10013-2026")</f>
        <v/>
      </c>
      <c r="Y188">
        <f>HYPERLINK("https://klasma.github.io/Logging_0980/tillsynsmail/A 10013-2026 tillsynsbegäran mail.docx", "A 10013-2026")</f>
        <v/>
      </c>
    </row>
    <row r="189" ht="15" customHeight="1">
      <c r="A189" t="inlineStr">
        <is>
          <t>A 19901-2021</t>
        </is>
      </c>
      <c r="B189" s="1" t="n">
        <v>44312</v>
      </c>
      <c r="C189" s="1" t="n">
        <v>46099</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46099</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46099</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46099</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46099</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46099</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46099</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46099</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46099</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46099</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46099</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46099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46099</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46099</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46099</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46099</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46099</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46099</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46099</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46099</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46099</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31239-2022</t>
        </is>
      </c>
      <c r="B210" s="1" t="n">
        <v>44771.49383101852</v>
      </c>
      <c r="C210" s="1" t="n">
        <v>46099</v>
      </c>
      <c r="D210" t="inlineStr">
        <is>
          <t>GOTLANDS LÄN</t>
        </is>
      </c>
      <c r="E210" t="inlineStr">
        <is>
          <t>GOTLAND</t>
        </is>
      </c>
      <c r="G210" t="n">
        <v>1.9</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46099</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46099</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46099</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46099</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46099</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46099</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46099</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46099</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44496.58627314815</v>
      </c>
      <c r="C219" s="1" t="n">
        <v>46099</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53225-2022</t>
        </is>
      </c>
      <c r="B220" s="1" t="n">
        <v>44876</v>
      </c>
      <c r="C220" s="1" t="n">
        <v>46099</v>
      </c>
      <c r="D220" t="inlineStr">
        <is>
          <t>GOTLANDS LÄN</t>
        </is>
      </c>
      <c r="E220" t="inlineStr">
        <is>
          <t>GOTLAND</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17354-2022</t>
        </is>
      </c>
      <c r="B221" s="1" t="n">
        <v>44678</v>
      </c>
      <c r="C221" s="1" t="n">
        <v>46099</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46099</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46099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46099</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46099</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46099</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57219-2021</t>
        </is>
      </c>
      <c r="B227" s="1" t="n">
        <v>44483</v>
      </c>
      <c r="C227" s="1" t="n">
        <v>46099</v>
      </c>
      <c r="D227" t="inlineStr">
        <is>
          <t>GOTLANDS LÄN</t>
        </is>
      </c>
      <c r="E227" t="inlineStr">
        <is>
          <t>GOTLAND</t>
        </is>
      </c>
      <c r="F227" t="inlineStr">
        <is>
          <t>Kyrkan</t>
        </is>
      </c>
      <c r="G227" t="n">
        <v>4</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46099</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46099</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46099</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57652-2023</t>
        </is>
      </c>
      <c r="B231" s="1" t="n">
        <v>45246</v>
      </c>
      <c r="C231" s="1" t="n">
        <v>46099</v>
      </c>
      <c r="D231" t="inlineStr">
        <is>
          <t>GOTLANDS LÄN</t>
        </is>
      </c>
      <c r="E231" t="inlineStr">
        <is>
          <t>GOTLAND</t>
        </is>
      </c>
      <c r="G231" t="n">
        <v>7.2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46099</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49315-2024</t>
        </is>
      </c>
      <c r="B233" s="1" t="n">
        <v>45595</v>
      </c>
      <c r="C233" s="1" t="n">
        <v>46099</v>
      </c>
      <c r="D233" t="inlineStr">
        <is>
          <t>GOTLANDS LÄN</t>
        </is>
      </c>
      <c r="E233" t="inlineStr">
        <is>
          <t>GOTLAND</t>
        </is>
      </c>
      <c r="G233" t="n">
        <v>1.5</v>
      </c>
      <c r="H233" t="n">
        <v>0</v>
      </c>
      <c r="I233" t="n">
        <v>0</v>
      </c>
      <c r="J233" t="n">
        <v>0</v>
      </c>
      <c r="K233" t="n">
        <v>0</v>
      </c>
      <c r="L233" t="n">
        <v>0</v>
      </c>
      <c r="M233" t="n">
        <v>0</v>
      </c>
      <c r="N233" t="n">
        <v>0</v>
      </c>
      <c r="O233" t="n">
        <v>0</v>
      </c>
      <c r="P233" t="n">
        <v>0</v>
      </c>
      <c r="Q233" t="n">
        <v>0</v>
      </c>
      <c r="R233" s="2" t="inlineStr"/>
    </row>
    <row r="234" ht="15" customHeight="1">
      <c r="A234" t="inlineStr">
        <is>
          <t>A 45106-2024</t>
        </is>
      </c>
      <c r="B234" s="1" t="n">
        <v>45575</v>
      </c>
      <c r="C234" s="1" t="n">
        <v>46099</v>
      </c>
      <c r="D234" t="inlineStr">
        <is>
          <t>GOTLANDS LÄN</t>
        </is>
      </c>
      <c r="E234" t="inlineStr">
        <is>
          <t>GOTLAND</t>
        </is>
      </c>
      <c r="G234" t="n">
        <v>10</v>
      </c>
      <c r="H234" t="n">
        <v>0</v>
      </c>
      <c r="I234" t="n">
        <v>0</v>
      </c>
      <c r="J234" t="n">
        <v>0</v>
      </c>
      <c r="K234" t="n">
        <v>0</v>
      </c>
      <c r="L234" t="n">
        <v>0</v>
      </c>
      <c r="M234" t="n">
        <v>0</v>
      </c>
      <c r="N234" t="n">
        <v>0</v>
      </c>
      <c r="O234" t="n">
        <v>0</v>
      </c>
      <c r="P234" t="n">
        <v>0</v>
      </c>
      <c r="Q234" t="n">
        <v>0</v>
      </c>
      <c r="R234" s="2" t="inlineStr"/>
    </row>
    <row r="235" ht="15" customHeight="1">
      <c r="A235" t="inlineStr">
        <is>
          <t>A 45112-2024</t>
        </is>
      </c>
      <c r="B235" s="1" t="n">
        <v>45575</v>
      </c>
      <c r="C235" s="1" t="n">
        <v>46099</v>
      </c>
      <c r="D235" t="inlineStr">
        <is>
          <t>GOTLANDS LÄN</t>
        </is>
      </c>
      <c r="E235" t="inlineStr">
        <is>
          <t>GOTLAND</t>
        </is>
      </c>
      <c r="G235" t="n">
        <v>5.1</v>
      </c>
      <c r="H235" t="n">
        <v>0</v>
      </c>
      <c r="I235" t="n">
        <v>0</v>
      </c>
      <c r="J235" t="n">
        <v>0</v>
      </c>
      <c r="K235" t="n">
        <v>0</v>
      </c>
      <c r="L235" t="n">
        <v>0</v>
      </c>
      <c r="M235" t="n">
        <v>0</v>
      </c>
      <c r="N235" t="n">
        <v>0</v>
      </c>
      <c r="O235" t="n">
        <v>0</v>
      </c>
      <c r="P235" t="n">
        <v>0</v>
      </c>
      <c r="Q235" t="n">
        <v>0</v>
      </c>
      <c r="R235" s="2" t="inlineStr"/>
    </row>
    <row r="236" ht="15" customHeight="1">
      <c r="A236" t="inlineStr">
        <is>
          <t>A 2676-2023</t>
        </is>
      </c>
      <c r="B236" s="1" t="n">
        <v>44944</v>
      </c>
      <c r="C236" s="1" t="n">
        <v>46099</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1677-2023</t>
        </is>
      </c>
      <c r="B237" s="1" t="n">
        <v>44938</v>
      </c>
      <c r="C237" s="1" t="n">
        <v>46099</v>
      </c>
      <c r="D237" t="inlineStr">
        <is>
          <t>GOTLANDS LÄN</t>
        </is>
      </c>
      <c r="E237" t="inlineStr">
        <is>
          <t>GOTLAND</t>
        </is>
      </c>
      <c r="G237" t="n">
        <v>1.6</v>
      </c>
      <c r="H237" t="n">
        <v>0</v>
      </c>
      <c r="I237" t="n">
        <v>0</v>
      </c>
      <c r="J237" t="n">
        <v>0</v>
      </c>
      <c r="K237" t="n">
        <v>0</v>
      </c>
      <c r="L237" t="n">
        <v>0</v>
      </c>
      <c r="M237" t="n">
        <v>0</v>
      </c>
      <c r="N237" t="n">
        <v>0</v>
      </c>
      <c r="O237" t="n">
        <v>0</v>
      </c>
      <c r="P237" t="n">
        <v>0</v>
      </c>
      <c r="Q237" t="n">
        <v>0</v>
      </c>
      <c r="R237" s="2" t="inlineStr"/>
    </row>
    <row r="238" ht="15" customHeight="1">
      <c r="A238" t="inlineStr">
        <is>
          <t>A 45244-2024</t>
        </is>
      </c>
      <c r="B238" s="1" t="n">
        <v>45576</v>
      </c>
      <c r="C238" s="1" t="n">
        <v>46099</v>
      </c>
      <c r="D238" t="inlineStr">
        <is>
          <t>GOTLANDS LÄN</t>
        </is>
      </c>
      <c r="E238" t="inlineStr">
        <is>
          <t>GOTLAND</t>
        </is>
      </c>
      <c r="G238" t="n">
        <v>2.4</v>
      </c>
      <c r="H238" t="n">
        <v>0</v>
      </c>
      <c r="I238" t="n">
        <v>0</v>
      </c>
      <c r="J238" t="n">
        <v>0</v>
      </c>
      <c r="K238" t="n">
        <v>0</v>
      </c>
      <c r="L238" t="n">
        <v>0</v>
      </c>
      <c r="M238" t="n">
        <v>0</v>
      </c>
      <c r="N238" t="n">
        <v>0</v>
      </c>
      <c r="O238" t="n">
        <v>0</v>
      </c>
      <c r="P238" t="n">
        <v>0</v>
      </c>
      <c r="Q238" t="n">
        <v>0</v>
      </c>
      <c r="R238" s="2" t="inlineStr"/>
    </row>
    <row r="239" ht="15" customHeight="1">
      <c r="A239" t="inlineStr">
        <is>
          <t>A 3150-2025</t>
        </is>
      </c>
      <c r="B239" s="1" t="n">
        <v>45679.28974537037</v>
      </c>
      <c r="C239" s="1" t="n">
        <v>46099</v>
      </c>
      <c r="D239" t="inlineStr">
        <is>
          <t>GOTLANDS LÄN</t>
        </is>
      </c>
      <c r="E239" t="inlineStr">
        <is>
          <t>GOTLAND</t>
        </is>
      </c>
      <c r="G239" t="n">
        <v>2.5</v>
      </c>
      <c r="H239" t="n">
        <v>0</v>
      </c>
      <c r="I239" t="n">
        <v>0</v>
      </c>
      <c r="J239" t="n">
        <v>0</v>
      </c>
      <c r="K239" t="n">
        <v>0</v>
      </c>
      <c r="L239" t="n">
        <v>0</v>
      </c>
      <c r="M239" t="n">
        <v>0</v>
      </c>
      <c r="N239" t="n">
        <v>0</v>
      </c>
      <c r="O239" t="n">
        <v>0</v>
      </c>
      <c r="P239" t="n">
        <v>0</v>
      </c>
      <c r="Q239" t="n">
        <v>0</v>
      </c>
      <c r="R239" s="2" t="inlineStr"/>
    </row>
    <row r="240" ht="15" customHeight="1">
      <c r="A240" t="inlineStr">
        <is>
          <t>A 8484-2025</t>
        </is>
      </c>
      <c r="B240" s="1" t="n">
        <v>45709</v>
      </c>
      <c r="C240" s="1" t="n">
        <v>46099</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64555-2023</t>
        </is>
      </c>
      <c r="B241" s="1" t="n">
        <v>45281</v>
      </c>
      <c r="C241" s="1" t="n">
        <v>46099</v>
      </c>
      <c r="D241" t="inlineStr">
        <is>
          <t>GOTLANDS LÄN</t>
        </is>
      </c>
      <c r="E241" t="inlineStr">
        <is>
          <t>GOTLAND</t>
        </is>
      </c>
      <c r="G241" t="n">
        <v>3.5</v>
      </c>
      <c r="H241" t="n">
        <v>0</v>
      </c>
      <c r="I241" t="n">
        <v>0</v>
      </c>
      <c r="J241" t="n">
        <v>0</v>
      </c>
      <c r="K241" t="n">
        <v>0</v>
      </c>
      <c r="L241" t="n">
        <v>0</v>
      </c>
      <c r="M241" t="n">
        <v>0</v>
      </c>
      <c r="N241" t="n">
        <v>0</v>
      </c>
      <c r="O241" t="n">
        <v>0</v>
      </c>
      <c r="P241" t="n">
        <v>0</v>
      </c>
      <c r="Q241" t="n">
        <v>0</v>
      </c>
      <c r="R241" s="2" t="inlineStr"/>
    </row>
    <row r="242" ht="15" customHeight="1">
      <c r="A242" t="inlineStr">
        <is>
          <t>A 64831-2023</t>
        </is>
      </c>
      <c r="B242" s="1" t="n">
        <v>45282.44924768519</v>
      </c>
      <c r="C242" s="1" t="n">
        <v>46099</v>
      </c>
      <c r="D242" t="inlineStr">
        <is>
          <t>GOTLANDS LÄN</t>
        </is>
      </c>
      <c r="E242" t="inlineStr">
        <is>
          <t>GOTLAND</t>
        </is>
      </c>
      <c r="G242" t="n">
        <v>1.9</v>
      </c>
      <c r="H242" t="n">
        <v>0</v>
      </c>
      <c r="I242" t="n">
        <v>0</v>
      </c>
      <c r="J242" t="n">
        <v>0</v>
      </c>
      <c r="K242" t="n">
        <v>0</v>
      </c>
      <c r="L242" t="n">
        <v>0</v>
      </c>
      <c r="M242" t="n">
        <v>0</v>
      </c>
      <c r="N242" t="n">
        <v>0</v>
      </c>
      <c r="O242" t="n">
        <v>0</v>
      </c>
      <c r="P242" t="n">
        <v>0</v>
      </c>
      <c r="Q242" t="n">
        <v>0</v>
      </c>
      <c r="R242" s="2" t="inlineStr"/>
    </row>
    <row r="243" ht="15" customHeight="1">
      <c r="A243" t="inlineStr">
        <is>
          <t>A 7635-2025</t>
        </is>
      </c>
      <c r="B243" s="1" t="n">
        <v>45705</v>
      </c>
      <c r="C243" s="1" t="n">
        <v>46099</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7636-2025</t>
        </is>
      </c>
      <c r="B244" s="1" t="n">
        <v>45705.7687962963</v>
      </c>
      <c r="C244" s="1" t="n">
        <v>46099</v>
      </c>
      <c r="D244" t="inlineStr">
        <is>
          <t>GOTLANDS LÄN</t>
        </is>
      </c>
      <c r="E244" t="inlineStr">
        <is>
          <t>GOTLAND</t>
        </is>
      </c>
      <c r="G244" t="n">
        <v>0.6</v>
      </c>
      <c r="H244" t="n">
        <v>0</v>
      </c>
      <c r="I244" t="n">
        <v>0</v>
      </c>
      <c r="J244" t="n">
        <v>0</v>
      </c>
      <c r="K244" t="n">
        <v>0</v>
      </c>
      <c r="L244" t="n">
        <v>0</v>
      </c>
      <c r="M244" t="n">
        <v>0</v>
      </c>
      <c r="N244" t="n">
        <v>0</v>
      </c>
      <c r="O244" t="n">
        <v>0</v>
      </c>
      <c r="P244" t="n">
        <v>0</v>
      </c>
      <c r="Q244" t="n">
        <v>0</v>
      </c>
      <c r="R244" s="2" t="inlineStr"/>
    </row>
    <row r="245" ht="15" customHeight="1">
      <c r="A245" t="inlineStr">
        <is>
          <t>A 7639-2025</t>
        </is>
      </c>
      <c r="B245" s="1" t="n">
        <v>45705.77465277778</v>
      </c>
      <c r="C245" s="1" t="n">
        <v>46099</v>
      </c>
      <c r="D245" t="inlineStr">
        <is>
          <t>GOTLANDS LÄN</t>
        </is>
      </c>
      <c r="E245" t="inlineStr">
        <is>
          <t>GOTLAND</t>
        </is>
      </c>
      <c r="G245" t="n">
        <v>1</v>
      </c>
      <c r="H245" t="n">
        <v>0</v>
      </c>
      <c r="I245" t="n">
        <v>0</v>
      </c>
      <c r="J245" t="n">
        <v>0</v>
      </c>
      <c r="K245" t="n">
        <v>0</v>
      </c>
      <c r="L245" t="n">
        <v>0</v>
      </c>
      <c r="M245" t="n">
        <v>0</v>
      </c>
      <c r="N245" t="n">
        <v>0</v>
      </c>
      <c r="O245" t="n">
        <v>0</v>
      </c>
      <c r="P245" t="n">
        <v>0</v>
      </c>
      <c r="Q245" t="n">
        <v>0</v>
      </c>
      <c r="R245" s="2" t="inlineStr"/>
    </row>
    <row r="246" ht="15" customHeight="1">
      <c r="A246" t="inlineStr">
        <is>
          <t>A 14804-2021</t>
        </is>
      </c>
      <c r="B246" s="1" t="n">
        <v>44280</v>
      </c>
      <c r="C246" s="1" t="n">
        <v>46099</v>
      </c>
      <c r="D246" t="inlineStr">
        <is>
          <t>GOTLANDS LÄN</t>
        </is>
      </c>
      <c r="E246" t="inlineStr">
        <is>
          <t>GOTLAND</t>
        </is>
      </c>
      <c r="G246" t="n">
        <v>2.2</v>
      </c>
      <c r="H246" t="n">
        <v>0</v>
      </c>
      <c r="I246" t="n">
        <v>0</v>
      </c>
      <c r="J246" t="n">
        <v>0</v>
      </c>
      <c r="K246" t="n">
        <v>0</v>
      </c>
      <c r="L246" t="n">
        <v>0</v>
      </c>
      <c r="M246" t="n">
        <v>0</v>
      </c>
      <c r="N246" t="n">
        <v>0</v>
      </c>
      <c r="O246" t="n">
        <v>0</v>
      </c>
      <c r="P246" t="n">
        <v>0</v>
      </c>
      <c r="Q246" t="n">
        <v>0</v>
      </c>
      <c r="R246" s="2" t="inlineStr"/>
    </row>
    <row r="247" ht="15" customHeight="1">
      <c r="A247" t="inlineStr">
        <is>
          <t>A 999-2023</t>
        </is>
      </c>
      <c r="B247" s="1" t="n">
        <v>44935</v>
      </c>
      <c r="C247" s="1" t="n">
        <v>46099</v>
      </c>
      <c r="D247" t="inlineStr">
        <is>
          <t>GOTLANDS LÄN</t>
        </is>
      </c>
      <c r="E247" t="inlineStr">
        <is>
          <t>GOTLAND</t>
        </is>
      </c>
      <c r="G247" t="n">
        <v>4.7</v>
      </c>
      <c r="H247" t="n">
        <v>0</v>
      </c>
      <c r="I247" t="n">
        <v>0</v>
      </c>
      <c r="J247" t="n">
        <v>0</v>
      </c>
      <c r="K247" t="n">
        <v>0</v>
      </c>
      <c r="L247" t="n">
        <v>0</v>
      </c>
      <c r="M247" t="n">
        <v>0</v>
      </c>
      <c r="N247" t="n">
        <v>0</v>
      </c>
      <c r="O247" t="n">
        <v>0</v>
      </c>
      <c r="P247" t="n">
        <v>0</v>
      </c>
      <c r="Q247" t="n">
        <v>0</v>
      </c>
      <c r="R247" s="2" t="inlineStr"/>
    </row>
    <row r="248" ht="15" customHeight="1">
      <c r="A248" t="inlineStr">
        <is>
          <t>A 30282-2022</t>
        </is>
      </c>
      <c r="B248" s="1" t="n">
        <v>44760</v>
      </c>
      <c r="C248" s="1" t="n">
        <v>46099</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8260-2023</t>
        </is>
      </c>
      <c r="B249" s="1" t="n">
        <v>44974.61608796296</v>
      </c>
      <c r="C249" s="1" t="n">
        <v>46099</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27602-2023</t>
        </is>
      </c>
      <c r="B250" s="1" t="n">
        <v>45097</v>
      </c>
      <c r="C250" s="1" t="n">
        <v>46099</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64969-2023</t>
        </is>
      </c>
      <c r="B251" s="1" t="n">
        <v>45284.54009259259</v>
      </c>
      <c r="C251" s="1" t="n">
        <v>46099</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48843-2024</t>
        </is>
      </c>
      <c r="B252" s="1" t="n">
        <v>45593</v>
      </c>
      <c r="C252" s="1" t="n">
        <v>46099</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17541-2024</t>
        </is>
      </c>
      <c r="B253" s="1" t="n">
        <v>45415</v>
      </c>
      <c r="C253" s="1" t="n">
        <v>46099</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20356-2022</t>
        </is>
      </c>
      <c r="B254" s="1" t="n">
        <v>44699</v>
      </c>
      <c r="C254" s="1" t="n">
        <v>46099</v>
      </c>
      <c r="D254" t="inlineStr">
        <is>
          <t>GOTLANDS LÄN</t>
        </is>
      </c>
      <c r="E254" t="inlineStr">
        <is>
          <t>GOTLAND</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48734-2022</t>
        </is>
      </c>
      <c r="B255" s="1" t="n">
        <v>44855</v>
      </c>
      <c r="C255" s="1" t="n">
        <v>46099</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14141-2024</t>
        </is>
      </c>
      <c r="B256" s="1" t="n">
        <v>45392.85193287037</v>
      </c>
      <c r="C256" s="1" t="n">
        <v>46099</v>
      </c>
      <c r="D256" t="inlineStr">
        <is>
          <t>GOTLANDS LÄN</t>
        </is>
      </c>
      <c r="E256" t="inlineStr">
        <is>
          <t>GOTLAND</t>
        </is>
      </c>
      <c r="G256" t="n">
        <v>5.3</v>
      </c>
      <c r="H256" t="n">
        <v>0</v>
      </c>
      <c r="I256" t="n">
        <v>0</v>
      </c>
      <c r="J256" t="n">
        <v>0</v>
      </c>
      <c r="K256" t="n">
        <v>0</v>
      </c>
      <c r="L256" t="n">
        <v>0</v>
      </c>
      <c r="M256" t="n">
        <v>0</v>
      </c>
      <c r="N256" t="n">
        <v>0</v>
      </c>
      <c r="O256" t="n">
        <v>0</v>
      </c>
      <c r="P256" t="n">
        <v>0</v>
      </c>
      <c r="Q256" t="n">
        <v>0</v>
      </c>
      <c r="R256" s="2" t="inlineStr"/>
    </row>
    <row r="257" ht="15" customHeight="1">
      <c r="A257" t="inlineStr">
        <is>
          <t>A 29809-2022</t>
        </is>
      </c>
      <c r="B257" s="1" t="n">
        <v>44755.8713425926</v>
      </c>
      <c r="C257" s="1" t="n">
        <v>46099</v>
      </c>
      <c r="D257" t="inlineStr">
        <is>
          <t>GOTLANDS LÄN</t>
        </is>
      </c>
      <c r="E257" t="inlineStr">
        <is>
          <t>GOTLAND</t>
        </is>
      </c>
      <c r="G257" t="n">
        <v>11.5</v>
      </c>
      <c r="H257" t="n">
        <v>0</v>
      </c>
      <c r="I257" t="n">
        <v>0</v>
      </c>
      <c r="J257" t="n">
        <v>0</v>
      </c>
      <c r="K257" t="n">
        <v>0</v>
      </c>
      <c r="L257" t="n">
        <v>0</v>
      </c>
      <c r="M257" t="n">
        <v>0</v>
      </c>
      <c r="N257" t="n">
        <v>0</v>
      </c>
      <c r="O257" t="n">
        <v>0</v>
      </c>
      <c r="P257" t="n">
        <v>0</v>
      </c>
      <c r="Q257" t="n">
        <v>0</v>
      </c>
      <c r="R257" s="2" t="inlineStr"/>
    </row>
    <row r="258" ht="15" customHeight="1">
      <c r="A258" t="inlineStr">
        <is>
          <t>A 2241-2025</t>
        </is>
      </c>
      <c r="B258" s="1" t="n">
        <v>45673.48710648148</v>
      </c>
      <c r="C258" s="1" t="n">
        <v>46099</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4377-2023</t>
        </is>
      </c>
      <c r="B259" s="1" t="n">
        <v>44955.5502662037</v>
      </c>
      <c r="C259" s="1" t="n">
        <v>46099</v>
      </c>
      <c r="D259" t="inlineStr">
        <is>
          <t>GOTLANDS LÄN</t>
        </is>
      </c>
      <c r="E259" t="inlineStr">
        <is>
          <t>GOTLAND</t>
        </is>
      </c>
      <c r="F259" t="inlineStr">
        <is>
          <t>Kyrkan</t>
        </is>
      </c>
      <c r="G259" t="n">
        <v>0.6</v>
      </c>
      <c r="H259" t="n">
        <v>0</v>
      </c>
      <c r="I259" t="n">
        <v>0</v>
      </c>
      <c r="J259" t="n">
        <v>0</v>
      </c>
      <c r="K259" t="n">
        <v>0</v>
      </c>
      <c r="L259" t="n">
        <v>0</v>
      </c>
      <c r="M259" t="n">
        <v>0</v>
      </c>
      <c r="N259" t="n">
        <v>0</v>
      </c>
      <c r="O259" t="n">
        <v>0</v>
      </c>
      <c r="P259" t="n">
        <v>0</v>
      </c>
      <c r="Q259" t="n">
        <v>0</v>
      </c>
      <c r="R259" s="2" t="inlineStr"/>
    </row>
    <row r="260" ht="15" customHeight="1">
      <c r="A260" t="inlineStr">
        <is>
          <t>A 4387-2023</t>
        </is>
      </c>
      <c r="B260" s="1" t="n">
        <v>44955.73359953704</v>
      </c>
      <c r="C260" s="1" t="n">
        <v>46099</v>
      </c>
      <c r="D260" t="inlineStr">
        <is>
          <t>GOTLANDS LÄN</t>
        </is>
      </c>
      <c r="E260" t="inlineStr">
        <is>
          <t>GOTLAND</t>
        </is>
      </c>
      <c r="G260" t="n">
        <v>1.9</v>
      </c>
      <c r="H260" t="n">
        <v>0</v>
      </c>
      <c r="I260" t="n">
        <v>0</v>
      </c>
      <c r="J260" t="n">
        <v>0</v>
      </c>
      <c r="K260" t="n">
        <v>0</v>
      </c>
      <c r="L260" t="n">
        <v>0</v>
      </c>
      <c r="M260" t="n">
        <v>0</v>
      </c>
      <c r="N260" t="n">
        <v>0</v>
      </c>
      <c r="O260" t="n">
        <v>0</v>
      </c>
      <c r="P260" t="n">
        <v>0</v>
      </c>
      <c r="Q260" t="n">
        <v>0</v>
      </c>
      <c r="R260" s="2" t="inlineStr"/>
    </row>
    <row r="261" ht="15" customHeight="1">
      <c r="A261" t="inlineStr">
        <is>
          <t>A 39479-2022</t>
        </is>
      </c>
      <c r="B261" s="1" t="n">
        <v>44818</v>
      </c>
      <c r="C261" s="1" t="n">
        <v>46099</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15434-2024</t>
        </is>
      </c>
      <c r="B262" s="1" t="n">
        <v>45401.38836805556</v>
      </c>
      <c r="C262" s="1" t="n">
        <v>46099</v>
      </c>
      <c r="D262" t="inlineStr">
        <is>
          <t>GOTLANDS LÄN</t>
        </is>
      </c>
      <c r="E262" t="inlineStr">
        <is>
          <t>GOTLAND</t>
        </is>
      </c>
      <c r="G262" t="n">
        <v>2.5</v>
      </c>
      <c r="H262" t="n">
        <v>0</v>
      </c>
      <c r="I262" t="n">
        <v>0</v>
      </c>
      <c r="J262" t="n">
        <v>0</v>
      </c>
      <c r="K262" t="n">
        <v>0</v>
      </c>
      <c r="L262" t="n">
        <v>0</v>
      </c>
      <c r="M262" t="n">
        <v>0</v>
      </c>
      <c r="N262" t="n">
        <v>0</v>
      </c>
      <c r="O262" t="n">
        <v>0</v>
      </c>
      <c r="P262" t="n">
        <v>0</v>
      </c>
      <c r="Q262" t="n">
        <v>0</v>
      </c>
      <c r="R262" s="2" t="inlineStr"/>
    </row>
    <row r="263" ht="15" customHeight="1">
      <c r="A263" t="inlineStr">
        <is>
          <t>A 4868-2024</t>
        </is>
      </c>
      <c r="B263" s="1" t="n">
        <v>45329</v>
      </c>
      <c r="C263" s="1" t="n">
        <v>46099</v>
      </c>
      <c r="D263" t="inlineStr">
        <is>
          <t>GOTLANDS LÄN</t>
        </is>
      </c>
      <c r="E263" t="inlineStr">
        <is>
          <t>GOTLAND</t>
        </is>
      </c>
      <c r="G263" t="n">
        <v>7.1</v>
      </c>
      <c r="H263" t="n">
        <v>0</v>
      </c>
      <c r="I263" t="n">
        <v>0</v>
      </c>
      <c r="J263" t="n">
        <v>0</v>
      </c>
      <c r="K263" t="n">
        <v>0</v>
      </c>
      <c r="L263" t="n">
        <v>0</v>
      </c>
      <c r="M263" t="n">
        <v>0</v>
      </c>
      <c r="N263" t="n">
        <v>0</v>
      </c>
      <c r="O263" t="n">
        <v>0</v>
      </c>
      <c r="P263" t="n">
        <v>0</v>
      </c>
      <c r="Q263" t="n">
        <v>0</v>
      </c>
      <c r="R263" s="2" t="inlineStr"/>
    </row>
    <row r="264" ht="15" customHeight="1">
      <c r="A264" t="inlineStr">
        <is>
          <t>A 51963-2024</t>
        </is>
      </c>
      <c r="B264" s="1" t="n">
        <v>45607.64833333333</v>
      </c>
      <c r="C264" s="1" t="n">
        <v>46099</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811-2023</t>
        </is>
      </c>
      <c r="B265" s="1" t="n">
        <v>44931</v>
      </c>
      <c r="C265" s="1" t="n">
        <v>46099</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57685-2022</t>
        </is>
      </c>
      <c r="B266" s="1" t="n">
        <v>44897.4777662037</v>
      </c>
      <c r="C266" s="1" t="n">
        <v>46099</v>
      </c>
      <c r="D266" t="inlineStr">
        <is>
          <t>GOTLANDS LÄN</t>
        </is>
      </c>
      <c r="E266" t="inlineStr">
        <is>
          <t>GOTLAND</t>
        </is>
      </c>
      <c r="G266" t="n">
        <v>3.7</v>
      </c>
      <c r="H266" t="n">
        <v>0</v>
      </c>
      <c r="I266" t="n">
        <v>0</v>
      </c>
      <c r="J266" t="n">
        <v>0</v>
      </c>
      <c r="K266" t="n">
        <v>0</v>
      </c>
      <c r="L266" t="n">
        <v>0</v>
      </c>
      <c r="M266" t="n">
        <v>0</v>
      </c>
      <c r="N266" t="n">
        <v>0</v>
      </c>
      <c r="O266" t="n">
        <v>0</v>
      </c>
      <c r="P266" t="n">
        <v>0</v>
      </c>
      <c r="Q266" t="n">
        <v>0</v>
      </c>
      <c r="R266" s="2" t="inlineStr"/>
    </row>
    <row r="267" ht="15" customHeight="1">
      <c r="A267" t="inlineStr">
        <is>
          <t>A 5943-2024</t>
        </is>
      </c>
      <c r="B267" s="1" t="n">
        <v>45336</v>
      </c>
      <c r="C267" s="1" t="n">
        <v>46099</v>
      </c>
      <c r="D267" t="inlineStr">
        <is>
          <t>GOTLANDS LÄN</t>
        </is>
      </c>
      <c r="E267" t="inlineStr">
        <is>
          <t>GOTLAND</t>
        </is>
      </c>
      <c r="G267" t="n">
        <v>4.3</v>
      </c>
      <c r="H267" t="n">
        <v>0</v>
      </c>
      <c r="I267" t="n">
        <v>0</v>
      </c>
      <c r="J267" t="n">
        <v>0</v>
      </c>
      <c r="K267" t="n">
        <v>0</v>
      </c>
      <c r="L267" t="n">
        <v>0</v>
      </c>
      <c r="M267" t="n">
        <v>0</v>
      </c>
      <c r="N267" t="n">
        <v>0</v>
      </c>
      <c r="O267" t="n">
        <v>0</v>
      </c>
      <c r="P267" t="n">
        <v>0</v>
      </c>
      <c r="Q267" t="n">
        <v>0</v>
      </c>
      <c r="R267" s="2" t="inlineStr"/>
    </row>
    <row r="268" ht="15" customHeight="1">
      <c r="A268" t="inlineStr">
        <is>
          <t>A 46389-2021</t>
        </is>
      </c>
      <c r="B268" s="1" t="n">
        <v>44443</v>
      </c>
      <c r="C268" s="1" t="n">
        <v>46099</v>
      </c>
      <c r="D268" t="inlineStr">
        <is>
          <t>GOTLANDS LÄN</t>
        </is>
      </c>
      <c r="E268" t="inlineStr">
        <is>
          <t>GOTLAND</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54073-2022</t>
        </is>
      </c>
      <c r="B269" s="1" t="n">
        <v>44881.50380787037</v>
      </c>
      <c r="C269" s="1" t="n">
        <v>46099</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16361-2024</t>
        </is>
      </c>
      <c r="B270" s="1" t="n">
        <v>45407</v>
      </c>
      <c r="C270" s="1" t="n">
        <v>46099</v>
      </c>
      <c r="D270" t="inlineStr">
        <is>
          <t>GOTLANDS LÄN</t>
        </is>
      </c>
      <c r="E270" t="inlineStr">
        <is>
          <t>GOTLAND</t>
        </is>
      </c>
      <c r="G270" t="n">
        <v>6</v>
      </c>
      <c r="H270" t="n">
        <v>0</v>
      </c>
      <c r="I270" t="n">
        <v>0</v>
      </c>
      <c r="J270" t="n">
        <v>0</v>
      </c>
      <c r="K270" t="n">
        <v>0</v>
      </c>
      <c r="L270" t="n">
        <v>0</v>
      </c>
      <c r="M270" t="n">
        <v>0</v>
      </c>
      <c r="N270" t="n">
        <v>0</v>
      </c>
      <c r="O270" t="n">
        <v>0</v>
      </c>
      <c r="P270" t="n">
        <v>0</v>
      </c>
      <c r="Q270" t="n">
        <v>0</v>
      </c>
      <c r="R270" s="2" t="inlineStr"/>
    </row>
    <row r="271" ht="15" customHeight="1">
      <c r="A271" t="inlineStr">
        <is>
          <t>A 41038-2023</t>
        </is>
      </c>
      <c r="B271" s="1" t="n">
        <v>45173.60959490741</v>
      </c>
      <c r="C271" s="1" t="n">
        <v>46099</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26810-2021</t>
        </is>
      </c>
      <c r="B272" s="1" t="n">
        <v>44349.55087962963</v>
      </c>
      <c r="C272" s="1" t="n">
        <v>46099</v>
      </c>
      <c r="D272" t="inlineStr">
        <is>
          <t>GOTLANDS LÄN</t>
        </is>
      </c>
      <c r="E272" t="inlineStr">
        <is>
          <t>GOTLAND</t>
        </is>
      </c>
      <c r="G272" t="n">
        <v>3.5</v>
      </c>
      <c r="H272" t="n">
        <v>0</v>
      </c>
      <c r="I272" t="n">
        <v>0</v>
      </c>
      <c r="J272" t="n">
        <v>0</v>
      </c>
      <c r="K272" t="n">
        <v>0</v>
      </c>
      <c r="L272" t="n">
        <v>0</v>
      </c>
      <c r="M272" t="n">
        <v>0</v>
      </c>
      <c r="N272" t="n">
        <v>0</v>
      </c>
      <c r="O272" t="n">
        <v>0</v>
      </c>
      <c r="P272" t="n">
        <v>0</v>
      </c>
      <c r="Q272" t="n">
        <v>0</v>
      </c>
      <c r="R272" s="2" t="inlineStr"/>
    </row>
    <row r="273" ht="15" customHeight="1">
      <c r="A273" t="inlineStr">
        <is>
          <t>A 30815-2023</t>
        </is>
      </c>
      <c r="B273" s="1" t="n">
        <v>45112</v>
      </c>
      <c r="C273" s="1" t="n">
        <v>46099</v>
      </c>
      <c r="D273" t="inlineStr">
        <is>
          <t>GOTLANDS LÄN</t>
        </is>
      </c>
      <c r="E273" t="inlineStr">
        <is>
          <t>GOTLAND</t>
        </is>
      </c>
      <c r="G273" t="n">
        <v>6</v>
      </c>
      <c r="H273" t="n">
        <v>0</v>
      </c>
      <c r="I273" t="n">
        <v>0</v>
      </c>
      <c r="J273" t="n">
        <v>0</v>
      </c>
      <c r="K273" t="n">
        <v>0</v>
      </c>
      <c r="L273" t="n">
        <v>0</v>
      </c>
      <c r="M273" t="n">
        <v>0</v>
      </c>
      <c r="N273" t="n">
        <v>0</v>
      </c>
      <c r="O273" t="n">
        <v>0</v>
      </c>
      <c r="P273" t="n">
        <v>0</v>
      </c>
      <c r="Q273" t="n">
        <v>0</v>
      </c>
      <c r="R273" s="2" t="inlineStr"/>
    </row>
    <row r="274" ht="15" customHeight="1">
      <c r="A274" t="inlineStr">
        <is>
          <t>A 5923-2023</t>
        </is>
      </c>
      <c r="B274" s="1" t="n">
        <v>44963.69503472222</v>
      </c>
      <c r="C274" s="1" t="n">
        <v>46099</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33853-2024</t>
        </is>
      </c>
      <c r="B275" s="1" t="n">
        <v>45520.64298611111</v>
      </c>
      <c r="C275" s="1" t="n">
        <v>46099</v>
      </c>
      <c r="D275" t="inlineStr">
        <is>
          <t>GOTLANDS LÄN</t>
        </is>
      </c>
      <c r="E275" t="inlineStr">
        <is>
          <t>GOTLAND</t>
        </is>
      </c>
      <c r="G275" t="n">
        <v>3.9</v>
      </c>
      <c r="H275" t="n">
        <v>0</v>
      </c>
      <c r="I275" t="n">
        <v>0</v>
      </c>
      <c r="J275" t="n">
        <v>0</v>
      </c>
      <c r="K275" t="n">
        <v>0</v>
      </c>
      <c r="L275" t="n">
        <v>0</v>
      </c>
      <c r="M275" t="n">
        <v>0</v>
      </c>
      <c r="N275" t="n">
        <v>0</v>
      </c>
      <c r="O275" t="n">
        <v>0</v>
      </c>
      <c r="P275" t="n">
        <v>0</v>
      </c>
      <c r="Q275" t="n">
        <v>0</v>
      </c>
      <c r="R275" s="2" t="inlineStr"/>
    </row>
    <row r="276" ht="15" customHeight="1">
      <c r="A276" t="inlineStr">
        <is>
          <t>A 18918-2025</t>
        </is>
      </c>
      <c r="B276" s="1" t="n">
        <v>45764</v>
      </c>
      <c r="C276" s="1" t="n">
        <v>46099</v>
      </c>
      <c r="D276" t="inlineStr">
        <is>
          <t>GOTLANDS LÄN</t>
        </is>
      </c>
      <c r="E276" t="inlineStr">
        <is>
          <t>GOTLAND</t>
        </is>
      </c>
      <c r="G276" t="n">
        <v>1.7</v>
      </c>
      <c r="H276" t="n">
        <v>0</v>
      </c>
      <c r="I276" t="n">
        <v>0</v>
      </c>
      <c r="J276" t="n">
        <v>0</v>
      </c>
      <c r="K276" t="n">
        <v>0</v>
      </c>
      <c r="L276" t="n">
        <v>0</v>
      </c>
      <c r="M276" t="n">
        <v>0</v>
      </c>
      <c r="N276" t="n">
        <v>0</v>
      </c>
      <c r="O276" t="n">
        <v>0</v>
      </c>
      <c r="P276" t="n">
        <v>0</v>
      </c>
      <c r="Q276" t="n">
        <v>0</v>
      </c>
      <c r="R276" s="2" t="inlineStr"/>
    </row>
    <row r="277" ht="15" customHeight="1">
      <c r="A277" t="inlineStr">
        <is>
          <t>A 2674-2023</t>
        </is>
      </c>
      <c r="B277" s="1" t="n">
        <v>44944</v>
      </c>
      <c r="C277" s="1" t="n">
        <v>46099</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7034-2023</t>
        </is>
      </c>
      <c r="B278" s="1" t="n">
        <v>44968.32108796296</v>
      </c>
      <c r="C278" s="1" t="n">
        <v>46099</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7042-2023</t>
        </is>
      </c>
      <c r="B279" s="1" t="n">
        <v>44968</v>
      </c>
      <c r="C279" s="1" t="n">
        <v>46099</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23516-2023</t>
        </is>
      </c>
      <c r="B280" s="1" t="n">
        <v>45076.93391203704</v>
      </c>
      <c r="C280" s="1" t="n">
        <v>46099</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64660-2023</t>
        </is>
      </c>
      <c r="B281" s="1" t="n">
        <v>45281.60122685185</v>
      </c>
      <c r="C281" s="1" t="n">
        <v>46099</v>
      </c>
      <c r="D281" t="inlineStr">
        <is>
          <t>GOTLANDS LÄN</t>
        </is>
      </c>
      <c r="E281" t="inlineStr">
        <is>
          <t>GOTLAND</t>
        </is>
      </c>
      <c r="G281" t="n">
        <v>6.3</v>
      </c>
      <c r="H281" t="n">
        <v>0</v>
      </c>
      <c r="I281" t="n">
        <v>0</v>
      </c>
      <c r="J281" t="n">
        <v>0</v>
      </c>
      <c r="K281" t="n">
        <v>0</v>
      </c>
      <c r="L281" t="n">
        <v>0</v>
      </c>
      <c r="M281" t="n">
        <v>0</v>
      </c>
      <c r="N281" t="n">
        <v>0</v>
      </c>
      <c r="O281" t="n">
        <v>0</v>
      </c>
      <c r="P281" t="n">
        <v>0</v>
      </c>
      <c r="Q281" t="n">
        <v>0</v>
      </c>
      <c r="R281" s="2" t="inlineStr"/>
    </row>
    <row r="282" ht="15" customHeight="1">
      <c r="A282" t="inlineStr">
        <is>
          <t>A 14427-2024</t>
        </is>
      </c>
      <c r="B282" s="1" t="n">
        <v>45394</v>
      </c>
      <c r="C282" s="1" t="n">
        <v>46099</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63763-2023</t>
        </is>
      </c>
      <c r="B283" s="1" t="n">
        <v>45278.33944444444</v>
      </c>
      <c r="C283" s="1" t="n">
        <v>46099</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10655-2023</t>
        </is>
      </c>
      <c r="B284" s="1" t="n">
        <v>44988.49543981482</v>
      </c>
      <c r="C284" s="1" t="n">
        <v>46099</v>
      </c>
      <c r="D284" t="inlineStr">
        <is>
          <t>GOTLANDS LÄN</t>
        </is>
      </c>
      <c r="E284" t="inlineStr">
        <is>
          <t>GOTLAND</t>
        </is>
      </c>
      <c r="F284" t="inlineStr">
        <is>
          <t>Kyrkan</t>
        </is>
      </c>
      <c r="G284" t="n">
        <v>2</v>
      </c>
      <c r="H284" t="n">
        <v>0</v>
      </c>
      <c r="I284" t="n">
        <v>0</v>
      </c>
      <c r="J284" t="n">
        <v>0</v>
      </c>
      <c r="K284" t="n">
        <v>0</v>
      </c>
      <c r="L284" t="n">
        <v>0</v>
      </c>
      <c r="M284" t="n">
        <v>0</v>
      </c>
      <c r="N284" t="n">
        <v>0</v>
      </c>
      <c r="O284" t="n">
        <v>0</v>
      </c>
      <c r="P284" t="n">
        <v>0</v>
      </c>
      <c r="Q284" t="n">
        <v>0</v>
      </c>
      <c r="R284" s="2" t="inlineStr"/>
    </row>
    <row r="285" ht="15" customHeight="1">
      <c r="A285" t="inlineStr">
        <is>
          <t>A 2719-2023</t>
        </is>
      </c>
      <c r="B285" s="1" t="n">
        <v>44944.55361111111</v>
      </c>
      <c r="C285" s="1" t="n">
        <v>46099</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31802-2024</t>
        </is>
      </c>
      <c r="B286" s="1" t="n">
        <v>45509</v>
      </c>
      <c r="C286" s="1" t="n">
        <v>46099</v>
      </c>
      <c r="D286" t="inlineStr">
        <is>
          <t>GOTLANDS LÄN</t>
        </is>
      </c>
      <c r="E286" t="inlineStr">
        <is>
          <t>GOTLAND</t>
        </is>
      </c>
      <c r="G286" t="n">
        <v>2.8</v>
      </c>
      <c r="H286" t="n">
        <v>0</v>
      </c>
      <c r="I286" t="n">
        <v>0</v>
      </c>
      <c r="J286" t="n">
        <v>0</v>
      </c>
      <c r="K286" t="n">
        <v>0</v>
      </c>
      <c r="L286" t="n">
        <v>0</v>
      </c>
      <c r="M286" t="n">
        <v>0</v>
      </c>
      <c r="N286" t="n">
        <v>0</v>
      </c>
      <c r="O286" t="n">
        <v>0</v>
      </c>
      <c r="P286" t="n">
        <v>0</v>
      </c>
      <c r="Q286" t="n">
        <v>0</v>
      </c>
      <c r="R286" s="2" t="inlineStr"/>
    </row>
    <row r="287" ht="15" customHeight="1">
      <c r="A287" t="inlineStr">
        <is>
          <t>A 26891-2024</t>
        </is>
      </c>
      <c r="B287" s="1" t="n">
        <v>45470.65540509259</v>
      </c>
      <c r="C287" s="1" t="n">
        <v>46099</v>
      </c>
      <c r="D287" t="inlineStr">
        <is>
          <t>GOTLANDS LÄN</t>
        </is>
      </c>
      <c r="E287" t="inlineStr">
        <is>
          <t>GOTLAND</t>
        </is>
      </c>
      <c r="G287" t="n">
        <v>0.8</v>
      </c>
      <c r="H287" t="n">
        <v>0</v>
      </c>
      <c r="I287" t="n">
        <v>0</v>
      </c>
      <c r="J287" t="n">
        <v>0</v>
      </c>
      <c r="K287" t="n">
        <v>0</v>
      </c>
      <c r="L287" t="n">
        <v>0</v>
      </c>
      <c r="M287" t="n">
        <v>0</v>
      </c>
      <c r="N287" t="n">
        <v>0</v>
      </c>
      <c r="O287" t="n">
        <v>0</v>
      </c>
      <c r="P287" t="n">
        <v>0</v>
      </c>
      <c r="Q287" t="n">
        <v>0</v>
      </c>
      <c r="R287" s="2" t="inlineStr"/>
    </row>
    <row r="288" ht="15" customHeight="1">
      <c r="A288" t="inlineStr">
        <is>
          <t>A 42007-2023</t>
        </is>
      </c>
      <c r="B288" s="1" t="n">
        <v>45177</v>
      </c>
      <c r="C288" s="1" t="n">
        <v>46099</v>
      </c>
      <c r="D288" t="inlineStr">
        <is>
          <t>GOTLANDS LÄN</t>
        </is>
      </c>
      <c r="E288" t="inlineStr">
        <is>
          <t>GOTLAND</t>
        </is>
      </c>
      <c r="G288" t="n">
        <v>0.8</v>
      </c>
      <c r="H288" t="n">
        <v>0</v>
      </c>
      <c r="I288" t="n">
        <v>0</v>
      </c>
      <c r="J288" t="n">
        <v>0</v>
      </c>
      <c r="K288" t="n">
        <v>0</v>
      </c>
      <c r="L288" t="n">
        <v>0</v>
      </c>
      <c r="M288" t="n">
        <v>0</v>
      </c>
      <c r="N288" t="n">
        <v>0</v>
      </c>
      <c r="O288" t="n">
        <v>0</v>
      </c>
      <c r="P288" t="n">
        <v>0</v>
      </c>
      <c r="Q288" t="n">
        <v>0</v>
      </c>
      <c r="R288" s="2" t="inlineStr"/>
    </row>
    <row r="289" ht="15" customHeight="1">
      <c r="A289" t="inlineStr">
        <is>
          <t>A 9887-2025</t>
        </is>
      </c>
      <c r="B289" s="1" t="n">
        <v>45716</v>
      </c>
      <c r="C289" s="1" t="n">
        <v>46099</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63229-2021</t>
        </is>
      </c>
      <c r="B290" s="1" t="n">
        <v>44508.34518518519</v>
      </c>
      <c r="C290" s="1" t="n">
        <v>46099</v>
      </c>
      <c r="D290" t="inlineStr">
        <is>
          <t>GOTLANDS LÄN</t>
        </is>
      </c>
      <c r="E290" t="inlineStr">
        <is>
          <t>GOTLAND</t>
        </is>
      </c>
      <c r="F290" t="inlineStr">
        <is>
          <t>Kyrkan</t>
        </is>
      </c>
      <c r="G290" t="n">
        <v>3.8</v>
      </c>
      <c r="H290" t="n">
        <v>0</v>
      </c>
      <c r="I290" t="n">
        <v>0</v>
      </c>
      <c r="J290" t="n">
        <v>0</v>
      </c>
      <c r="K290" t="n">
        <v>0</v>
      </c>
      <c r="L290" t="n">
        <v>0</v>
      </c>
      <c r="M290" t="n">
        <v>0</v>
      </c>
      <c r="N290" t="n">
        <v>0</v>
      </c>
      <c r="O290" t="n">
        <v>0</v>
      </c>
      <c r="P290" t="n">
        <v>0</v>
      </c>
      <c r="Q290" t="n">
        <v>0</v>
      </c>
      <c r="R290" s="2" t="inlineStr"/>
    </row>
    <row r="291" ht="15" customHeight="1">
      <c r="A291" t="inlineStr">
        <is>
          <t>A 46375-2024</t>
        </is>
      </c>
      <c r="B291" s="1" t="n">
        <v>45582</v>
      </c>
      <c r="C291" s="1" t="n">
        <v>46099</v>
      </c>
      <c r="D291" t="inlineStr">
        <is>
          <t>GOTLANDS LÄN</t>
        </is>
      </c>
      <c r="E291" t="inlineStr">
        <is>
          <t>GOTLAND</t>
        </is>
      </c>
      <c r="G291" t="n">
        <v>3</v>
      </c>
      <c r="H291" t="n">
        <v>0</v>
      </c>
      <c r="I291" t="n">
        <v>0</v>
      </c>
      <c r="J291" t="n">
        <v>0</v>
      </c>
      <c r="K291" t="n">
        <v>0</v>
      </c>
      <c r="L291" t="n">
        <v>0</v>
      </c>
      <c r="M291" t="n">
        <v>0</v>
      </c>
      <c r="N291" t="n">
        <v>0</v>
      </c>
      <c r="O291" t="n">
        <v>0</v>
      </c>
      <c r="P291" t="n">
        <v>0</v>
      </c>
      <c r="Q291" t="n">
        <v>0</v>
      </c>
      <c r="R291" s="2" t="inlineStr"/>
    </row>
    <row r="292" ht="15" customHeight="1">
      <c r="A292" t="inlineStr">
        <is>
          <t>A 38165-2023</t>
        </is>
      </c>
      <c r="B292" s="1" t="n">
        <v>45161</v>
      </c>
      <c r="C292" s="1" t="n">
        <v>46099</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8036-2022</t>
        </is>
      </c>
      <c r="B293" s="1" t="n">
        <v>44609.44362268518</v>
      </c>
      <c r="C293" s="1" t="n">
        <v>46099</v>
      </c>
      <c r="D293" t="inlineStr">
        <is>
          <t>GOTLANDS LÄN</t>
        </is>
      </c>
      <c r="E293" t="inlineStr">
        <is>
          <t>GOTLAND</t>
        </is>
      </c>
      <c r="G293" t="n">
        <v>6.1</v>
      </c>
      <c r="H293" t="n">
        <v>0</v>
      </c>
      <c r="I293" t="n">
        <v>0</v>
      </c>
      <c r="J293" t="n">
        <v>0</v>
      </c>
      <c r="K293" t="n">
        <v>0</v>
      </c>
      <c r="L293" t="n">
        <v>0</v>
      </c>
      <c r="M293" t="n">
        <v>0</v>
      </c>
      <c r="N293" t="n">
        <v>0</v>
      </c>
      <c r="O293" t="n">
        <v>0</v>
      </c>
      <c r="P293" t="n">
        <v>0</v>
      </c>
      <c r="Q293" t="n">
        <v>0</v>
      </c>
      <c r="R293" s="2" t="inlineStr"/>
    </row>
    <row r="294" ht="15" customHeight="1">
      <c r="A294" t="inlineStr">
        <is>
          <t>A 12846-2025</t>
        </is>
      </c>
      <c r="B294" s="1" t="n">
        <v>45733.65049768519</v>
      </c>
      <c r="C294" s="1" t="n">
        <v>46099</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27596-2023</t>
        </is>
      </c>
      <c r="B295" s="1" t="n">
        <v>45097</v>
      </c>
      <c r="C295" s="1" t="n">
        <v>46099</v>
      </c>
      <c r="D295" t="inlineStr">
        <is>
          <t>GOTLANDS LÄN</t>
        </is>
      </c>
      <c r="E295" t="inlineStr">
        <is>
          <t>GOTLAND</t>
        </is>
      </c>
      <c r="G295" t="n">
        <v>3.6</v>
      </c>
      <c r="H295" t="n">
        <v>0</v>
      </c>
      <c r="I295" t="n">
        <v>0</v>
      </c>
      <c r="J295" t="n">
        <v>0</v>
      </c>
      <c r="K295" t="n">
        <v>0</v>
      </c>
      <c r="L295" t="n">
        <v>0</v>
      </c>
      <c r="M295" t="n">
        <v>0</v>
      </c>
      <c r="N295" t="n">
        <v>0</v>
      </c>
      <c r="O295" t="n">
        <v>0</v>
      </c>
      <c r="P295" t="n">
        <v>0</v>
      </c>
      <c r="Q295" t="n">
        <v>0</v>
      </c>
      <c r="R295" s="2" t="inlineStr"/>
    </row>
    <row r="296" ht="15" customHeight="1">
      <c r="A296" t="inlineStr">
        <is>
          <t>A 32330-2024</t>
        </is>
      </c>
      <c r="B296" s="1" t="n">
        <v>45512</v>
      </c>
      <c r="C296" s="1" t="n">
        <v>46099</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24825-2024</t>
        </is>
      </c>
      <c r="B297" s="1" t="n">
        <v>45461</v>
      </c>
      <c r="C297" s="1" t="n">
        <v>46099</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6696-2023</t>
        </is>
      </c>
      <c r="B298" s="1" t="n">
        <v>44966.66425925926</v>
      </c>
      <c r="C298" s="1" t="n">
        <v>46099</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46949-2024</t>
        </is>
      </c>
      <c r="B299" s="1" t="n">
        <v>45585</v>
      </c>
      <c r="C299" s="1" t="n">
        <v>46099</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21247-2022</t>
        </is>
      </c>
      <c r="B300" s="1" t="n">
        <v>44705.38832175926</v>
      </c>
      <c r="C300" s="1" t="n">
        <v>46099</v>
      </c>
      <c r="D300" t="inlineStr">
        <is>
          <t>GOTLANDS LÄN</t>
        </is>
      </c>
      <c r="E300" t="inlineStr">
        <is>
          <t>GOTLAND</t>
        </is>
      </c>
      <c r="G300" t="n">
        <v>16.2</v>
      </c>
      <c r="H300" t="n">
        <v>0</v>
      </c>
      <c r="I300" t="n">
        <v>0</v>
      </c>
      <c r="J300" t="n">
        <v>0</v>
      </c>
      <c r="K300" t="n">
        <v>0</v>
      </c>
      <c r="L300" t="n">
        <v>0</v>
      </c>
      <c r="M300" t="n">
        <v>0</v>
      </c>
      <c r="N300" t="n">
        <v>0</v>
      </c>
      <c r="O300" t="n">
        <v>0</v>
      </c>
      <c r="P300" t="n">
        <v>0</v>
      </c>
      <c r="Q300" t="n">
        <v>0</v>
      </c>
      <c r="R300" s="2" t="inlineStr"/>
    </row>
    <row r="301" ht="15" customHeight="1">
      <c r="A301" t="inlineStr">
        <is>
          <t>A 456-2023</t>
        </is>
      </c>
      <c r="B301" s="1" t="n">
        <v>44929.87122685185</v>
      </c>
      <c r="C301" s="1" t="n">
        <v>46099</v>
      </c>
      <c r="D301" t="inlineStr">
        <is>
          <t>GOTLANDS LÄN</t>
        </is>
      </c>
      <c r="E301" t="inlineStr">
        <is>
          <t>GOTLAND</t>
        </is>
      </c>
      <c r="G301" t="n">
        <v>3.2</v>
      </c>
      <c r="H301" t="n">
        <v>0</v>
      </c>
      <c r="I301" t="n">
        <v>0</v>
      </c>
      <c r="J301" t="n">
        <v>0</v>
      </c>
      <c r="K301" t="n">
        <v>0</v>
      </c>
      <c r="L301" t="n">
        <v>0</v>
      </c>
      <c r="M301" t="n">
        <v>0</v>
      </c>
      <c r="N301" t="n">
        <v>0</v>
      </c>
      <c r="O301" t="n">
        <v>0</v>
      </c>
      <c r="P301" t="n">
        <v>0</v>
      </c>
      <c r="Q301" t="n">
        <v>0</v>
      </c>
      <c r="R301" s="2" t="inlineStr"/>
    </row>
    <row r="302" ht="15" customHeight="1">
      <c r="A302" t="inlineStr">
        <is>
          <t>A 10650-2022</t>
        </is>
      </c>
      <c r="B302" s="1" t="n">
        <v>44624.57945601852</v>
      </c>
      <c r="C302" s="1" t="n">
        <v>46099</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2714-2023</t>
        </is>
      </c>
      <c r="B303" s="1" t="n">
        <v>44944.54896990741</v>
      </c>
      <c r="C303" s="1" t="n">
        <v>46099</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4421-2024</t>
        </is>
      </c>
      <c r="B304" s="1" t="n">
        <v>45327.45173611111</v>
      </c>
      <c r="C304" s="1" t="n">
        <v>46099</v>
      </c>
      <c r="D304" t="inlineStr">
        <is>
          <t>GOTLANDS LÄN</t>
        </is>
      </c>
      <c r="E304" t="inlineStr">
        <is>
          <t>GOTLAND</t>
        </is>
      </c>
      <c r="G304" t="n">
        <v>5.1</v>
      </c>
      <c r="H304" t="n">
        <v>0</v>
      </c>
      <c r="I304" t="n">
        <v>0</v>
      </c>
      <c r="J304" t="n">
        <v>0</v>
      </c>
      <c r="K304" t="n">
        <v>0</v>
      </c>
      <c r="L304" t="n">
        <v>0</v>
      </c>
      <c r="M304" t="n">
        <v>0</v>
      </c>
      <c r="N304" t="n">
        <v>0</v>
      </c>
      <c r="O304" t="n">
        <v>0</v>
      </c>
      <c r="P304" t="n">
        <v>0</v>
      </c>
      <c r="Q304" t="n">
        <v>0</v>
      </c>
      <c r="R304" s="2" t="inlineStr"/>
    </row>
    <row r="305" ht="15" customHeight="1">
      <c r="A305" t="inlineStr">
        <is>
          <t>A 51782-2023</t>
        </is>
      </c>
      <c r="B305" s="1" t="n">
        <v>45222.80952546297</v>
      </c>
      <c r="C305" s="1" t="n">
        <v>46099</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54268-2022</t>
        </is>
      </c>
      <c r="B306" s="1" t="n">
        <v>44882</v>
      </c>
      <c r="C306" s="1" t="n">
        <v>46099</v>
      </c>
      <c r="D306" t="inlineStr">
        <is>
          <t>GOTLANDS LÄN</t>
        </is>
      </c>
      <c r="E306" t="inlineStr">
        <is>
          <t>GOTLAND</t>
        </is>
      </c>
      <c r="G306" t="n">
        <v>2.7</v>
      </c>
      <c r="H306" t="n">
        <v>0</v>
      </c>
      <c r="I306" t="n">
        <v>0</v>
      </c>
      <c r="J306" t="n">
        <v>0</v>
      </c>
      <c r="K306" t="n">
        <v>0</v>
      </c>
      <c r="L306" t="n">
        <v>0</v>
      </c>
      <c r="M306" t="n">
        <v>0</v>
      </c>
      <c r="N306" t="n">
        <v>0</v>
      </c>
      <c r="O306" t="n">
        <v>0</v>
      </c>
      <c r="P306" t="n">
        <v>0</v>
      </c>
      <c r="Q306" t="n">
        <v>0</v>
      </c>
      <c r="R306" s="2" t="inlineStr"/>
    </row>
    <row r="307" ht="15" customHeight="1">
      <c r="A307" t="inlineStr">
        <is>
          <t>A 1734-2025</t>
        </is>
      </c>
      <c r="B307" s="1" t="n">
        <v>45671.3840625</v>
      </c>
      <c r="C307" s="1" t="n">
        <v>46099</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20993-2023</t>
        </is>
      </c>
      <c r="B308" s="1" t="n">
        <v>45056</v>
      </c>
      <c r="C308" s="1" t="n">
        <v>46099</v>
      </c>
      <c r="D308" t="inlineStr">
        <is>
          <t>GOTLANDS LÄN</t>
        </is>
      </c>
      <c r="E308" t="inlineStr">
        <is>
          <t>GOTLAND</t>
        </is>
      </c>
      <c r="G308" t="n">
        <v>7.1</v>
      </c>
      <c r="H308" t="n">
        <v>0</v>
      </c>
      <c r="I308" t="n">
        <v>0</v>
      </c>
      <c r="J308" t="n">
        <v>0</v>
      </c>
      <c r="K308" t="n">
        <v>0</v>
      </c>
      <c r="L308" t="n">
        <v>0</v>
      </c>
      <c r="M308" t="n">
        <v>0</v>
      </c>
      <c r="N308" t="n">
        <v>0</v>
      </c>
      <c r="O308" t="n">
        <v>0</v>
      </c>
      <c r="P308" t="n">
        <v>0</v>
      </c>
      <c r="Q308" t="n">
        <v>0</v>
      </c>
      <c r="R308" s="2" t="inlineStr"/>
    </row>
    <row r="309" ht="15" customHeight="1">
      <c r="A309" t="inlineStr">
        <is>
          <t>A 57534-2022</t>
        </is>
      </c>
      <c r="B309" s="1" t="n">
        <v>44896</v>
      </c>
      <c r="C309" s="1" t="n">
        <v>46099</v>
      </c>
      <c r="D309" t="inlineStr">
        <is>
          <t>GOTLANDS LÄN</t>
        </is>
      </c>
      <c r="E309" t="inlineStr">
        <is>
          <t>GOTLAND</t>
        </is>
      </c>
      <c r="G309" t="n">
        <v>0.6</v>
      </c>
      <c r="H309" t="n">
        <v>0</v>
      </c>
      <c r="I309" t="n">
        <v>0</v>
      </c>
      <c r="J309" t="n">
        <v>0</v>
      </c>
      <c r="K309" t="n">
        <v>0</v>
      </c>
      <c r="L309" t="n">
        <v>0</v>
      </c>
      <c r="M309" t="n">
        <v>0</v>
      </c>
      <c r="N309" t="n">
        <v>0</v>
      </c>
      <c r="O309" t="n">
        <v>0</v>
      </c>
      <c r="P309" t="n">
        <v>0</v>
      </c>
      <c r="Q309" t="n">
        <v>0</v>
      </c>
      <c r="R309" s="2" t="inlineStr"/>
    </row>
    <row r="310" ht="15" customHeight="1">
      <c r="A310" t="inlineStr">
        <is>
          <t>A 25866-2022</t>
        </is>
      </c>
      <c r="B310" s="1" t="n">
        <v>44733</v>
      </c>
      <c r="C310" s="1" t="n">
        <v>46099</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43229-2023</t>
        </is>
      </c>
      <c r="B311" s="1" t="n">
        <v>45183.46704861111</v>
      </c>
      <c r="C311" s="1" t="n">
        <v>46099</v>
      </c>
      <c r="D311" t="inlineStr">
        <is>
          <t>GOTLANDS LÄN</t>
        </is>
      </c>
      <c r="E311" t="inlineStr">
        <is>
          <t>GOTLAND</t>
        </is>
      </c>
      <c r="G311" t="n">
        <v>7.1</v>
      </c>
      <c r="H311" t="n">
        <v>0</v>
      </c>
      <c r="I311" t="n">
        <v>0</v>
      </c>
      <c r="J311" t="n">
        <v>0</v>
      </c>
      <c r="K311" t="n">
        <v>0</v>
      </c>
      <c r="L311" t="n">
        <v>0</v>
      </c>
      <c r="M311" t="n">
        <v>0</v>
      </c>
      <c r="N311" t="n">
        <v>0</v>
      </c>
      <c r="O311" t="n">
        <v>0</v>
      </c>
      <c r="P311" t="n">
        <v>0</v>
      </c>
      <c r="Q311" t="n">
        <v>0</v>
      </c>
      <c r="R311" s="2" t="inlineStr"/>
    </row>
    <row r="312" ht="15" customHeight="1">
      <c r="A312" t="inlineStr">
        <is>
          <t>A 1175-2025</t>
        </is>
      </c>
      <c r="B312" s="1" t="n">
        <v>45667.34449074074</v>
      </c>
      <c r="C312" s="1" t="n">
        <v>46099</v>
      </c>
      <c r="D312" t="inlineStr">
        <is>
          <t>GOTLANDS LÄN</t>
        </is>
      </c>
      <c r="E312" t="inlineStr">
        <is>
          <t>GOTLAND</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27095-2022</t>
        </is>
      </c>
      <c r="B313" s="1" t="n">
        <v>44741</v>
      </c>
      <c r="C313" s="1" t="n">
        <v>46099</v>
      </c>
      <c r="D313" t="inlineStr">
        <is>
          <t>GOTLANDS LÄN</t>
        </is>
      </c>
      <c r="E313" t="inlineStr">
        <is>
          <t>GOTLAND</t>
        </is>
      </c>
      <c r="F313" t="inlineStr">
        <is>
          <t>Övriga Aktiebolag</t>
        </is>
      </c>
      <c r="G313" t="n">
        <v>2.9</v>
      </c>
      <c r="H313" t="n">
        <v>0</v>
      </c>
      <c r="I313" t="n">
        <v>0</v>
      </c>
      <c r="J313" t="n">
        <v>0</v>
      </c>
      <c r="K313" t="n">
        <v>0</v>
      </c>
      <c r="L313" t="n">
        <v>0</v>
      </c>
      <c r="M313" t="n">
        <v>0</v>
      </c>
      <c r="N313" t="n">
        <v>0</v>
      </c>
      <c r="O313" t="n">
        <v>0</v>
      </c>
      <c r="P313" t="n">
        <v>0</v>
      </c>
      <c r="Q313" t="n">
        <v>0</v>
      </c>
      <c r="R313" s="2" t="inlineStr"/>
    </row>
    <row r="314" ht="15" customHeight="1">
      <c r="A314" t="inlineStr">
        <is>
          <t>A 22899-2023</t>
        </is>
      </c>
      <c r="B314" s="1" t="n">
        <v>45072</v>
      </c>
      <c r="C314" s="1" t="n">
        <v>46099</v>
      </c>
      <c r="D314" t="inlineStr">
        <is>
          <t>GOTLANDS LÄN</t>
        </is>
      </c>
      <c r="E314" t="inlineStr">
        <is>
          <t>GOTLAND</t>
        </is>
      </c>
      <c r="G314" t="n">
        <v>0.7</v>
      </c>
      <c r="H314" t="n">
        <v>0</v>
      </c>
      <c r="I314" t="n">
        <v>0</v>
      </c>
      <c r="J314" t="n">
        <v>0</v>
      </c>
      <c r="K314" t="n">
        <v>0</v>
      </c>
      <c r="L314" t="n">
        <v>0</v>
      </c>
      <c r="M314" t="n">
        <v>0</v>
      </c>
      <c r="N314" t="n">
        <v>0</v>
      </c>
      <c r="O314" t="n">
        <v>0</v>
      </c>
      <c r="P314" t="n">
        <v>0</v>
      </c>
      <c r="Q314" t="n">
        <v>0</v>
      </c>
      <c r="R314" s="2" t="inlineStr"/>
    </row>
    <row r="315" ht="15" customHeight="1">
      <c r="A315" t="inlineStr">
        <is>
          <t>A 11634-2024</t>
        </is>
      </c>
      <c r="B315" s="1" t="n">
        <v>45373</v>
      </c>
      <c r="C315" s="1" t="n">
        <v>46099</v>
      </c>
      <c r="D315" t="inlineStr">
        <is>
          <t>GOTLANDS LÄN</t>
        </is>
      </c>
      <c r="E315" t="inlineStr">
        <is>
          <t>GOTLAND</t>
        </is>
      </c>
      <c r="G315" t="n">
        <v>3</v>
      </c>
      <c r="H315" t="n">
        <v>0</v>
      </c>
      <c r="I315" t="n">
        <v>0</v>
      </c>
      <c r="J315" t="n">
        <v>0</v>
      </c>
      <c r="K315" t="n">
        <v>0</v>
      </c>
      <c r="L315" t="n">
        <v>0</v>
      </c>
      <c r="M315" t="n">
        <v>0</v>
      </c>
      <c r="N315" t="n">
        <v>0</v>
      </c>
      <c r="O315" t="n">
        <v>0</v>
      </c>
      <c r="P315" t="n">
        <v>0</v>
      </c>
      <c r="Q315" t="n">
        <v>0</v>
      </c>
      <c r="R315" s="2" t="inlineStr"/>
    </row>
    <row r="316" ht="15" customHeight="1">
      <c r="A316" t="inlineStr">
        <is>
          <t>A 12596-2023</t>
        </is>
      </c>
      <c r="B316" s="1" t="n">
        <v>45000.43310185185</v>
      </c>
      <c r="C316" s="1" t="n">
        <v>46099</v>
      </c>
      <c r="D316" t="inlineStr">
        <is>
          <t>GOTLANDS LÄN</t>
        </is>
      </c>
      <c r="E316" t="inlineStr">
        <is>
          <t>GOTLAND</t>
        </is>
      </c>
      <c r="G316" t="n">
        <v>4.1</v>
      </c>
      <c r="H316" t="n">
        <v>0</v>
      </c>
      <c r="I316" t="n">
        <v>0</v>
      </c>
      <c r="J316" t="n">
        <v>0</v>
      </c>
      <c r="K316" t="n">
        <v>0</v>
      </c>
      <c r="L316" t="n">
        <v>0</v>
      </c>
      <c r="M316" t="n">
        <v>0</v>
      </c>
      <c r="N316" t="n">
        <v>0</v>
      </c>
      <c r="O316" t="n">
        <v>0</v>
      </c>
      <c r="P316" t="n">
        <v>0</v>
      </c>
      <c r="Q316" t="n">
        <v>0</v>
      </c>
      <c r="R316" s="2" t="inlineStr"/>
    </row>
    <row r="317" ht="15" customHeight="1">
      <c r="A317" t="inlineStr">
        <is>
          <t>A 1351-2025</t>
        </is>
      </c>
      <c r="B317" s="1" t="n">
        <v>45667.62246527777</v>
      </c>
      <c r="C317" s="1" t="n">
        <v>46099</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2125-2025</t>
        </is>
      </c>
      <c r="B318" s="1" t="n">
        <v>45672.64940972222</v>
      </c>
      <c r="C318" s="1" t="n">
        <v>46099</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39496-2022</t>
        </is>
      </c>
      <c r="B319" s="1" t="n">
        <v>44818</v>
      </c>
      <c r="C319" s="1" t="n">
        <v>46099</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23978-2023</t>
        </is>
      </c>
      <c r="B320" s="1" t="n">
        <v>45078</v>
      </c>
      <c r="C320" s="1" t="n">
        <v>46099</v>
      </c>
      <c r="D320" t="inlineStr">
        <is>
          <t>GOTLANDS LÄN</t>
        </is>
      </c>
      <c r="E320" t="inlineStr">
        <is>
          <t>GOTLAND</t>
        </is>
      </c>
      <c r="F320" t="inlineStr">
        <is>
          <t>Naturvårdsverket</t>
        </is>
      </c>
      <c r="G320" t="n">
        <v>1.7</v>
      </c>
      <c r="H320" t="n">
        <v>0</v>
      </c>
      <c r="I320" t="n">
        <v>0</v>
      </c>
      <c r="J320" t="n">
        <v>0</v>
      </c>
      <c r="K320" t="n">
        <v>0</v>
      </c>
      <c r="L320" t="n">
        <v>0</v>
      </c>
      <c r="M320" t="n">
        <v>0</v>
      </c>
      <c r="N320" t="n">
        <v>0</v>
      </c>
      <c r="O320" t="n">
        <v>0</v>
      </c>
      <c r="P320" t="n">
        <v>0</v>
      </c>
      <c r="Q320" t="n">
        <v>0</v>
      </c>
      <c r="R320" s="2" t="inlineStr"/>
    </row>
    <row r="321" ht="15" customHeight="1">
      <c r="A321" t="inlineStr">
        <is>
          <t>A 34407-2023</t>
        </is>
      </c>
      <c r="B321" s="1" t="n">
        <v>45132</v>
      </c>
      <c r="C321" s="1" t="n">
        <v>46099</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11013-2024</t>
        </is>
      </c>
      <c r="B322" s="1" t="n">
        <v>45370</v>
      </c>
      <c r="C322" s="1" t="n">
        <v>46099</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12155-2023</t>
        </is>
      </c>
      <c r="B323" s="1" t="n">
        <v>44998.49106481481</v>
      </c>
      <c r="C323" s="1" t="n">
        <v>46099</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27694-2024</t>
        </is>
      </c>
      <c r="B324" s="1" t="n">
        <v>45475</v>
      </c>
      <c r="C324" s="1" t="n">
        <v>46099</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457-2023</t>
        </is>
      </c>
      <c r="B325" s="1" t="n">
        <v>44929.87238425926</v>
      </c>
      <c r="C325" s="1" t="n">
        <v>46099</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459-2023</t>
        </is>
      </c>
      <c r="B326" s="1" t="n">
        <v>44929.87423611111</v>
      </c>
      <c r="C326" s="1" t="n">
        <v>46099</v>
      </c>
      <c r="D326" t="inlineStr">
        <is>
          <t>GOTLANDS LÄN</t>
        </is>
      </c>
      <c r="E326" t="inlineStr">
        <is>
          <t>GOTLAND</t>
        </is>
      </c>
      <c r="G326" t="n">
        <v>4.2</v>
      </c>
      <c r="H326" t="n">
        <v>0</v>
      </c>
      <c r="I326" t="n">
        <v>0</v>
      </c>
      <c r="J326" t="n">
        <v>0</v>
      </c>
      <c r="K326" t="n">
        <v>0</v>
      </c>
      <c r="L326" t="n">
        <v>0</v>
      </c>
      <c r="M326" t="n">
        <v>0</v>
      </c>
      <c r="N326" t="n">
        <v>0</v>
      </c>
      <c r="O326" t="n">
        <v>0</v>
      </c>
      <c r="P326" t="n">
        <v>0</v>
      </c>
      <c r="Q326" t="n">
        <v>0</v>
      </c>
      <c r="R326" s="2" t="inlineStr"/>
    </row>
    <row r="327" ht="15" customHeight="1">
      <c r="A327" t="inlineStr">
        <is>
          <t>A 38234-2023</t>
        </is>
      </c>
      <c r="B327" s="1" t="n">
        <v>45161.56663194444</v>
      </c>
      <c r="C327" s="1" t="n">
        <v>46099</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49874-2024</t>
        </is>
      </c>
      <c r="B328" s="1" t="n">
        <v>45597.49274305555</v>
      </c>
      <c r="C328" s="1" t="n">
        <v>46099</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15083-2025</t>
        </is>
      </c>
      <c r="B329" s="1" t="n">
        <v>45743</v>
      </c>
      <c r="C329" s="1" t="n">
        <v>46099</v>
      </c>
      <c r="D329" t="inlineStr">
        <is>
          <t>GOTLANDS LÄN</t>
        </is>
      </c>
      <c r="E329" t="inlineStr">
        <is>
          <t>GOTLAND</t>
        </is>
      </c>
      <c r="G329" t="n">
        <v>2.3</v>
      </c>
      <c r="H329" t="n">
        <v>0</v>
      </c>
      <c r="I329" t="n">
        <v>0</v>
      </c>
      <c r="J329" t="n">
        <v>0</v>
      </c>
      <c r="K329" t="n">
        <v>0</v>
      </c>
      <c r="L329" t="n">
        <v>0</v>
      </c>
      <c r="M329" t="n">
        <v>0</v>
      </c>
      <c r="N329" t="n">
        <v>0</v>
      </c>
      <c r="O329" t="n">
        <v>0</v>
      </c>
      <c r="P329" t="n">
        <v>0</v>
      </c>
      <c r="Q329" t="n">
        <v>0</v>
      </c>
      <c r="R329" s="2" t="inlineStr"/>
    </row>
    <row r="330" ht="15" customHeight="1">
      <c r="A330" t="inlineStr">
        <is>
          <t>A 50744-2024</t>
        </is>
      </c>
      <c r="B330" s="1" t="n">
        <v>45602.4187037037</v>
      </c>
      <c r="C330" s="1" t="n">
        <v>46099</v>
      </c>
      <c r="D330" t="inlineStr">
        <is>
          <t>GOTLANDS LÄN</t>
        </is>
      </c>
      <c r="E330" t="inlineStr">
        <is>
          <t>GOTLAND</t>
        </is>
      </c>
      <c r="G330" t="n">
        <v>3.2</v>
      </c>
      <c r="H330" t="n">
        <v>0</v>
      </c>
      <c r="I330" t="n">
        <v>0</v>
      </c>
      <c r="J330" t="n">
        <v>0</v>
      </c>
      <c r="K330" t="n">
        <v>0</v>
      </c>
      <c r="L330" t="n">
        <v>0</v>
      </c>
      <c r="M330" t="n">
        <v>0</v>
      </c>
      <c r="N330" t="n">
        <v>0</v>
      </c>
      <c r="O330" t="n">
        <v>0</v>
      </c>
      <c r="P330" t="n">
        <v>0</v>
      </c>
      <c r="Q330" t="n">
        <v>0</v>
      </c>
      <c r="R330" s="2" t="inlineStr"/>
    </row>
    <row r="331" ht="15" customHeight="1">
      <c r="A331" t="inlineStr">
        <is>
          <t>A 9613-2025</t>
        </is>
      </c>
      <c r="B331" s="1" t="n">
        <v>45715</v>
      </c>
      <c r="C331" s="1" t="n">
        <v>46099</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42201-2023</t>
        </is>
      </c>
      <c r="B332" s="1" t="n">
        <v>45179</v>
      </c>
      <c r="C332" s="1" t="n">
        <v>46099</v>
      </c>
      <c r="D332" t="inlineStr">
        <is>
          <t>GOTLANDS LÄN</t>
        </is>
      </c>
      <c r="E332" t="inlineStr">
        <is>
          <t>GOTLAND</t>
        </is>
      </c>
      <c r="G332" t="n">
        <v>11.9</v>
      </c>
      <c r="H332" t="n">
        <v>0</v>
      </c>
      <c r="I332" t="n">
        <v>0</v>
      </c>
      <c r="J332" t="n">
        <v>0</v>
      </c>
      <c r="K332" t="n">
        <v>0</v>
      </c>
      <c r="L332" t="n">
        <v>0</v>
      </c>
      <c r="M332" t="n">
        <v>0</v>
      </c>
      <c r="N332" t="n">
        <v>0</v>
      </c>
      <c r="O332" t="n">
        <v>0</v>
      </c>
      <c r="P332" t="n">
        <v>0</v>
      </c>
      <c r="Q332" t="n">
        <v>0</v>
      </c>
      <c r="R332" s="2" t="inlineStr"/>
    </row>
    <row r="333" ht="15" customHeight="1">
      <c r="A333" t="inlineStr">
        <is>
          <t>A 13037-2025</t>
        </is>
      </c>
      <c r="B333" s="1" t="n">
        <v>45734</v>
      </c>
      <c r="C333" s="1" t="n">
        <v>46099</v>
      </c>
      <c r="D333" t="inlineStr">
        <is>
          <t>GOTLANDS LÄN</t>
        </is>
      </c>
      <c r="E333" t="inlineStr">
        <is>
          <t>GOTLAND</t>
        </is>
      </c>
      <c r="G333" t="n">
        <v>9.5</v>
      </c>
      <c r="H333" t="n">
        <v>0</v>
      </c>
      <c r="I333" t="n">
        <v>0</v>
      </c>
      <c r="J333" t="n">
        <v>0</v>
      </c>
      <c r="K333" t="n">
        <v>0</v>
      </c>
      <c r="L333" t="n">
        <v>0</v>
      </c>
      <c r="M333" t="n">
        <v>0</v>
      </c>
      <c r="N333" t="n">
        <v>0</v>
      </c>
      <c r="O333" t="n">
        <v>0</v>
      </c>
      <c r="P333" t="n">
        <v>0</v>
      </c>
      <c r="Q333" t="n">
        <v>0</v>
      </c>
      <c r="R333" s="2" t="inlineStr"/>
    </row>
    <row r="334" ht="15" customHeight="1">
      <c r="A334" t="inlineStr">
        <is>
          <t>A 46400-2023</t>
        </is>
      </c>
      <c r="B334" s="1" t="n">
        <v>45197.49290509259</v>
      </c>
      <c r="C334" s="1" t="n">
        <v>46099</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458-2023</t>
        </is>
      </c>
      <c r="B335" s="1" t="n">
        <v>44929</v>
      </c>
      <c r="C335" s="1" t="n">
        <v>46099</v>
      </c>
      <c r="D335" t="inlineStr">
        <is>
          <t>GOTLANDS LÄN</t>
        </is>
      </c>
      <c r="E335" t="inlineStr">
        <is>
          <t>GOTLAND</t>
        </is>
      </c>
      <c r="G335" t="n">
        <v>3.6</v>
      </c>
      <c r="H335" t="n">
        <v>0</v>
      </c>
      <c r="I335" t="n">
        <v>0</v>
      </c>
      <c r="J335" t="n">
        <v>0</v>
      </c>
      <c r="K335" t="n">
        <v>0</v>
      </c>
      <c r="L335" t="n">
        <v>0</v>
      </c>
      <c r="M335" t="n">
        <v>0</v>
      </c>
      <c r="N335" t="n">
        <v>0</v>
      </c>
      <c r="O335" t="n">
        <v>0</v>
      </c>
      <c r="P335" t="n">
        <v>0</v>
      </c>
      <c r="Q335" t="n">
        <v>0</v>
      </c>
      <c r="R335" s="2" t="inlineStr"/>
    </row>
    <row r="336" ht="15" customHeight="1">
      <c r="A336" t="inlineStr">
        <is>
          <t>A 9875-2025</t>
        </is>
      </c>
      <c r="B336" s="1" t="n">
        <v>45716</v>
      </c>
      <c r="C336" s="1" t="n">
        <v>46099</v>
      </c>
      <c r="D336" t="inlineStr">
        <is>
          <t>GOTLANDS LÄN</t>
        </is>
      </c>
      <c r="E336" t="inlineStr">
        <is>
          <t>GOTLAND</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53934-2024</t>
        </is>
      </c>
      <c r="B337" s="1" t="n">
        <v>45615</v>
      </c>
      <c r="C337" s="1" t="n">
        <v>46099</v>
      </c>
      <c r="D337" t="inlineStr">
        <is>
          <t>GOTLANDS LÄN</t>
        </is>
      </c>
      <c r="E337" t="inlineStr">
        <is>
          <t>GOTLAND</t>
        </is>
      </c>
      <c r="G337" t="n">
        <v>5</v>
      </c>
      <c r="H337" t="n">
        <v>0</v>
      </c>
      <c r="I337" t="n">
        <v>0</v>
      </c>
      <c r="J337" t="n">
        <v>0</v>
      </c>
      <c r="K337" t="n">
        <v>0</v>
      </c>
      <c r="L337" t="n">
        <v>0</v>
      </c>
      <c r="M337" t="n">
        <v>0</v>
      </c>
      <c r="N337" t="n">
        <v>0</v>
      </c>
      <c r="O337" t="n">
        <v>0</v>
      </c>
      <c r="P337" t="n">
        <v>0</v>
      </c>
      <c r="Q337" t="n">
        <v>0</v>
      </c>
      <c r="R337" s="2" t="inlineStr"/>
    </row>
    <row r="338" ht="15" customHeight="1">
      <c r="A338" t="inlineStr">
        <is>
          <t>A 44228-2022</t>
        </is>
      </c>
      <c r="B338" s="1" t="n">
        <v>44839.51599537037</v>
      </c>
      <c r="C338" s="1" t="n">
        <v>46099</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21164-2024</t>
        </is>
      </c>
      <c r="B339" s="1" t="n">
        <v>45440</v>
      </c>
      <c r="C339" s="1" t="n">
        <v>46099</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58132-2023</t>
        </is>
      </c>
      <c r="B340" s="1" t="n">
        <v>45250</v>
      </c>
      <c r="C340" s="1" t="n">
        <v>46099</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8045-2022</t>
        </is>
      </c>
      <c r="B341" s="1" t="n">
        <v>44609</v>
      </c>
      <c r="C341" s="1" t="n">
        <v>46099</v>
      </c>
      <c r="D341" t="inlineStr">
        <is>
          <t>GOTLANDS LÄN</t>
        </is>
      </c>
      <c r="E341" t="inlineStr">
        <is>
          <t>GOTLAND</t>
        </is>
      </c>
      <c r="G341" t="n">
        <v>7</v>
      </c>
      <c r="H341" t="n">
        <v>0</v>
      </c>
      <c r="I341" t="n">
        <v>0</v>
      </c>
      <c r="J341" t="n">
        <v>0</v>
      </c>
      <c r="K341" t="n">
        <v>0</v>
      </c>
      <c r="L341" t="n">
        <v>0</v>
      </c>
      <c r="M341" t="n">
        <v>0</v>
      </c>
      <c r="N341" t="n">
        <v>0</v>
      </c>
      <c r="O341" t="n">
        <v>0</v>
      </c>
      <c r="P341" t="n">
        <v>0</v>
      </c>
      <c r="Q341" t="n">
        <v>0</v>
      </c>
      <c r="R341" s="2" t="inlineStr"/>
    </row>
    <row r="342" ht="15" customHeight="1">
      <c r="A342" t="inlineStr">
        <is>
          <t>A 22897-2023</t>
        </is>
      </c>
      <c r="B342" s="1" t="n">
        <v>45072.55239583334</v>
      </c>
      <c r="C342" s="1" t="n">
        <v>46099</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49884-2023</t>
        </is>
      </c>
      <c r="B343" s="1" t="n">
        <v>45213</v>
      </c>
      <c r="C343" s="1" t="n">
        <v>46099</v>
      </c>
      <c r="D343" t="inlineStr">
        <is>
          <t>GOTLANDS LÄN</t>
        </is>
      </c>
      <c r="E343" t="inlineStr">
        <is>
          <t>GOTLAND</t>
        </is>
      </c>
      <c r="G343" t="n">
        <v>8.9</v>
      </c>
      <c r="H343" t="n">
        <v>0</v>
      </c>
      <c r="I343" t="n">
        <v>0</v>
      </c>
      <c r="J343" t="n">
        <v>0</v>
      </c>
      <c r="K343" t="n">
        <v>0</v>
      </c>
      <c r="L343" t="n">
        <v>0</v>
      </c>
      <c r="M343" t="n">
        <v>0</v>
      </c>
      <c r="N343" t="n">
        <v>0</v>
      </c>
      <c r="O343" t="n">
        <v>0</v>
      </c>
      <c r="P343" t="n">
        <v>0</v>
      </c>
      <c r="Q343" t="n">
        <v>0</v>
      </c>
      <c r="R343" s="2" t="inlineStr"/>
    </row>
    <row r="344" ht="15" customHeight="1">
      <c r="A344" t="inlineStr">
        <is>
          <t>A 61897-2024</t>
        </is>
      </c>
      <c r="B344" s="1" t="n">
        <v>45652.75685185185</v>
      </c>
      <c r="C344" s="1" t="n">
        <v>46099</v>
      </c>
      <c r="D344" t="inlineStr">
        <is>
          <t>GOTLANDS LÄN</t>
        </is>
      </c>
      <c r="E344" t="inlineStr">
        <is>
          <t>GOTLAND</t>
        </is>
      </c>
      <c r="G344" t="n">
        <v>6.4</v>
      </c>
      <c r="H344" t="n">
        <v>0</v>
      </c>
      <c r="I344" t="n">
        <v>0</v>
      </c>
      <c r="J344" t="n">
        <v>0</v>
      </c>
      <c r="K344" t="n">
        <v>0</v>
      </c>
      <c r="L344" t="n">
        <v>0</v>
      </c>
      <c r="M344" t="n">
        <v>0</v>
      </c>
      <c r="N344" t="n">
        <v>0</v>
      </c>
      <c r="O344" t="n">
        <v>0</v>
      </c>
      <c r="P344" t="n">
        <v>0</v>
      </c>
      <c r="Q344" t="n">
        <v>0</v>
      </c>
      <c r="R344" s="2" t="inlineStr"/>
    </row>
    <row r="345" ht="15" customHeight="1">
      <c r="A345" t="inlineStr">
        <is>
          <t>A 1446-2025</t>
        </is>
      </c>
      <c r="B345" s="1" t="n">
        <v>45669.86035879629</v>
      </c>
      <c r="C345" s="1" t="n">
        <v>46099</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876-2024</t>
        </is>
      </c>
      <c r="B346" s="1" t="n">
        <v>45301</v>
      </c>
      <c r="C346" s="1" t="n">
        <v>46099</v>
      </c>
      <c r="D346" t="inlineStr">
        <is>
          <t>GOTLANDS LÄN</t>
        </is>
      </c>
      <c r="E346" t="inlineStr">
        <is>
          <t>GOTLAND</t>
        </is>
      </c>
      <c r="G346" t="n">
        <v>5.3</v>
      </c>
      <c r="H346" t="n">
        <v>0</v>
      </c>
      <c r="I346" t="n">
        <v>0</v>
      </c>
      <c r="J346" t="n">
        <v>0</v>
      </c>
      <c r="K346" t="n">
        <v>0</v>
      </c>
      <c r="L346" t="n">
        <v>0</v>
      </c>
      <c r="M346" t="n">
        <v>0</v>
      </c>
      <c r="N346" t="n">
        <v>0</v>
      </c>
      <c r="O346" t="n">
        <v>0</v>
      </c>
      <c r="P346" t="n">
        <v>0</v>
      </c>
      <c r="Q346" t="n">
        <v>0</v>
      </c>
      <c r="R346" s="2" t="inlineStr"/>
    </row>
    <row r="347" ht="15" customHeight="1">
      <c r="A347" t="inlineStr">
        <is>
          <t>A 49962-2023</t>
        </is>
      </c>
      <c r="B347" s="1" t="n">
        <v>45215.38775462963</v>
      </c>
      <c r="C347" s="1" t="n">
        <v>46099</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15595-2024</t>
        </is>
      </c>
      <c r="B348" s="1" t="n">
        <v>45401.81480324074</v>
      </c>
      <c r="C348" s="1" t="n">
        <v>46099</v>
      </c>
      <c r="D348" t="inlineStr">
        <is>
          <t>GOTLANDS LÄN</t>
        </is>
      </c>
      <c r="E348" t="inlineStr">
        <is>
          <t>GOTLAND</t>
        </is>
      </c>
      <c r="G348" t="n">
        <v>6.4</v>
      </c>
      <c r="H348" t="n">
        <v>0</v>
      </c>
      <c r="I348" t="n">
        <v>0</v>
      </c>
      <c r="J348" t="n">
        <v>0</v>
      </c>
      <c r="K348" t="n">
        <v>0</v>
      </c>
      <c r="L348" t="n">
        <v>0</v>
      </c>
      <c r="M348" t="n">
        <v>0</v>
      </c>
      <c r="N348" t="n">
        <v>0</v>
      </c>
      <c r="O348" t="n">
        <v>0</v>
      </c>
      <c r="P348" t="n">
        <v>0</v>
      </c>
      <c r="Q348" t="n">
        <v>0</v>
      </c>
      <c r="R348" s="2" t="inlineStr"/>
    </row>
    <row r="349" ht="15" customHeight="1">
      <c r="A349" t="inlineStr">
        <is>
          <t>A 31264-2021</t>
        </is>
      </c>
      <c r="B349" s="1" t="n">
        <v>44368</v>
      </c>
      <c r="C349" s="1" t="n">
        <v>46099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43901-2023</t>
        </is>
      </c>
      <c r="B350" s="1" t="n">
        <v>45187</v>
      </c>
      <c r="C350" s="1" t="n">
        <v>46099</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22704-2023</t>
        </is>
      </c>
      <c r="B351" s="1" t="n">
        <v>45071</v>
      </c>
      <c r="C351" s="1" t="n">
        <v>46099</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20165-2022</t>
        </is>
      </c>
      <c r="B352" s="1" t="n">
        <v>44698.49854166667</v>
      </c>
      <c r="C352" s="1" t="n">
        <v>46099</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10746-2025</t>
        </is>
      </c>
      <c r="B353" s="1" t="n">
        <v>45722.42766203704</v>
      </c>
      <c r="C353" s="1" t="n">
        <v>46099</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28425-2023</t>
        </is>
      </c>
      <c r="B354" s="1" t="n">
        <v>45102</v>
      </c>
      <c r="C354" s="1" t="n">
        <v>46099</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16501-2023</t>
        </is>
      </c>
      <c r="B355" s="1" t="n">
        <v>45029</v>
      </c>
      <c r="C355" s="1" t="n">
        <v>46099</v>
      </c>
      <c r="D355" t="inlineStr">
        <is>
          <t>GOTLANDS LÄN</t>
        </is>
      </c>
      <c r="E355" t="inlineStr">
        <is>
          <t>GOTLAND</t>
        </is>
      </c>
      <c r="G355" t="n">
        <v>3.1</v>
      </c>
      <c r="H355" t="n">
        <v>0</v>
      </c>
      <c r="I355" t="n">
        <v>0</v>
      </c>
      <c r="J355" t="n">
        <v>0</v>
      </c>
      <c r="K355" t="n">
        <v>0</v>
      </c>
      <c r="L355" t="n">
        <v>0</v>
      </c>
      <c r="M355" t="n">
        <v>0</v>
      </c>
      <c r="N355" t="n">
        <v>0</v>
      </c>
      <c r="O355" t="n">
        <v>0</v>
      </c>
      <c r="P355" t="n">
        <v>0</v>
      </c>
      <c r="Q355" t="n">
        <v>0</v>
      </c>
      <c r="R355" s="2" t="inlineStr"/>
    </row>
    <row r="356" ht="15" customHeight="1">
      <c r="A356" t="inlineStr">
        <is>
          <t>A 58476-2022</t>
        </is>
      </c>
      <c r="B356" s="1" t="n">
        <v>44902</v>
      </c>
      <c r="C356" s="1" t="n">
        <v>46099</v>
      </c>
      <c r="D356" t="inlineStr">
        <is>
          <t>GOTLANDS LÄN</t>
        </is>
      </c>
      <c r="E356" t="inlineStr">
        <is>
          <t>GOTLAND</t>
        </is>
      </c>
      <c r="G356" t="n">
        <v>0.9</v>
      </c>
      <c r="H356" t="n">
        <v>0</v>
      </c>
      <c r="I356" t="n">
        <v>0</v>
      </c>
      <c r="J356" t="n">
        <v>0</v>
      </c>
      <c r="K356" t="n">
        <v>0</v>
      </c>
      <c r="L356" t="n">
        <v>0</v>
      </c>
      <c r="M356" t="n">
        <v>0</v>
      </c>
      <c r="N356" t="n">
        <v>0</v>
      </c>
      <c r="O356" t="n">
        <v>0</v>
      </c>
      <c r="P356" t="n">
        <v>0</v>
      </c>
      <c r="Q356" t="n">
        <v>0</v>
      </c>
      <c r="R356" s="2" t="inlineStr"/>
    </row>
    <row r="357" ht="15" customHeight="1">
      <c r="A357" t="inlineStr">
        <is>
          <t>A 40294-2022</t>
        </is>
      </c>
      <c r="B357" s="1" t="n">
        <v>44821</v>
      </c>
      <c r="C357" s="1" t="n">
        <v>46099</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12032-2025</t>
        </is>
      </c>
      <c r="B358" s="1" t="n">
        <v>45728.64472222222</v>
      </c>
      <c r="C358" s="1" t="n">
        <v>46099</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38787-2023</t>
        </is>
      </c>
      <c r="B359" s="1" t="n">
        <v>45163</v>
      </c>
      <c r="C359" s="1" t="n">
        <v>46099</v>
      </c>
      <c r="D359" t="inlineStr">
        <is>
          <t>GOTLANDS LÄN</t>
        </is>
      </c>
      <c r="E359" t="inlineStr">
        <is>
          <t>GOTLAND</t>
        </is>
      </c>
      <c r="G359" t="n">
        <v>0.4</v>
      </c>
      <c r="H359" t="n">
        <v>0</v>
      </c>
      <c r="I359" t="n">
        <v>0</v>
      </c>
      <c r="J359" t="n">
        <v>0</v>
      </c>
      <c r="K359" t="n">
        <v>0</v>
      </c>
      <c r="L359" t="n">
        <v>0</v>
      </c>
      <c r="M359" t="n">
        <v>0</v>
      </c>
      <c r="N359" t="n">
        <v>0</v>
      </c>
      <c r="O359" t="n">
        <v>0</v>
      </c>
      <c r="P359" t="n">
        <v>0</v>
      </c>
      <c r="Q359" t="n">
        <v>0</v>
      </c>
      <c r="R359" s="2" t="inlineStr"/>
    </row>
    <row r="360" ht="15" customHeight="1">
      <c r="A360" t="inlineStr">
        <is>
          <t>A 43200-2023</t>
        </is>
      </c>
      <c r="B360" s="1" t="n">
        <v>45183</v>
      </c>
      <c r="C360" s="1" t="n">
        <v>46099</v>
      </c>
      <c r="D360" t="inlineStr">
        <is>
          <t>GOTLANDS LÄN</t>
        </is>
      </c>
      <c r="E360" t="inlineStr">
        <is>
          <t>GOTLAND</t>
        </is>
      </c>
      <c r="G360" t="n">
        <v>0.5</v>
      </c>
      <c r="H360" t="n">
        <v>0</v>
      </c>
      <c r="I360" t="n">
        <v>0</v>
      </c>
      <c r="J360" t="n">
        <v>0</v>
      </c>
      <c r="K360" t="n">
        <v>0</v>
      </c>
      <c r="L360" t="n">
        <v>0</v>
      </c>
      <c r="M360" t="n">
        <v>0</v>
      </c>
      <c r="N360" t="n">
        <v>0</v>
      </c>
      <c r="O360" t="n">
        <v>0</v>
      </c>
      <c r="P360" t="n">
        <v>0</v>
      </c>
      <c r="Q360" t="n">
        <v>0</v>
      </c>
      <c r="R360" s="2" t="inlineStr"/>
    </row>
    <row r="361" ht="15" customHeight="1">
      <c r="A361" t="inlineStr">
        <is>
          <t>A 43223-2023</t>
        </is>
      </c>
      <c r="B361" s="1" t="n">
        <v>45183.45642361111</v>
      </c>
      <c r="C361" s="1" t="n">
        <v>46099</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27930-2021</t>
        </is>
      </c>
      <c r="B362" s="1" t="n">
        <v>44354</v>
      </c>
      <c r="C362" s="1" t="n">
        <v>46099</v>
      </c>
      <c r="D362" t="inlineStr">
        <is>
          <t>GOTLANDS LÄN</t>
        </is>
      </c>
      <c r="E362" t="inlineStr">
        <is>
          <t>GOTLAND</t>
        </is>
      </c>
      <c r="G362" t="n">
        <v>2.5</v>
      </c>
      <c r="H362" t="n">
        <v>0</v>
      </c>
      <c r="I362" t="n">
        <v>0</v>
      </c>
      <c r="J362" t="n">
        <v>0</v>
      </c>
      <c r="K362" t="n">
        <v>0</v>
      </c>
      <c r="L362" t="n">
        <v>0</v>
      </c>
      <c r="M362" t="n">
        <v>0</v>
      </c>
      <c r="N362" t="n">
        <v>0</v>
      </c>
      <c r="O362" t="n">
        <v>0</v>
      </c>
      <c r="P362" t="n">
        <v>0</v>
      </c>
      <c r="Q362" t="n">
        <v>0</v>
      </c>
      <c r="R362" s="2" t="inlineStr"/>
    </row>
    <row r="363" ht="15" customHeight="1">
      <c r="A363" t="inlineStr">
        <is>
          <t>A 5751-2024</t>
        </is>
      </c>
      <c r="B363" s="1" t="n">
        <v>45335.32702546296</v>
      </c>
      <c r="C363" s="1" t="n">
        <v>46099</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12327-2025</t>
        </is>
      </c>
      <c r="B364" s="1" t="n">
        <v>45730</v>
      </c>
      <c r="C364" s="1" t="n">
        <v>46099</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3431-2025</t>
        </is>
      </c>
      <c r="B365" s="1" t="n">
        <v>45680.42935185185</v>
      </c>
      <c r="C365" s="1" t="n">
        <v>46099</v>
      </c>
      <c r="D365" t="inlineStr">
        <is>
          <t>GOTLANDS LÄN</t>
        </is>
      </c>
      <c r="E365" t="inlineStr">
        <is>
          <t>GOTLAND</t>
        </is>
      </c>
      <c r="G365" t="n">
        <v>4.8</v>
      </c>
      <c r="H365" t="n">
        <v>0</v>
      </c>
      <c r="I365" t="n">
        <v>0</v>
      </c>
      <c r="J365" t="n">
        <v>0</v>
      </c>
      <c r="K365" t="n">
        <v>0</v>
      </c>
      <c r="L365" t="n">
        <v>0</v>
      </c>
      <c r="M365" t="n">
        <v>0</v>
      </c>
      <c r="N365" t="n">
        <v>0</v>
      </c>
      <c r="O365" t="n">
        <v>0</v>
      </c>
      <c r="P365" t="n">
        <v>0</v>
      </c>
      <c r="Q365" t="n">
        <v>0</v>
      </c>
      <c r="R365" s="2" t="inlineStr"/>
    </row>
    <row r="366" ht="15" customHeight="1">
      <c r="A366" t="inlineStr">
        <is>
          <t>A 61962-2024</t>
        </is>
      </c>
      <c r="B366" s="1" t="n">
        <v>45653.54340277778</v>
      </c>
      <c r="C366" s="1" t="n">
        <v>46099</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10492-2023</t>
        </is>
      </c>
      <c r="B367" s="1" t="n">
        <v>44987</v>
      </c>
      <c r="C367" s="1" t="n">
        <v>46099</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43231-2023</t>
        </is>
      </c>
      <c r="B368" s="1" t="n">
        <v>45183.47025462963</v>
      </c>
      <c r="C368" s="1" t="n">
        <v>46099</v>
      </c>
      <c r="D368" t="inlineStr">
        <is>
          <t>GOTLANDS LÄN</t>
        </is>
      </c>
      <c r="E368" t="inlineStr">
        <is>
          <t>GOTLAND</t>
        </is>
      </c>
      <c r="G368" t="n">
        <v>3.6</v>
      </c>
      <c r="H368" t="n">
        <v>0</v>
      </c>
      <c r="I368" t="n">
        <v>0</v>
      </c>
      <c r="J368" t="n">
        <v>0</v>
      </c>
      <c r="K368" t="n">
        <v>0</v>
      </c>
      <c r="L368" t="n">
        <v>0</v>
      </c>
      <c r="M368" t="n">
        <v>0</v>
      </c>
      <c r="N368" t="n">
        <v>0</v>
      </c>
      <c r="O368" t="n">
        <v>0</v>
      </c>
      <c r="P368" t="n">
        <v>0</v>
      </c>
      <c r="Q368" t="n">
        <v>0</v>
      </c>
      <c r="R368" s="2" t="inlineStr"/>
    </row>
    <row r="369" ht="15" customHeight="1">
      <c r="A369" t="inlineStr">
        <is>
          <t>A 12209-2024</t>
        </is>
      </c>
      <c r="B369" s="1" t="n">
        <v>45378</v>
      </c>
      <c r="C369" s="1" t="n">
        <v>46099</v>
      </c>
      <c r="D369" t="inlineStr">
        <is>
          <t>GOTLANDS LÄN</t>
        </is>
      </c>
      <c r="E369" t="inlineStr">
        <is>
          <t>GOTLAND</t>
        </is>
      </c>
      <c r="G369" t="n">
        <v>5.3</v>
      </c>
      <c r="H369" t="n">
        <v>0</v>
      </c>
      <c r="I369" t="n">
        <v>0</v>
      </c>
      <c r="J369" t="n">
        <v>0</v>
      </c>
      <c r="K369" t="n">
        <v>0</v>
      </c>
      <c r="L369" t="n">
        <v>0</v>
      </c>
      <c r="M369" t="n">
        <v>0</v>
      </c>
      <c r="N369" t="n">
        <v>0</v>
      </c>
      <c r="O369" t="n">
        <v>0</v>
      </c>
      <c r="P369" t="n">
        <v>0</v>
      </c>
      <c r="Q369" t="n">
        <v>0</v>
      </c>
      <c r="R369" s="2" t="inlineStr"/>
    </row>
    <row r="370" ht="15" customHeight="1">
      <c r="A370" t="inlineStr">
        <is>
          <t>A 12210-2024</t>
        </is>
      </c>
      <c r="B370" s="1" t="n">
        <v>45378</v>
      </c>
      <c r="C370" s="1" t="n">
        <v>46099</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1364-2025</t>
        </is>
      </c>
      <c r="B371" s="1" t="n">
        <v>45667.63929398148</v>
      </c>
      <c r="C371" s="1" t="n">
        <v>46099</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17532-2024</t>
        </is>
      </c>
      <c r="B372" s="1" t="n">
        <v>45415</v>
      </c>
      <c r="C372" s="1" t="n">
        <v>46099</v>
      </c>
      <c r="D372" t="inlineStr">
        <is>
          <t>GOTLANDS LÄN</t>
        </is>
      </c>
      <c r="E372" t="inlineStr">
        <is>
          <t>GOTLAND</t>
        </is>
      </c>
      <c r="G372" t="n">
        <v>4.3</v>
      </c>
      <c r="H372" t="n">
        <v>0</v>
      </c>
      <c r="I372" t="n">
        <v>0</v>
      </c>
      <c r="J372" t="n">
        <v>0</v>
      </c>
      <c r="K372" t="n">
        <v>0</v>
      </c>
      <c r="L372" t="n">
        <v>0</v>
      </c>
      <c r="M372" t="n">
        <v>0</v>
      </c>
      <c r="N372" t="n">
        <v>0</v>
      </c>
      <c r="O372" t="n">
        <v>0</v>
      </c>
      <c r="P372" t="n">
        <v>0</v>
      </c>
      <c r="Q372" t="n">
        <v>0</v>
      </c>
      <c r="R372" s="2" t="inlineStr"/>
    </row>
    <row r="373" ht="15" customHeight="1">
      <c r="A373" t="inlineStr">
        <is>
          <t>A 15042-2025</t>
        </is>
      </c>
      <c r="B373" s="1" t="n">
        <v>45743</v>
      </c>
      <c r="C373" s="1" t="n">
        <v>46099</v>
      </c>
      <c r="D373" t="inlineStr">
        <is>
          <t>GOTLANDS LÄN</t>
        </is>
      </c>
      <c r="E373" t="inlineStr">
        <is>
          <t>GOTLAND</t>
        </is>
      </c>
      <c r="G373" t="n">
        <v>8.5</v>
      </c>
      <c r="H373" t="n">
        <v>0</v>
      </c>
      <c r="I373" t="n">
        <v>0</v>
      </c>
      <c r="J373" t="n">
        <v>0</v>
      </c>
      <c r="K373" t="n">
        <v>0</v>
      </c>
      <c r="L373" t="n">
        <v>0</v>
      </c>
      <c r="M373" t="n">
        <v>0</v>
      </c>
      <c r="N373" t="n">
        <v>0</v>
      </c>
      <c r="O373" t="n">
        <v>0</v>
      </c>
      <c r="P373" t="n">
        <v>0</v>
      </c>
      <c r="Q373" t="n">
        <v>0</v>
      </c>
      <c r="R373" s="2" t="inlineStr"/>
    </row>
    <row r="374" ht="15" customHeight="1">
      <c r="A374" t="inlineStr">
        <is>
          <t>A 3935-2025</t>
        </is>
      </c>
      <c r="B374" s="1" t="n">
        <v>45684.46070601852</v>
      </c>
      <c r="C374" s="1" t="n">
        <v>46099</v>
      </c>
      <c r="D374" t="inlineStr">
        <is>
          <t>GOTLANDS LÄN</t>
        </is>
      </c>
      <c r="E374" t="inlineStr">
        <is>
          <t>GOTLAND</t>
        </is>
      </c>
      <c r="G374" t="n">
        <v>2.6</v>
      </c>
      <c r="H374" t="n">
        <v>0</v>
      </c>
      <c r="I374" t="n">
        <v>0</v>
      </c>
      <c r="J374" t="n">
        <v>0</v>
      </c>
      <c r="K374" t="n">
        <v>0</v>
      </c>
      <c r="L374" t="n">
        <v>0</v>
      </c>
      <c r="M374" t="n">
        <v>0</v>
      </c>
      <c r="N374" t="n">
        <v>0</v>
      </c>
      <c r="O374" t="n">
        <v>0</v>
      </c>
      <c r="P374" t="n">
        <v>0</v>
      </c>
      <c r="Q374" t="n">
        <v>0</v>
      </c>
      <c r="R374" s="2" t="inlineStr"/>
    </row>
    <row r="375" ht="15" customHeight="1">
      <c r="A375" t="inlineStr">
        <is>
          <t>A 5909-2025</t>
        </is>
      </c>
      <c r="B375" s="1" t="n">
        <v>45695.40634259259</v>
      </c>
      <c r="C375" s="1" t="n">
        <v>46099</v>
      </c>
      <c r="D375" t="inlineStr">
        <is>
          <t>GOTLANDS LÄN</t>
        </is>
      </c>
      <c r="E375" t="inlineStr">
        <is>
          <t>GOTLAND</t>
        </is>
      </c>
      <c r="G375" t="n">
        <v>2.9</v>
      </c>
      <c r="H375" t="n">
        <v>0</v>
      </c>
      <c r="I375" t="n">
        <v>0</v>
      </c>
      <c r="J375" t="n">
        <v>0</v>
      </c>
      <c r="K375" t="n">
        <v>0</v>
      </c>
      <c r="L375" t="n">
        <v>0</v>
      </c>
      <c r="M375" t="n">
        <v>0</v>
      </c>
      <c r="N375" t="n">
        <v>0</v>
      </c>
      <c r="O375" t="n">
        <v>0</v>
      </c>
      <c r="P375" t="n">
        <v>0</v>
      </c>
      <c r="Q375" t="n">
        <v>0</v>
      </c>
      <c r="R375" s="2" t="inlineStr"/>
    </row>
    <row r="376" ht="15" customHeight="1">
      <c r="A376" t="inlineStr">
        <is>
          <t>A 10653-2023</t>
        </is>
      </c>
      <c r="B376" s="1" t="n">
        <v>44988.48859953704</v>
      </c>
      <c r="C376" s="1" t="n">
        <v>46099</v>
      </c>
      <c r="D376" t="inlineStr">
        <is>
          <t>GOTLANDS LÄN</t>
        </is>
      </c>
      <c r="E376" t="inlineStr">
        <is>
          <t>GOTLAND</t>
        </is>
      </c>
      <c r="F376" t="inlineStr">
        <is>
          <t>Kyrkan</t>
        </is>
      </c>
      <c r="G376" t="n">
        <v>3</v>
      </c>
      <c r="H376" t="n">
        <v>0</v>
      </c>
      <c r="I376" t="n">
        <v>0</v>
      </c>
      <c r="J376" t="n">
        <v>0</v>
      </c>
      <c r="K376" t="n">
        <v>0</v>
      </c>
      <c r="L376" t="n">
        <v>0</v>
      </c>
      <c r="M376" t="n">
        <v>0</v>
      </c>
      <c r="N376" t="n">
        <v>0</v>
      </c>
      <c r="O376" t="n">
        <v>0</v>
      </c>
      <c r="P376" t="n">
        <v>0</v>
      </c>
      <c r="Q376" t="n">
        <v>0</v>
      </c>
      <c r="R376" s="2" t="inlineStr"/>
    </row>
    <row r="377" ht="15" customHeight="1">
      <c r="A377" t="inlineStr">
        <is>
          <t>A 2180-2025</t>
        </is>
      </c>
      <c r="B377" s="1" t="n">
        <v>45673</v>
      </c>
      <c r="C377" s="1" t="n">
        <v>46099</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15436-2025</t>
        </is>
      </c>
      <c r="B378" s="1" t="n">
        <v>45747.47462962963</v>
      </c>
      <c r="C378" s="1" t="n">
        <v>46099</v>
      </c>
      <c r="D378" t="inlineStr">
        <is>
          <t>GOTLANDS LÄN</t>
        </is>
      </c>
      <c r="E378" t="inlineStr">
        <is>
          <t>GOTLAND</t>
        </is>
      </c>
      <c r="G378" t="n">
        <v>4.1</v>
      </c>
      <c r="H378" t="n">
        <v>0</v>
      </c>
      <c r="I378" t="n">
        <v>0</v>
      </c>
      <c r="J378" t="n">
        <v>0</v>
      </c>
      <c r="K378" t="n">
        <v>0</v>
      </c>
      <c r="L378" t="n">
        <v>0</v>
      </c>
      <c r="M378" t="n">
        <v>0</v>
      </c>
      <c r="N378" t="n">
        <v>0</v>
      </c>
      <c r="O378" t="n">
        <v>0</v>
      </c>
      <c r="P378" t="n">
        <v>0</v>
      </c>
      <c r="Q378" t="n">
        <v>0</v>
      </c>
      <c r="R378" s="2" t="inlineStr"/>
    </row>
    <row r="379" ht="15" customHeight="1">
      <c r="A379" t="inlineStr">
        <is>
          <t>A 4990-2025</t>
        </is>
      </c>
      <c r="B379" s="1" t="n">
        <v>45691</v>
      </c>
      <c r="C379" s="1" t="n">
        <v>46099</v>
      </c>
      <c r="D379" t="inlineStr">
        <is>
          <t>GOTLANDS LÄN</t>
        </is>
      </c>
      <c r="E379" t="inlineStr">
        <is>
          <t>GOTLAND</t>
        </is>
      </c>
      <c r="G379" t="n">
        <v>7.7</v>
      </c>
      <c r="H379" t="n">
        <v>0</v>
      </c>
      <c r="I379" t="n">
        <v>0</v>
      </c>
      <c r="J379" t="n">
        <v>0</v>
      </c>
      <c r="K379" t="n">
        <v>0</v>
      </c>
      <c r="L379" t="n">
        <v>0</v>
      </c>
      <c r="M379" t="n">
        <v>0</v>
      </c>
      <c r="N379" t="n">
        <v>0</v>
      </c>
      <c r="O379" t="n">
        <v>0</v>
      </c>
      <c r="P379" t="n">
        <v>0</v>
      </c>
      <c r="Q379" t="n">
        <v>0</v>
      </c>
      <c r="R379" s="2" t="inlineStr"/>
    </row>
    <row r="380" ht="15" customHeight="1">
      <c r="A380" t="inlineStr">
        <is>
          <t>A 49257-2024</t>
        </is>
      </c>
      <c r="B380" s="1" t="n">
        <v>45595.47627314815</v>
      </c>
      <c r="C380" s="1" t="n">
        <v>46099</v>
      </c>
      <c r="D380" t="inlineStr">
        <is>
          <t>GOTLANDS LÄN</t>
        </is>
      </c>
      <c r="E380" t="inlineStr">
        <is>
          <t>GOTLAND</t>
        </is>
      </c>
      <c r="G380" t="n">
        <v>6.3</v>
      </c>
      <c r="H380" t="n">
        <v>0</v>
      </c>
      <c r="I380" t="n">
        <v>0</v>
      </c>
      <c r="J380" t="n">
        <v>0</v>
      </c>
      <c r="K380" t="n">
        <v>0</v>
      </c>
      <c r="L380" t="n">
        <v>0</v>
      </c>
      <c r="M380" t="n">
        <v>0</v>
      </c>
      <c r="N380" t="n">
        <v>0</v>
      </c>
      <c r="O380" t="n">
        <v>0</v>
      </c>
      <c r="P380" t="n">
        <v>0</v>
      </c>
      <c r="Q380" t="n">
        <v>0</v>
      </c>
      <c r="R380" s="2" t="inlineStr"/>
    </row>
    <row r="381" ht="15" customHeight="1">
      <c r="A381" t="inlineStr">
        <is>
          <t>A 24966-2023</t>
        </is>
      </c>
      <c r="B381" s="1" t="n">
        <v>45085</v>
      </c>
      <c r="C381" s="1" t="n">
        <v>46099</v>
      </c>
      <c r="D381" t="inlineStr">
        <is>
          <t>GOTLANDS LÄN</t>
        </is>
      </c>
      <c r="E381" t="inlineStr">
        <is>
          <t>GOTLAND</t>
        </is>
      </c>
      <c r="G381" t="n">
        <v>7</v>
      </c>
      <c r="H381" t="n">
        <v>0</v>
      </c>
      <c r="I381" t="n">
        <v>0</v>
      </c>
      <c r="J381" t="n">
        <v>0</v>
      </c>
      <c r="K381" t="n">
        <v>0</v>
      </c>
      <c r="L381" t="n">
        <v>0</v>
      </c>
      <c r="M381" t="n">
        <v>0</v>
      </c>
      <c r="N381" t="n">
        <v>0</v>
      </c>
      <c r="O381" t="n">
        <v>0</v>
      </c>
      <c r="P381" t="n">
        <v>0</v>
      </c>
      <c r="Q381" t="n">
        <v>0</v>
      </c>
      <c r="R381" s="2" t="inlineStr"/>
    </row>
    <row r="382" ht="15" customHeight="1">
      <c r="A382" t="inlineStr">
        <is>
          <t>A 37202-2024</t>
        </is>
      </c>
      <c r="B382" s="1" t="n">
        <v>45539.67310185185</v>
      </c>
      <c r="C382" s="1" t="n">
        <v>46099</v>
      </c>
      <c r="D382" t="inlineStr">
        <is>
          <t>GOTLANDS LÄN</t>
        </is>
      </c>
      <c r="E382" t="inlineStr">
        <is>
          <t>GOTLAND</t>
        </is>
      </c>
      <c r="G382" t="n">
        <v>0.3</v>
      </c>
      <c r="H382" t="n">
        <v>0</v>
      </c>
      <c r="I382" t="n">
        <v>0</v>
      </c>
      <c r="J382" t="n">
        <v>0</v>
      </c>
      <c r="K382" t="n">
        <v>0</v>
      </c>
      <c r="L382" t="n">
        <v>0</v>
      </c>
      <c r="M382" t="n">
        <v>0</v>
      </c>
      <c r="N382" t="n">
        <v>0</v>
      </c>
      <c r="O382" t="n">
        <v>0</v>
      </c>
      <c r="P382" t="n">
        <v>0</v>
      </c>
      <c r="Q382" t="n">
        <v>0</v>
      </c>
      <c r="R382" s="2" t="inlineStr"/>
    </row>
    <row r="383" ht="15" customHeight="1">
      <c r="A383" t="inlineStr">
        <is>
          <t>A 46189-2022</t>
        </is>
      </c>
      <c r="B383" s="1" t="n">
        <v>44847</v>
      </c>
      <c r="C383" s="1" t="n">
        <v>46099</v>
      </c>
      <c r="D383" t="inlineStr">
        <is>
          <t>GOTLANDS LÄN</t>
        </is>
      </c>
      <c r="E383" t="inlineStr">
        <is>
          <t>GOTLAND</t>
        </is>
      </c>
      <c r="G383" t="n">
        <v>0.4</v>
      </c>
      <c r="H383" t="n">
        <v>0</v>
      </c>
      <c r="I383" t="n">
        <v>0</v>
      </c>
      <c r="J383" t="n">
        <v>0</v>
      </c>
      <c r="K383" t="n">
        <v>0</v>
      </c>
      <c r="L383" t="n">
        <v>0</v>
      </c>
      <c r="M383" t="n">
        <v>0</v>
      </c>
      <c r="N383" t="n">
        <v>0</v>
      </c>
      <c r="O383" t="n">
        <v>0</v>
      </c>
      <c r="P383" t="n">
        <v>0</v>
      </c>
      <c r="Q383" t="n">
        <v>0</v>
      </c>
      <c r="R383" s="2" t="inlineStr"/>
    </row>
    <row r="384" ht="15" customHeight="1">
      <c r="A384" t="inlineStr">
        <is>
          <t>A 20225-2025</t>
        </is>
      </c>
      <c r="B384" s="1" t="n">
        <v>45772.65802083333</v>
      </c>
      <c r="C384" s="1" t="n">
        <v>46099</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883-2025</t>
        </is>
      </c>
      <c r="B385" s="1" t="n">
        <v>45665</v>
      </c>
      <c r="C385" s="1" t="n">
        <v>46099</v>
      </c>
      <c r="D385" t="inlineStr">
        <is>
          <t>GOTLANDS LÄN</t>
        </is>
      </c>
      <c r="E385" t="inlineStr">
        <is>
          <t>GOTLAND</t>
        </is>
      </c>
      <c r="G385" t="n">
        <v>1.3</v>
      </c>
      <c r="H385" t="n">
        <v>0</v>
      </c>
      <c r="I385" t="n">
        <v>0</v>
      </c>
      <c r="J385" t="n">
        <v>0</v>
      </c>
      <c r="K385" t="n">
        <v>0</v>
      </c>
      <c r="L385" t="n">
        <v>0</v>
      </c>
      <c r="M385" t="n">
        <v>0</v>
      </c>
      <c r="N385" t="n">
        <v>0</v>
      </c>
      <c r="O385" t="n">
        <v>0</v>
      </c>
      <c r="P385" t="n">
        <v>0</v>
      </c>
      <c r="Q385" t="n">
        <v>0</v>
      </c>
      <c r="R385" s="2" t="inlineStr"/>
    </row>
    <row r="386" ht="15" customHeight="1">
      <c r="A386" t="inlineStr">
        <is>
          <t>A 56115-2023</t>
        </is>
      </c>
      <c r="B386" s="1" t="n">
        <v>45236</v>
      </c>
      <c r="C386" s="1" t="n">
        <v>46099</v>
      </c>
      <c r="D386" t="inlineStr">
        <is>
          <t>GOTLANDS LÄN</t>
        </is>
      </c>
      <c r="E386" t="inlineStr">
        <is>
          <t>GOTLAND</t>
        </is>
      </c>
      <c r="G386" t="n">
        <v>2</v>
      </c>
      <c r="H386" t="n">
        <v>0</v>
      </c>
      <c r="I386" t="n">
        <v>0</v>
      </c>
      <c r="J386" t="n">
        <v>0</v>
      </c>
      <c r="K386" t="n">
        <v>0</v>
      </c>
      <c r="L386" t="n">
        <v>0</v>
      </c>
      <c r="M386" t="n">
        <v>0</v>
      </c>
      <c r="N386" t="n">
        <v>0</v>
      </c>
      <c r="O386" t="n">
        <v>0</v>
      </c>
      <c r="P386" t="n">
        <v>0</v>
      </c>
      <c r="Q386" t="n">
        <v>0</v>
      </c>
      <c r="R386" s="2" t="inlineStr"/>
    </row>
    <row r="387" ht="15" customHeight="1">
      <c r="A387" t="inlineStr">
        <is>
          <t>A 43081-2022</t>
        </is>
      </c>
      <c r="B387" s="1" t="n">
        <v>44833</v>
      </c>
      <c r="C387" s="1" t="n">
        <v>46099</v>
      </c>
      <c r="D387" t="inlineStr">
        <is>
          <t>GOTLANDS LÄN</t>
        </is>
      </c>
      <c r="E387" t="inlineStr">
        <is>
          <t>GOTLAND</t>
        </is>
      </c>
      <c r="G387" t="n">
        <v>6.8</v>
      </c>
      <c r="H387" t="n">
        <v>0</v>
      </c>
      <c r="I387" t="n">
        <v>0</v>
      </c>
      <c r="J387" t="n">
        <v>0</v>
      </c>
      <c r="K387" t="n">
        <v>0</v>
      </c>
      <c r="L387" t="n">
        <v>0</v>
      </c>
      <c r="M387" t="n">
        <v>0</v>
      </c>
      <c r="N387" t="n">
        <v>0</v>
      </c>
      <c r="O387" t="n">
        <v>0</v>
      </c>
      <c r="P387" t="n">
        <v>0</v>
      </c>
      <c r="Q387" t="n">
        <v>0</v>
      </c>
      <c r="R387" s="2" t="inlineStr"/>
    </row>
    <row r="388" ht="15" customHeight="1">
      <c r="A388" t="inlineStr">
        <is>
          <t>A 32958-2021</t>
        </is>
      </c>
      <c r="B388" s="1" t="n">
        <v>44376</v>
      </c>
      <c r="C388" s="1" t="n">
        <v>46099</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5884-2025</t>
        </is>
      </c>
      <c r="B389" s="1" t="n">
        <v>45695.37482638889</v>
      </c>
      <c r="C389" s="1" t="n">
        <v>46099</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5897-2025</t>
        </is>
      </c>
      <c r="B390" s="1" t="n">
        <v>45695.39273148148</v>
      </c>
      <c r="C390" s="1" t="n">
        <v>46099</v>
      </c>
      <c r="D390" t="inlineStr">
        <is>
          <t>GOTLANDS LÄN</t>
        </is>
      </c>
      <c r="E390" t="inlineStr">
        <is>
          <t>GOTLAND</t>
        </is>
      </c>
      <c r="G390" t="n">
        <v>3.7</v>
      </c>
      <c r="H390" t="n">
        <v>0</v>
      </c>
      <c r="I390" t="n">
        <v>0</v>
      </c>
      <c r="J390" t="n">
        <v>0</v>
      </c>
      <c r="K390" t="n">
        <v>0</v>
      </c>
      <c r="L390" t="n">
        <v>0</v>
      </c>
      <c r="M390" t="n">
        <v>0</v>
      </c>
      <c r="N390" t="n">
        <v>0</v>
      </c>
      <c r="O390" t="n">
        <v>0</v>
      </c>
      <c r="P390" t="n">
        <v>0</v>
      </c>
      <c r="Q390" t="n">
        <v>0</v>
      </c>
      <c r="R390" s="2" t="inlineStr"/>
    </row>
    <row r="391" ht="15" customHeight="1">
      <c r="A391" t="inlineStr">
        <is>
          <t>A 49693-2023</t>
        </is>
      </c>
      <c r="B391" s="1" t="n">
        <v>45212.38138888889</v>
      </c>
      <c r="C391" s="1" t="n">
        <v>46099</v>
      </c>
      <c r="D391" t="inlineStr">
        <is>
          <t>GOTLANDS LÄN</t>
        </is>
      </c>
      <c r="E391" t="inlineStr">
        <is>
          <t>GOTLAND</t>
        </is>
      </c>
      <c r="G391" t="n">
        <v>2.4</v>
      </c>
      <c r="H391" t="n">
        <v>0</v>
      </c>
      <c r="I391" t="n">
        <v>0</v>
      </c>
      <c r="J391" t="n">
        <v>0</v>
      </c>
      <c r="K391" t="n">
        <v>0</v>
      </c>
      <c r="L391" t="n">
        <v>0</v>
      </c>
      <c r="M391" t="n">
        <v>0</v>
      </c>
      <c r="N391" t="n">
        <v>0</v>
      </c>
      <c r="O391" t="n">
        <v>0</v>
      </c>
      <c r="P391" t="n">
        <v>0</v>
      </c>
      <c r="Q391" t="n">
        <v>0</v>
      </c>
      <c r="R391" s="2" t="inlineStr"/>
    </row>
    <row r="392" ht="15" customHeight="1">
      <c r="A392" t="inlineStr">
        <is>
          <t>A 49697-2023</t>
        </is>
      </c>
      <c r="B392" s="1" t="n">
        <v>45212.38909722222</v>
      </c>
      <c r="C392" s="1" t="n">
        <v>46099</v>
      </c>
      <c r="D392" t="inlineStr">
        <is>
          <t>GOTLANDS LÄN</t>
        </is>
      </c>
      <c r="E392" t="inlineStr">
        <is>
          <t>GOTLAND</t>
        </is>
      </c>
      <c r="G392" t="n">
        <v>4.4</v>
      </c>
      <c r="H392" t="n">
        <v>0</v>
      </c>
      <c r="I392" t="n">
        <v>0</v>
      </c>
      <c r="J392" t="n">
        <v>0</v>
      </c>
      <c r="K392" t="n">
        <v>0</v>
      </c>
      <c r="L392" t="n">
        <v>0</v>
      </c>
      <c r="M392" t="n">
        <v>0</v>
      </c>
      <c r="N392" t="n">
        <v>0</v>
      </c>
      <c r="O392" t="n">
        <v>0</v>
      </c>
      <c r="P392" t="n">
        <v>0</v>
      </c>
      <c r="Q392" t="n">
        <v>0</v>
      </c>
      <c r="R392" s="2" t="inlineStr"/>
    </row>
    <row r="393" ht="15" customHeight="1">
      <c r="A393" t="inlineStr">
        <is>
          <t>A 1066-2024</t>
        </is>
      </c>
      <c r="B393" s="1" t="n">
        <v>45302.285</v>
      </c>
      <c r="C393" s="1" t="n">
        <v>46099</v>
      </c>
      <c r="D393" t="inlineStr">
        <is>
          <t>GOTLANDS LÄN</t>
        </is>
      </c>
      <c r="E393" t="inlineStr">
        <is>
          <t>GOTLAND</t>
        </is>
      </c>
      <c r="G393" t="n">
        <v>1.4</v>
      </c>
      <c r="H393" t="n">
        <v>0</v>
      </c>
      <c r="I393" t="n">
        <v>0</v>
      </c>
      <c r="J393" t="n">
        <v>0</v>
      </c>
      <c r="K393" t="n">
        <v>0</v>
      </c>
      <c r="L393" t="n">
        <v>0</v>
      </c>
      <c r="M393" t="n">
        <v>0</v>
      </c>
      <c r="N393" t="n">
        <v>0</v>
      </c>
      <c r="O393" t="n">
        <v>0</v>
      </c>
      <c r="P393" t="n">
        <v>0</v>
      </c>
      <c r="Q393" t="n">
        <v>0</v>
      </c>
      <c r="R393" s="2" t="inlineStr"/>
    </row>
    <row r="394" ht="15" customHeight="1">
      <c r="A394" t="inlineStr">
        <is>
          <t>A 17144-2025</t>
        </is>
      </c>
      <c r="B394" s="1" t="n">
        <v>45755.9499537037</v>
      </c>
      <c r="C394" s="1" t="n">
        <v>46099</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17901-2023</t>
        </is>
      </c>
      <c r="B395" s="1" t="n">
        <v>45039</v>
      </c>
      <c r="C395" s="1" t="n">
        <v>46099</v>
      </c>
      <c r="D395" t="inlineStr">
        <is>
          <t>GOTLANDS LÄN</t>
        </is>
      </c>
      <c r="E395" t="inlineStr">
        <is>
          <t>GOTLAND</t>
        </is>
      </c>
      <c r="F395" t="inlineStr">
        <is>
          <t>Kyrkan</t>
        </is>
      </c>
      <c r="G395" t="n">
        <v>0.6</v>
      </c>
      <c r="H395" t="n">
        <v>0</v>
      </c>
      <c r="I395" t="n">
        <v>0</v>
      </c>
      <c r="J395" t="n">
        <v>0</v>
      </c>
      <c r="K395" t="n">
        <v>0</v>
      </c>
      <c r="L395" t="n">
        <v>0</v>
      </c>
      <c r="M395" t="n">
        <v>0</v>
      </c>
      <c r="N395" t="n">
        <v>0</v>
      </c>
      <c r="O395" t="n">
        <v>0</v>
      </c>
      <c r="P395" t="n">
        <v>0</v>
      </c>
      <c r="Q395" t="n">
        <v>0</v>
      </c>
      <c r="R395" s="2" t="inlineStr"/>
    </row>
    <row r="396" ht="15" customHeight="1">
      <c r="A396" t="inlineStr">
        <is>
          <t>A 2774-2024</t>
        </is>
      </c>
      <c r="B396" s="1" t="n">
        <v>45314.62375</v>
      </c>
      <c r="C396" s="1" t="n">
        <v>46099</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52892-2021</t>
        </is>
      </c>
      <c r="B397" s="1" t="n">
        <v>44467.49048611111</v>
      </c>
      <c r="C397" s="1" t="n">
        <v>46099</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22031-2024</t>
        </is>
      </c>
      <c r="B398" s="1" t="n">
        <v>45443.60075231481</v>
      </c>
      <c r="C398" s="1" t="n">
        <v>46099</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60709-2023</t>
        </is>
      </c>
      <c r="B399" s="1" t="n">
        <v>45260</v>
      </c>
      <c r="C399" s="1" t="n">
        <v>46099</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56009-2024</t>
        </is>
      </c>
      <c r="B400" s="1" t="n">
        <v>45623.80864583333</v>
      </c>
      <c r="C400" s="1" t="n">
        <v>46099</v>
      </c>
      <c r="D400" t="inlineStr">
        <is>
          <t>GOTLANDS LÄN</t>
        </is>
      </c>
      <c r="E400" t="inlineStr">
        <is>
          <t>GOTLAND</t>
        </is>
      </c>
      <c r="G400" t="n">
        <v>2.8</v>
      </c>
      <c r="H400" t="n">
        <v>0</v>
      </c>
      <c r="I400" t="n">
        <v>0</v>
      </c>
      <c r="J400" t="n">
        <v>0</v>
      </c>
      <c r="K400" t="n">
        <v>0</v>
      </c>
      <c r="L400" t="n">
        <v>0</v>
      </c>
      <c r="M400" t="n">
        <v>0</v>
      </c>
      <c r="N400" t="n">
        <v>0</v>
      </c>
      <c r="O400" t="n">
        <v>0</v>
      </c>
      <c r="P400" t="n">
        <v>0</v>
      </c>
      <c r="Q400" t="n">
        <v>0</v>
      </c>
      <c r="R400" s="2" t="inlineStr"/>
    </row>
    <row r="401" ht="15" customHeight="1">
      <c r="A401" t="inlineStr">
        <is>
          <t>A 49314-2024</t>
        </is>
      </c>
      <c r="B401" s="1" t="n">
        <v>45595.55893518519</v>
      </c>
      <c r="C401" s="1" t="n">
        <v>46099</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46396-2023</t>
        </is>
      </c>
      <c r="B402" s="1" t="n">
        <v>45197</v>
      </c>
      <c r="C402" s="1" t="n">
        <v>46099</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42338-2023</t>
        </is>
      </c>
      <c r="B403" s="1" t="n">
        <v>45180</v>
      </c>
      <c r="C403" s="1" t="n">
        <v>46099</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46099</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39764-2022</t>
        </is>
      </c>
      <c r="B405" s="1" t="n">
        <v>44819</v>
      </c>
      <c r="C405" s="1" t="n">
        <v>46099</v>
      </c>
      <c r="D405" t="inlineStr">
        <is>
          <t>GOTLANDS LÄN</t>
        </is>
      </c>
      <c r="E405" t="inlineStr">
        <is>
          <t>GOTLAND</t>
        </is>
      </c>
      <c r="F405" t="inlineStr">
        <is>
          <t>Kyrkan</t>
        </is>
      </c>
      <c r="G405" t="n">
        <v>3.7</v>
      </c>
      <c r="H405" t="n">
        <v>0</v>
      </c>
      <c r="I405" t="n">
        <v>0</v>
      </c>
      <c r="J405" t="n">
        <v>0</v>
      </c>
      <c r="K405" t="n">
        <v>0</v>
      </c>
      <c r="L405" t="n">
        <v>0</v>
      </c>
      <c r="M405" t="n">
        <v>0</v>
      </c>
      <c r="N405" t="n">
        <v>0</v>
      </c>
      <c r="O405" t="n">
        <v>0</v>
      </c>
      <c r="P405" t="n">
        <v>0</v>
      </c>
      <c r="Q405" t="n">
        <v>0</v>
      </c>
      <c r="R405" s="2" t="inlineStr"/>
    </row>
    <row r="406" ht="15" customHeight="1">
      <c r="A406" t="inlineStr">
        <is>
          <t>A 44919-2022</t>
        </is>
      </c>
      <c r="B406" s="1" t="n">
        <v>44841</v>
      </c>
      <c r="C406" s="1" t="n">
        <v>46099</v>
      </c>
      <c r="D406" t="inlineStr">
        <is>
          <t>GOTLANDS LÄN</t>
        </is>
      </c>
      <c r="E406" t="inlineStr">
        <is>
          <t>GOTLAND</t>
        </is>
      </c>
      <c r="G406" t="n">
        <v>2.2</v>
      </c>
      <c r="H406" t="n">
        <v>0</v>
      </c>
      <c r="I406" t="n">
        <v>0</v>
      </c>
      <c r="J406" t="n">
        <v>0</v>
      </c>
      <c r="K406" t="n">
        <v>0</v>
      </c>
      <c r="L406" t="n">
        <v>0</v>
      </c>
      <c r="M406" t="n">
        <v>0</v>
      </c>
      <c r="N406" t="n">
        <v>0</v>
      </c>
      <c r="O406" t="n">
        <v>0</v>
      </c>
      <c r="P406" t="n">
        <v>0</v>
      </c>
      <c r="Q406" t="n">
        <v>0</v>
      </c>
      <c r="R406" s="2" t="inlineStr"/>
    </row>
    <row r="407" ht="15" customHeight="1">
      <c r="A407" t="inlineStr">
        <is>
          <t>A 58211-2024</t>
        </is>
      </c>
      <c r="B407" s="1" t="n">
        <v>45632.49292824074</v>
      </c>
      <c r="C407" s="1" t="n">
        <v>46099</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17724-2024</t>
        </is>
      </c>
      <c r="B408" s="1" t="n">
        <v>45418.55096064815</v>
      </c>
      <c r="C408" s="1" t="n">
        <v>46099</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30956-2024</t>
        </is>
      </c>
      <c r="B409" s="1" t="n">
        <v>45499.42527777778</v>
      </c>
      <c r="C409" s="1" t="n">
        <v>46099</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30892-2024</t>
        </is>
      </c>
      <c r="B410" s="1" t="n">
        <v>45491</v>
      </c>
      <c r="C410" s="1" t="n">
        <v>46099</v>
      </c>
      <c r="D410" t="inlineStr">
        <is>
          <t>GOTLANDS LÄN</t>
        </is>
      </c>
      <c r="E410" t="inlineStr">
        <is>
          <t>GOTLAND</t>
        </is>
      </c>
      <c r="G410" t="n">
        <v>6.1</v>
      </c>
      <c r="H410" t="n">
        <v>0</v>
      </c>
      <c r="I410" t="n">
        <v>0</v>
      </c>
      <c r="J410" t="n">
        <v>0</v>
      </c>
      <c r="K410" t="n">
        <v>0</v>
      </c>
      <c r="L410" t="n">
        <v>0</v>
      </c>
      <c r="M410" t="n">
        <v>0</v>
      </c>
      <c r="N410" t="n">
        <v>0</v>
      </c>
      <c r="O410" t="n">
        <v>0</v>
      </c>
      <c r="P410" t="n">
        <v>0</v>
      </c>
      <c r="Q410" t="n">
        <v>0</v>
      </c>
      <c r="R410" s="2" t="inlineStr"/>
    </row>
    <row r="411" ht="15" customHeight="1">
      <c r="A411" t="inlineStr">
        <is>
          <t>A 14635-2023</t>
        </is>
      </c>
      <c r="B411" s="1" t="n">
        <v>45013.69365740741</v>
      </c>
      <c r="C411" s="1" t="n">
        <v>46099</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34312-2024</t>
        </is>
      </c>
      <c r="B412" s="1" t="n">
        <v>45524.69703703704</v>
      </c>
      <c r="C412" s="1" t="n">
        <v>46099</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59469-2024</t>
        </is>
      </c>
      <c r="B413" s="1" t="n">
        <v>45638</v>
      </c>
      <c r="C413" s="1" t="n">
        <v>46099</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7858-2025</t>
        </is>
      </c>
      <c r="B414" s="1" t="n">
        <v>45706.68633101852</v>
      </c>
      <c r="C414" s="1" t="n">
        <v>46099</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53935-2024</t>
        </is>
      </c>
      <c r="B415" s="1" t="n">
        <v>45615</v>
      </c>
      <c r="C415" s="1" t="n">
        <v>46099</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18223-2025</t>
        </is>
      </c>
      <c r="B416" s="1" t="n">
        <v>45761</v>
      </c>
      <c r="C416" s="1" t="n">
        <v>46099</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4420-2025</t>
        </is>
      </c>
      <c r="B417" s="1" t="n">
        <v>45686.47157407407</v>
      </c>
      <c r="C417" s="1" t="n">
        <v>46099</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5891-2025</t>
        </is>
      </c>
      <c r="B418" s="1" t="n">
        <v>45695.38327546296</v>
      </c>
      <c r="C418" s="1" t="n">
        <v>46099</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581-2023</t>
        </is>
      </c>
      <c r="B419" s="1" t="n">
        <v>44930</v>
      </c>
      <c r="C419" s="1" t="n">
        <v>46099</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61386-2023</t>
        </is>
      </c>
      <c r="B420" s="1" t="n">
        <v>45264</v>
      </c>
      <c r="C420" s="1" t="n">
        <v>46099</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46099</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873-2024</t>
        </is>
      </c>
      <c r="B422" s="1" t="n">
        <v>45301</v>
      </c>
      <c r="C422" s="1" t="n">
        <v>46099</v>
      </c>
      <c r="D422" t="inlineStr">
        <is>
          <t>GOTLANDS LÄN</t>
        </is>
      </c>
      <c r="E422" t="inlineStr">
        <is>
          <t>GOTLAND</t>
        </is>
      </c>
      <c r="G422" t="n">
        <v>2.7</v>
      </c>
      <c r="H422" t="n">
        <v>0</v>
      </c>
      <c r="I422" t="n">
        <v>0</v>
      </c>
      <c r="J422" t="n">
        <v>0</v>
      </c>
      <c r="K422" t="n">
        <v>0</v>
      </c>
      <c r="L422" t="n">
        <v>0</v>
      </c>
      <c r="M422" t="n">
        <v>0</v>
      </c>
      <c r="N422" t="n">
        <v>0</v>
      </c>
      <c r="O422" t="n">
        <v>0</v>
      </c>
      <c r="P422" t="n">
        <v>0</v>
      </c>
      <c r="Q422" t="n">
        <v>0</v>
      </c>
      <c r="R422" s="2" t="inlineStr"/>
    </row>
    <row r="423" ht="15" customHeight="1">
      <c r="A423" t="inlineStr">
        <is>
          <t>A 49411-2023</t>
        </is>
      </c>
      <c r="B423" s="1" t="n">
        <v>45205</v>
      </c>
      <c r="C423" s="1" t="n">
        <v>46099</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7638-2025</t>
        </is>
      </c>
      <c r="B424" s="1" t="n">
        <v>45705.77306712963</v>
      </c>
      <c r="C424" s="1" t="n">
        <v>46099</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50482-2024</t>
        </is>
      </c>
      <c r="B425" s="1" t="n">
        <v>45601.48114583334</v>
      </c>
      <c r="C425" s="1" t="n">
        <v>46099</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22275-2023</t>
        </is>
      </c>
      <c r="B426" s="1" t="n">
        <v>45070.39875</v>
      </c>
      <c r="C426" s="1" t="n">
        <v>46099</v>
      </c>
      <c r="D426" t="inlineStr">
        <is>
          <t>GOTLANDS LÄN</t>
        </is>
      </c>
      <c r="E426" t="inlineStr">
        <is>
          <t>GOTLAND</t>
        </is>
      </c>
      <c r="G426" t="n">
        <v>7.2</v>
      </c>
      <c r="H426" t="n">
        <v>0</v>
      </c>
      <c r="I426" t="n">
        <v>0</v>
      </c>
      <c r="J426" t="n">
        <v>0</v>
      </c>
      <c r="K426" t="n">
        <v>0</v>
      </c>
      <c r="L426" t="n">
        <v>0</v>
      </c>
      <c r="M426" t="n">
        <v>0</v>
      </c>
      <c r="N426" t="n">
        <v>0</v>
      </c>
      <c r="O426" t="n">
        <v>0</v>
      </c>
      <c r="P426" t="n">
        <v>0</v>
      </c>
      <c r="Q426" t="n">
        <v>0</v>
      </c>
      <c r="R426" s="2" t="inlineStr"/>
    </row>
    <row r="427" ht="15" customHeight="1">
      <c r="A427" t="inlineStr">
        <is>
          <t>A 12322-2025</t>
        </is>
      </c>
      <c r="B427" s="1" t="n">
        <v>45730</v>
      </c>
      <c r="C427" s="1" t="n">
        <v>46099</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7835-2024</t>
        </is>
      </c>
      <c r="B428" s="1" t="n">
        <v>45349.83138888889</v>
      </c>
      <c r="C428" s="1" t="n">
        <v>46099</v>
      </c>
      <c r="D428" t="inlineStr">
        <is>
          <t>GOTLANDS LÄN</t>
        </is>
      </c>
      <c r="E428" t="inlineStr">
        <is>
          <t>GOTLAND</t>
        </is>
      </c>
      <c r="G428" t="n">
        <v>3.8</v>
      </c>
      <c r="H428" t="n">
        <v>0</v>
      </c>
      <c r="I428" t="n">
        <v>0</v>
      </c>
      <c r="J428" t="n">
        <v>0</v>
      </c>
      <c r="K428" t="n">
        <v>0</v>
      </c>
      <c r="L428" t="n">
        <v>0</v>
      </c>
      <c r="M428" t="n">
        <v>0</v>
      </c>
      <c r="N428" t="n">
        <v>0</v>
      </c>
      <c r="O428" t="n">
        <v>0</v>
      </c>
      <c r="P428" t="n">
        <v>0</v>
      </c>
      <c r="Q428" t="n">
        <v>0</v>
      </c>
      <c r="R428" s="2" t="inlineStr"/>
    </row>
    <row r="429" ht="15" customHeight="1">
      <c r="A429" t="inlineStr">
        <is>
          <t>A 1394-2023</t>
        </is>
      </c>
      <c r="B429" s="1" t="n">
        <v>44936.72997685185</v>
      </c>
      <c r="C429" s="1" t="n">
        <v>46099</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14797-2024</t>
        </is>
      </c>
      <c r="B430" s="1" t="n">
        <v>45397.87030092593</v>
      </c>
      <c r="C430" s="1" t="n">
        <v>46099</v>
      </c>
      <c r="D430" t="inlineStr">
        <is>
          <t>GOTLANDS LÄN</t>
        </is>
      </c>
      <c r="E430" t="inlineStr">
        <is>
          <t>GOTLAND</t>
        </is>
      </c>
      <c r="G430" t="n">
        <v>8.1</v>
      </c>
      <c r="H430" t="n">
        <v>0</v>
      </c>
      <c r="I430" t="n">
        <v>0</v>
      </c>
      <c r="J430" t="n">
        <v>0</v>
      </c>
      <c r="K430" t="n">
        <v>0</v>
      </c>
      <c r="L430" t="n">
        <v>0</v>
      </c>
      <c r="M430" t="n">
        <v>0</v>
      </c>
      <c r="N430" t="n">
        <v>0</v>
      </c>
      <c r="O430" t="n">
        <v>0</v>
      </c>
      <c r="P430" t="n">
        <v>0</v>
      </c>
      <c r="Q430" t="n">
        <v>0</v>
      </c>
      <c r="R430" s="2" t="inlineStr"/>
    </row>
    <row r="431" ht="15" customHeight="1">
      <c r="A431" t="inlineStr">
        <is>
          <t>A 999-2024</t>
        </is>
      </c>
      <c r="B431" s="1" t="n">
        <v>45301</v>
      </c>
      <c r="C431" s="1" t="n">
        <v>46099</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20794-2025</t>
        </is>
      </c>
      <c r="B432" s="1" t="n">
        <v>45776</v>
      </c>
      <c r="C432" s="1" t="n">
        <v>46099</v>
      </c>
      <c r="D432" t="inlineStr">
        <is>
          <t>GOTLANDS LÄN</t>
        </is>
      </c>
      <c r="E432" t="inlineStr">
        <is>
          <t>GOTLAND</t>
        </is>
      </c>
      <c r="G432" t="n">
        <v>6</v>
      </c>
      <c r="H432" t="n">
        <v>0</v>
      </c>
      <c r="I432" t="n">
        <v>0</v>
      </c>
      <c r="J432" t="n">
        <v>0</v>
      </c>
      <c r="K432" t="n">
        <v>0</v>
      </c>
      <c r="L432" t="n">
        <v>0</v>
      </c>
      <c r="M432" t="n">
        <v>0</v>
      </c>
      <c r="N432" t="n">
        <v>0</v>
      </c>
      <c r="O432" t="n">
        <v>0</v>
      </c>
      <c r="P432" t="n">
        <v>0</v>
      </c>
      <c r="Q432" t="n">
        <v>0</v>
      </c>
      <c r="R432" s="2" t="inlineStr"/>
    </row>
    <row r="433" ht="15" customHeight="1">
      <c r="A433" t="inlineStr">
        <is>
          <t>A 61596-2023</t>
        </is>
      </c>
      <c r="B433" s="1" t="n">
        <v>45265</v>
      </c>
      <c r="C433" s="1" t="n">
        <v>46099</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20805-2025</t>
        </is>
      </c>
      <c r="B434" s="1" t="n">
        <v>45776</v>
      </c>
      <c r="C434" s="1" t="n">
        <v>46099</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58230-2024</t>
        </is>
      </c>
      <c r="B435" s="1" t="n">
        <v>45632.51625</v>
      </c>
      <c r="C435" s="1" t="n">
        <v>46099</v>
      </c>
      <c r="D435" t="inlineStr">
        <is>
          <t>GOTLANDS LÄN</t>
        </is>
      </c>
      <c r="E435" t="inlineStr">
        <is>
          <t>GOTLAND</t>
        </is>
      </c>
      <c r="G435" t="n">
        <v>7.3</v>
      </c>
      <c r="H435" t="n">
        <v>0</v>
      </c>
      <c r="I435" t="n">
        <v>0</v>
      </c>
      <c r="J435" t="n">
        <v>0</v>
      </c>
      <c r="K435" t="n">
        <v>0</v>
      </c>
      <c r="L435" t="n">
        <v>0</v>
      </c>
      <c r="M435" t="n">
        <v>0</v>
      </c>
      <c r="N435" t="n">
        <v>0</v>
      </c>
      <c r="O435" t="n">
        <v>0</v>
      </c>
      <c r="P435" t="n">
        <v>0</v>
      </c>
      <c r="Q435" t="n">
        <v>0</v>
      </c>
      <c r="R435" s="2" t="inlineStr"/>
    </row>
    <row r="436" ht="15" customHeight="1">
      <c r="A436" t="inlineStr">
        <is>
          <t>A 1462-2025</t>
        </is>
      </c>
      <c r="B436" s="1" t="n">
        <v>45670.36319444444</v>
      </c>
      <c r="C436" s="1" t="n">
        <v>46099</v>
      </c>
      <c r="D436" t="inlineStr">
        <is>
          <t>GOTLANDS LÄN</t>
        </is>
      </c>
      <c r="E436" t="inlineStr">
        <is>
          <t>GOTLAND</t>
        </is>
      </c>
      <c r="G436" t="n">
        <v>2.8</v>
      </c>
      <c r="H436" t="n">
        <v>0</v>
      </c>
      <c r="I436" t="n">
        <v>0</v>
      </c>
      <c r="J436" t="n">
        <v>0</v>
      </c>
      <c r="K436" t="n">
        <v>0</v>
      </c>
      <c r="L436" t="n">
        <v>0</v>
      </c>
      <c r="M436" t="n">
        <v>0</v>
      </c>
      <c r="N436" t="n">
        <v>0</v>
      </c>
      <c r="O436" t="n">
        <v>0</v>
      </c>
      <c r="P436" t="n">
        <v>0</v>
      </c>
      <c r="Q436" t="n">
        <v>0</v>
      </c>
      <c r="R436" s="2" t="inlineStr"/>
    </row>
    <row r="437" ht="15" customHeight="1">
      <c r="A437" t="inlineStr">
        <is>
          <t>A 14638-2025</t>
        </is>
      </c>
      <c r="B437" s="1" t="n">
        <v>45742</v>
      </c>
      <c r="C437" s="1" t="n">
        <v>46099</v>
      </c>
      <c r="D437" t="inlineStr">
        <is>
          <t>GOTLANDS LÄN</t>
        </is>
      </c>
      <c r="E437" t="inlineStr">
        <is>
          <t>GOTLAND</t>
        </is>
      </c>
      <c r="G437" t="n">
        <v>13.4</v>
      </c>
      <c r="H437" t="n">
        <v>0</v>
      </c>
      <c r="I437" t="n">
        <v>0</v>
      </c>
      <c r="J437" t="n">
        <v>0</v>
      </c>
      <c r="K437" t="n">
        <v>0</v>
      </c>
      <c r="L437" t="n">
        <v>0</v>
      </c>
      <c r="M437" t="n">
        <v>0</v>
      </c>
      <c r="N437" t="n">
        <v>0</v>
      </c>
      <c r="O437" t="n">
        <v>0</v>
      </c>
      <c r="P437" t="n">
        <v>0</v>
      </c>
      <c r="Q437" t="n">
        <v>0</v>
      </c>
      <c r="R437" s="2" t="inlineStr"/>
    </row>
    <row r="438" ht="15" customHeight="1">
      <c r="A438" t="inlineStr">
        <is>
          <t>A 60675-2021</t>
        </is>
      </c>
      <c r="B438" s="1" t="n">
        <v>44496.64855324074</v>
      </c>
      <c r="C438" s="1" t="n">
        <v>46099</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37728-2024</t>
        </is>
      </c>
      <c r="B439" s="1" t="n">
        <v>45541</v>
      </c>
      <c r="C439" s="1" t="n">
        <v>46099</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21389-2025</t>
        </is>
      </c>
      <c r="B440" s="1" t="n">
        <v>45782</v>
      </c>
      <c r="C440" s="1" t="n">
        <v>46099</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25129-2023</t>
        </is>
      </c>
      <c r="B441" s="1" t="n">
        <v>45086.44261574074</v>
      </c>
      <c r="C441" s="1" t="n">
        <v>46099</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24192-2023</t>
        </is>
      </c>
      <c r="B442" s="1" t="n">
        <v>45079</v>
      </c>
      <c r="C442" s="1" t="n">
        <v>46099</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22287-2022</t>
        </is>
      </c>
      <c r="B443" s="1" t="n">
        <v>44712</v>
      </c>
      <c r="C443" s="1" t="n">
        <v>46099</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48503-2023</t>
        </is>
      </c>
      <c r="B444" s="1" t="n">
        <v>45207</v>
      </c>
      <c r="C444" s="1" t="n">
        <v>46099</v>
      </c>
      <c r="D444" t="inlineStr">
        <is>
          <t>GOTLANDS LÄN</t>
        </is>
      </c>
      <c r="E444" t="inlineStr">
        <is>
          <t>GOTLAND</t>
        </is>
      </c>
      <c r="G444" t="n">
        <v>1.6</v>
      </c>
      <c r="H444" t="n">
        <v>0</v>
      </c>
      <c r="I444" t="n">
        <v>0</v>
      </c>
      <c r="J444" t="n">
        <v>0</v>
      </c>
      <c r="K444" t="n">
        <v>0</v>
      </c>
      <c r="L444" t="n">
        <v>0</v>
      </c>
      <c r="M444" t="n">
        <v>0</v>
      </c>
      <c r="N444" t="n">
        <v>0</v>
      </c>
      <c r="O444" t="n">
        <v>0</v>
      </c>
      <c r="P444" t="n">
        <v>0</v>
      </c>
      <c r="Q444" t="n">
        <v>0</v>
      </c>
      <c r="R444" s="2" t="inlineStr"/>
    </row>
    <row r="445" ht="15" customHeight="1">
      <c r="A445" t="inlineStr">
        <is>
          <t>A 21651-2025</t>
        </is>
      </c>
      <c r="B445" s="1" t="n">
        <v>45783</v>
      </c>
      <c r="C445" s="1" t="n">
        <v>46099</v>
      </c>
      <c r="D445" t="inlineStr">
        <is>
          <t>GOTLANDS LÄN</t>
        </is>
      </c>
      <c r="E445" t="inlineStr">
        <is>
          <t>GOTLAND</t>
        </is>
      </c>
      <c r="G445" t="n">
        <v>4.2</v>
      </c>
      <c r="H445" t="n">
        <v>0</v>
      </c>
      <c r="I445" t="n">
        <v>0</v>
      </c>
      <c r="J445" t="n">
        <v>0</v>
      </c>
      <c r="K445" t="n">
        <v>0</v>
      </c>
      <c r="L445" t="n">
        <v>0</v>
      </c>
      <c r="M445" t="n">
        <v>0</v>
      </c>
      <c r="N445" t="n">
        <v>0</v>
      </c>
      <c r="O445" t="n">
        <v>0</v>
      </c>
      <c r="P445" t="n">
        <v>0</v>
      </c>
      <c r="Q445" t="n">
        <v>0</v>
      </c>
      <c r="R445" s="2" t="inlineStr"/>
    </row>
    <row r="446" ht="15" customHeight="1">
      <c r="A446" t="inlineStr">
        <is>
          <t>A 65901-2021</t>
        </is>
      </c>
      <c r="B446" s="1" t="n">
        <v>44516</v>
      </c>
      <c r="C446" s="1" t="n">
        <v>46099</v>
      </c>
      <c r="D446" t="inlineStr">
        <is>
          <t>GOTLANDS LÄN</t>
        </is>
      </c>
      <c r="E446" t="inlineStr">
        <is>
          <t>GOTLAND</t>
        </is>
      </c>
      <c r="G446" t="n">
        <v>4.9</v>
      </c>
      <c r="H446" t="n">
        <v>0</v>
      </c>
      <c r="I446" t="n">
        <v>0</v>
      </c>
      <c r="J446" t="n">
        <v>0</v>
      </c>
      <c r="K446" t="n">
        <v>0</v>
      </c>
      <c r="L446" t="n">
        <v>0</v>
      </c>
      <c r="M446" t="n">
        <v>0</v>
      </c>
      <c r="N446" t="n">
        <v>0</v>
      </c>
      <c r="O446" t="n">
        <v>0</v>
      </c>
      <c r="P446" t="n">
        <v>0</v>
      </c>
      <c r="Q446" t="n">
        <v>0</v>
      </c>
      <c r="R446" s="2" t="inlineStr"/>
    </row>
    <row r="447" ht="15" customHeight="1">
      <c r="A447" t="inlineStr">
        <is>
          <t>A 5386-2023</t>
        </is>
      </c>
      <c r="B447" s="1" t="n">
        <v>44959</v>
      </c>
      <c r="C447" s="1" t="n">
        <v>46099</v>
      </c>
      <c r="D447" t="inlineStr">
        <is>
          <t>GOTLANDS LÄN</t>
        </is>
      </c>
      <c r="E447" t="inlineStr">
        <is>
          <t>GOTLAND</t>
        </is>
      </c>
      <c r="G447" t="n">
        <v>5.4</v>
      </c>
      <c r="H447" t="n">
        <v>0</v>
      </c>
      <c r="I447" t="n">
        <v>0</v>
      </c>
      <c r="J447" t="n">
        <v>0</v>
      </c>
      <c r="K447" t="n">
        <v>0</v>
      </c>
      <c r="L447" t="n">
        <v>0</v>
      </c>
      <c r="M447" t="n">
        <v>0</v>
      </c>
      <c r="N447" t="n">
        <v>0</v>
      </c>
      <c r="O447" t="n">
        <v>0</v>
      </c>
      <c r="P447" t="n">
        <v>0</v>
      </c>
      <c r="Q447" t="n">
        <v>0</v>
      </c>
      <c r="R447" s="2" t="inlineStr"/>
    </row>
    <row r="448" ht="15" customHeight="1">
      <c r="A448" t="inlineStr">
        <is>
          <t>A 54074-2022</t>
        </is>
      </c>
      <c r="B448" s="1" t="n">
        <v>44881</v>
      </c>
      <c r="C448" s="1" t="n">
        <v>46099</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46099</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46099</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65249-2023</t>
        </is>
      </c>
      <c r="B451" s="1" t="n">
        <v>45290</v>
      </c>
      <c r="C451" s="1" t="n">
        <v>46099</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1000-2024</t>
        </is>
      </c>
      <c r="B452" s="1" t="n">
        <v>45301.63371527778</v>
      </c>
      <c r="C452" s="1" t="n">
        <v>46099</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1010-2024</t>
        </is>
      </c>
      <c r="B453" s="1" t="n">
        <v>45301</v>
      </c>
      <c r="C453" s="1" t="n">
        <v>46099</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44649-2021</t>
        </is>
      </c>
      <c r="B454" s="1" t="n">
        <v>44437</v>
      </c>
      <c r="C454" s="1" t="n">
        <v>46099</v>
      </c>
      <c r="D454" t="inlineStr">
        <is>
          <t>GOTLANDS LÄN</t>
        </is>
      </c>
      <c r="E454" t="inlineStr">
        <is>
          <t>GOTLAND</t>
        </is>
      </c>
      <c r="G454" t="n">
        <v>8.1</v>
      </c>
      <c r="H454" t="n">
        <v>0</v>
      </c>
      <c r="I454" t="n">
        <v>0</v>
      </c>
      <c r="J454" t="n">
        <v>0</v>
      </c>
      <c r="K454" t="n">
        <v>0</v>
      </c>
      <c r="L454" t="n">
        <v>0</v>
      </c>
      <c r="M454" t="n">
        <v>0</v>
      </c>
      <c r="N454" t="n">
        <v>0</v>
      </c>
      <c r="O454" t="n">
        <v>0</v>
      </c>
      <c r="P454" t="n">
        <v>0</v>
      </c>
      <c r="Q454" t="n">
        <v>0</v>
      </c>
      <c r="R454" s="2" t="inlineStr"/>
    </row>
    <row r="455" ht="15" customHeight="1">
      <c r="A455" t="inlineStr">
        <is>
          <t>A 9947-2024</t>
        </is>
      </c>
      <c r="B455" s="1" t="n">
        <v>45363</v>
      </c>
      <c r="C455" s="1" t="n">
        <v>46099</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13910-2025</t>
        </is>
      </c>
      <c r="B456" s="1" t="n">
        <v>45737</v>
      </c>
      <c r="C456" s="1" t="n">
        <v>46099</v>
      </c>
      <c r="D456" t="inlineStr">
        <is>
          <t>GOTLANDS LÄN</t>
        </is>
      </c>
      <c r="E456" t="inlineStr">
        <is>
          <t>GOTLAND</t>
        </is>
      </c>
      <c r="F456" t="inlineStr">
        <is>
          <t>Kommuner</t>
        </is>
      </c>
      <c r="G456" t="n">
        <v>3.2</v>
      </c>
      <c r="H456" t="n">
        <v>0</v>
      </c>
      <c r="I456" t="n">
        <v>0</v>
      </c>
      <c r="J456" t="n">
        <v>0</v>
      </c>
      <c r="K456" t="n">
        <v>0</v>
      </c>
      <c r="L456" t="n">
        <v>0</v>
      </c>
      <c r="M456" t="n">
        <v>0</v>
      </c>
      <c r="N456" t="n">
        <v>0</v>
      </c>
      <c r="O456" t="n">
        <v>0</v>
      </c>
      <c r="P456" t="n">
        <v>0</v>
      </c>
      <c r="Q456" t="n">
        <v>0</v>
      </c>
      <c r="R456" s="2" t="inlineStr"/>
    </row>
    <row r="457" ht="15" customHeight="1">
      <c r="A457" t="inlineStr">
        <is>
          <t>A 47762-2023</t>
        </is>
      </c>
      <c r="B457" s="1" t="n">
        <v>45203.86256944444</v>
      </c>
      <c r="C457" s="1" t="n">
        <v>46099</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57356-2023</t>
        </is>
      </c>
      <c r="B458" s="1" t="n">
        <v>45240</v>
      </c>
      <c r="C458" s="1" t="n">
        <v>46099</v>
      </c>
      <c r="D458" t="inlineStr">
        <is>
          <t>GOTLANDS LÄN</t>
        </is>
      </c>
      <c r="E458" t="inlineStr">
        <is>
          <t>GOTLAND</t>
        </is>
      </c>
      <c r="G458" t="n">
        <v>6.4</v>
      </c>
      <c r="H458" t="n">
        <v>0</v>
      </c>
      <c r="I458" t="n">
        <v>0</v>
      </c>
      <c r="J458" t="n">
        <v>0</v>
      </c>
      <c r="K458" t="n">
        <v>0</v>
      </c>
      <c r="L458" t="n">
        <v>0</v>
      </c>
      <c r="M458" t="n">
        <v>0</v>
      </c>
      <c r="N458" t="n">
        <v>0</v>
      </c>
      <c r="O458" t="n">
        <v>0</v>
      </c>
      <c r="P458" t="n">
        <v>0</v>
      </c>
      <c r="Q458" t="n">
        <v>0</v>
      </c>
      <c r="R458" s="2" t="inlineStr"/>
    </row>
    <row r="459" ht="15" customHeight="1">
      <c r="A459" t="inlineStr">
        <is>
          <t>A 10656-2024</t>
        </is>
      </c>
      <c r="B459" s="1" t="n">
        <v>45368</v>
      </c>
      <c r="C459" s="1" t="n">
        <v>46099</v>
      </c>
      <c r="D459" t="inlineStr">
        <is>
          <t>GOTLANDS LÄN</t>
        </is>
      </c>
      <c r="E459" t="inlineStr">
        <is>
          <t>GOTLAND</t>
        </is>
      </c>
      <c r="G459" t="n">
        <v>1.5</v>
      </c>
      <c r="H459" t="n">
        <v>0</v>
      </c>
      <c r="I459" t="n">
        <v>0</v>
      </c>
      <c r="J459" t="n">
        <v>0</v>
      </c>
      <c r="K459" t="n">
        <v>0</v>
      </c>
      <c r="L459" t="n">
        <v>0</v>
      </c>
      <c r="M459" t="n">
        <v>0</v>
      </c>
      <c r="N459" t="n">
        <v>0</v>
      </c>
      <c r="O459" t="n">
        <v>0</v>
      </c>
      <c r="P459" t="n">
        <v>0</v>
      </c>
      <c r="Q459" t="n">
        <v>0</v>
      </c>
      <c r="R459" s="2" t="inlineStr"/>
    </row>
    <row r="460" ht="15" customHeight="1">
      <c r="A460" t="inlineStr">
        <is>
          <t>A 46545-2024</t>
        </is>
      </c>
      <c r="B460" s="1" t="n">
        <v>45582.65831018519</v>
      </c>
      <c r="C460" s="1" t="n">
        <v>46099</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44682.82622685185</v>
      </c>
      <c r="C461" s="1" t="n">
        <v>46099</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60086-2022</t>
        </is>
      </c>
      <c r="B462" s="1" t="n">
        <v>44909</v>
      </c>
      <c r="C462" s="1" t="n">
        <v>46099</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28506-2023</t>
        </is>
      </c>
      <c r="B463" s="1" t="n">
        <v>45103</v>
      </c>
      <c r="C463" s="1" t="n">
        <v>46099</v>
      </c>
      <c r="D463" t="inlineStr">
        <is>
          <t>GOTLANDS LÄN</t>
        </is>
      </c>
      <c r="E463" t="inlineStr">
        <is>
          <t>GOTLAND</t>
        </is>
      </c>
      <c r="G463" t="n">
        <v>3.2</v>
      </c>
      <c r="H463" t="n">
        <v>0</v>
      </c>
      <c r="I463" t="n">
        <v>0</v>
      </c>
      <c r="J463" t="n">
        <v>0</v>
      </c>
      <c r="K463" t="n">
        <v>0</v>
      </c>
      <c r="L463" t="n">
        <v>0</v>
      </c>
      <c r="M463" t="n">
        <v>0</v>
      </c>
      <c r="N463" t="n">
        <v>0</v>
      </c>
      <c r="O463" t="n">
        <v>0</v>
      </c>
      <c r="P463" t="n">
        <v>0</v>
      </c>
      <c r="Q463" t="n">
        <v>0</v>
      </c>
      <c r="R463" s="2" t="inlineStr"/>
    </row>
    <row r="464" ht="15" customHeight="1">
      <c r="A464" t="inlineStr">
        <is>
          <t>A 21420-2024</t>
        </is>
      </c>
      <c r="B464" s="1" t="n">
        <v>45441.38293981482</v>
      </c>
      <c r="C464" s="1" t="n">
        <v>46099</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28480-2023</t>
        </is>
      </c>
      <c r="B465" s="1" t="n">
        <v>45103</v>
      </c>
      <c r="C465" s="1" t="n">
        <v>46099</v>
      </c>
      <c r="D465" t="inlineStr">
        <is>
          <t>GOTLANDS LÄN</t>
        </is>
      </c>
      <c r="E465" t="inlineStr">
        <is>
          <t>GOTLAND</t>
        </is>
      </c>
      <c r="G465" t="n">
        <v>5.7</v>
      </c>
      <c r="H465" t="n">
        <v>0</v>
      </c>
      <c r="I465" t="n">
        <v>0</v>
      </c>
      <c r="J465" t="n">
        <v>0</v>
      </c>
      <c r="K465" t="n">
        <v>0</v>
      </c>
      <c r="L465" t="n">
        <v>0</v>
      </c>
      <c r="M465" t="n">
        <v>0</v>
      </c>
      <c r="N465" t="n">
        <v>0</v>
      </c>
      <c r="O465" t="n">
        <v>0</v>
      </c>
      <c r="P465" t="n">
        <v>0</v>
      </c>
      <c r="Q465" t="n">
        <v>0</v>
      </c>
      <c r="R465" s="2" t="inlineStr"/>
    </row>
    <row r="466" ht="15" customHeight="1">
      <c r="A466" t="inlineStr">
        <is>
          <t>A 28485-2023</t>
        </is>
      </c>
      <c r="B466" s="1" t="n">
        <v>45103.43731481482</v>
      </c>
      <c r="C466" s="1" t="n">
        <v>46099</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59986-2022</t>
        </is>
      </c>
      <c r="B467" s="1" t="n">
        <v>44909</v>
      </c>
      <c r="C467" s="1" t="n">
        <v>46099</v>
      </c>
      <c r="D467" t="inlineStr">
        <is>
          <t>GOTLANDS LÄN</t>
        </is>
      </c>
      <c r="E467" t="inlineStr">
        <is>
          <t>GOTLAND</t>
        </is>
      </c>
      <c r="G467" t="n">
        <v>0.7</v>
      </c>
      <c r="H467" t="n">
        <v>0</v>
      </c>
      <c r="I467" t="n">
        <v>0</v>
      </c>
      <c r="J467" t="n">
        <v>0</v>
      </c>
      <c r="K467" t="n">
        <v>0</v>
      </c>
      <c r="L467" t="n">
        <v>0</v>
      </c>
      <c r="M467" t="n">
        <v>0</v>
      </c>
      <c r="N467" t="n">
        <v>0</v>
      </c>
      <c r="O467" t="n">
        <v>0</v>
      </c>
      <c r="P467" t="n">
        <v>0</v>
      </c>
      <c r="Q467" t="n">
        <v>0</v>
      </c>
      <c r="R467" s="2" t="inlineStr"/>
    </row>
    <row r="468" ht="15" customHeight="1">
      <c r="A468" t="inlineStr">
        <is>
          <t>A 14536-2021</t>
        </is>
      </c>
      <c r="B468" s="1" t="n">
        <v>44279.66168981481</v>
      </c>
      <c r="C468" s="1" t="n">
        <v>46099</v>
      </c>
      <c r="D468" t="inlineStr">
        <is>
          <t>GOTLANDS LÄN</t>
        </is>
      </c>
      <c r="E468" t="inlineStr">
        <is>
          <t>GOTLAND</t>
        </is>
      </c>
      <c r="G468" t="n">
        <v>8.5</v>
      </c>
      <c r="H468" t="n">
        <v>0</v>
      </c>
      <c r="I468" t="n">
        <v>0</v>
      </c>
      <c r="J468" t="n">
        <v>0</v>
      </c>
      <c r="K468" t="n">
        <v>0</v>
      </c>
      <c r="L468" t="n">
        <v>0</v>
      </c>
      <c r="M468" t="n">
        <v>0</v>
      </c>
      <c r="N468" t="n">
        <v>0</v>
      </c>
      <c r="O468" t="n">
        <v>0</v>
      </c>
      <c r="P468" t="n">
        <v>0</v>
      </c>
      <c r="Q468" t="n">
        <v>0</v>
      </c>
      <c r="R468" s="2" t="inlineStr"/>
    </row>
    <row r="469" ht="15" customHeight="1">
      <c r="A469" t="inlineStr">
        <is>
          <t>A 23188-2025</t>
        </is>
      </c>
      <c r="B469" s="1" t="n">
        <v>45791</v>
      </c>
      <c r="C469" s="1" t="n">
        <v>46099</v>
      </c>
      <c r="D469" t="inlineStr">
        <is>
          <t>GOTLANDS LÄN</t>
        </is>
      </c>
      <c r="E469" t="inlineStr">
        <is>
          <t>GOTLAND</t>
        </is>
      </c>
      <c r="G469" t="n">
        <v>6.2</v>
      </c>
      <c r="H469" t="n">
        <v>0</v>
      </c>
      <c r="I469" t="n">
        <v>0</v>
      </c>
      <c r="J469" t="n">
        <v>0</v>
      </c>
      <c r="K469" t="n">
        <v>0</v>
      </c>
      <c r="L469" t="n">
        <v>0</v>
      </c>
      <c r="M469" t="n">
        <v>0</v>
      </c>
      <c r="N469" t="n">
        <v>0</v>
      </c>
      <c r="O469" t="n">
        <v>0</v>
      </c>
      <c r="P469" t="n">
        <v>0</v>
      </c>
      <c r="Q469" t="n">
        <v>0</v>
      </c>
      <c r="R469" s="2" t="inlineStr"/>
    </row>
    <row r="470" ht="15" customHeight="1">
      <c r="A470" t="inlineStr">
        <is>
          <t>A 62915-2021</t>
        </is>
      </c>
      <c r="B470" s="1" t="n">
        <v>44504</v>
      </c>
      <c r="C470" s="1" t="n">
        <v>46099</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44949-2023</t>
        </is>
      </c>
      <c r="B471" s="1" t="n">
        <v>45190.69520833333</v>
      </c>
      <c r="C471" s="1" t="n">
        <v>46099</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23473-2025</t>
        </is>
      </c>
      <c r="B472" s="1" t="n">
        <v>45792</v>
      </c>
      <c r="C472" s="1" t="n">
        <v>46099</v>
      </c>
      <c r="D472" t="inlineStr">
        <is>
          <t>GOTLANDS LÄN</t>
        </is>
      </c>
      <c r="E472" t="inlineStr">
        <is>
          <t>GOTLAND</t>
        </is>
      </c>
      <c r="G472" t="n">
        <v>3.6</v>
      </c>
      <c r="H472" t="n">
        <v>0</v>
      </c>
      <c r="I472" t="n">
        <v>0</v>
      </c>
      <c r="J472" t="n">
        <v>0</v>
      </c>
      <c r="K472" t="n">
        <v>0</v>
      </c>
      <c r="L472" t="n">
        <v>0</v>
      </c>
      <c r="M472" t="n">
        <v>0</v>
      </c>
      <c r="N472" t="n">
        <v>0</v>
      </c>
      <c r="O472" t="n">
        <v>0</v>
      </c>
      <c r="P472" t="n">
        <v>0</v>
      </c>
      <c r="Q472" t="n">
        <v>0</v>
      </c>
      <c r="R472" s="2" t="inlineStr"/>
    </row>
    <row r="473" ht="15" customHeight="1">
      <c r="A473" t="inlineStr">
        <is>
          <t>A 11874-2024</t>
        </is>
      </c>
      <c r="B473" s="1" t="n">
        <v>45376.46956018519</v>
      </c>
      <c r="C473" s="1" t="n">
        <v>46099</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37222-2021</t>
        </is>
      </c>
      <c r="B474" s="1" t="n">
        <v>44396</v>
      </c>
      <c r="C474" s="1" t="n">
        <v>46099</v>
      </c>
      <c r="D474" t="inlineStr">
        <is>
          <t>GOTLANDS LÄN</t>
        </is>
      </c>
      <c r="E474" t="inlineStr">
        <is>
          <t>GOTLAND</t>
        </is>
      </c>
      <c r="G474" t="n">
        <v>3</v>
      </c>
      <c r="H474" t="n">
        <v>0</v>
      </c>
      <c r="I474" t="n">
        <v>0</v>
      </c>
      <c r="J474" t="n">
        <v>0</v>
      </c>
      <c r="K474" t="n">
        <v>0</v>
      </c>
      <c r="L474" t="n">
        <v>0</v>
      </c>
      <c r="M474" t="n">
        <v>0</v>
      </c>
      <c r="N474" t="n">
        <v>0</v>
      </c>
      <c r="O474" t="n">
        <v>0</v>
      </c>
      <c r="P474" t="n">
        <v>0</v>
      </c>
      <c r="Q474" t="n">
        <v>0</v>
      </c>
      <c r="R474" s="2" t="inlineStr"/>
    </row>
    <row r="475" ht="15" customHeight="1">
      <c r="A475" t="inlineStr">
        <is>
          <t>A 17682-2024</t>
        </is>
      </c>
      <c r="B475" s="1" t="n">
        <v>45418.42966435185</v>
      </c>
      <c r="C475" s="1" t="n">
        <v>46099</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57522-2022</t>
        </is>
      </c>
      <c r="B476" s="1" t="n">
        <v>44896</v>
      </c>
      <c r="C476" s="1" t="n">
        <v>46099</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23856-2025</t>
        </is>
      </c>
      <c r="B477" s="1" t="n">
        <v>45793</v>
      </c>
      <c r="C477" s="1" t="n">
        <v>46099</v>
      </c>
      <c r="D477" t="inlineStr">
        <is>
          <t>GOTLANDS LÄN</t>
        </is>
      </c>
      <c r="E477" t="inlineStr">
        <is>
          <t>GOTLAND</t>
        </is>
      </c>
      <c r="G477" t="n">
        <v>4.4</v>
      </c>
      <c r="H477" t="n">
        <v>0</v>
      </c>
      <c r="I477" t="n">
        <v>0</v>
      </c>
      <c r="J477" t="n">
        <v>0</v>
      </c>
      <c r="K477" t="n">
        <v>0</v>
      </c>
      <c r="L477" t="n">
        <v>0</v>
      </c>
      <c r="M477" t="n">
        <v>0</v>
      </c>
      <c r="N477" t="n">
        <v>0</v>
      </c>
      <c r="O477" t="n">
        <v>0</v>
      </c>
      <c r="P477" t="n">
        <v>0</v>
      </c>
      <c r="Q477" t="n">
        <v>0</v>
      </c>
      <c r="R477" s="2" t="inlineStr"/>
    </row>
    <row r="478" ht="15" customHeight="1">
      <c r="A478" t="inlineStr">
        <is>
          <t>A 42041-2024</t>
        </is>
      </c>
      <c r="B478" s="1" t="n">
        <v>45561</v>
      </c>
      <c r="C478" s="1" t="n">
        <v>46099</v>
      </c>
      <c r="D478" t="inlineStr">
        <is>
          <t>GOTLANDS LÄN</t>
        </is>
      </c>
      <c r="E478" t="inlineStr">
        <is>
          <t>GOTLAND</t>
        </is>
      </c>
      <c r="G478" t="n">
        <v>3.2</v>
      </c>
      <c r="H478" t="n">
        <v>0</v>
      </c>
      <c r="I478" t="n">
        <v>0</v>
      </c>
      <c r="J478" t="n">
        <v>0</v>
      </c>
      <c r="K478" t="n">
        <v>0</v>
      </c>
      <c r="L478" t="n">
        <v>0</v>
      </c>
      <c r="M478" t="n">
        <v>0</v>
      </c>
      <c r="N478" t="n">
        <v>0</v>
      </c>
      <c r="O478" t="n">
        <v>0</v>
      </c>
      <c r="P478" t="n">
        <v>0</v>
      </c>
      <c r="Q478" t="n">
        <v>0</v>
      </c>
      <c r="R478" s="2" t="inlineStr"/>
    </row>
    <row r="479" ht="15" customHeight="1">
      <c r="A479" t="inlineStr">
        <is>
          <t>A 61694-2023</t>
        </is>
      </c>
      <c r="B479" s="1" t="n">
        <v>45264</v>
      </c>
      <c r="C479" s="1" t="n">
        <v>46099</v>
      </c>
      <c r="D479" t="inlineStr">
        <is>
          <t>GOTLANDS LÄN</t>
        </is>
      </c>
      <c r="E479" t="inlineStr">
        <is>
          <t>GOTLAND</t>
        </is>
      </c>
      <c r="G479" t="n">
        <v>4.6</v>
      </c>
      <c r="H479" t="n">
        <v>0</v>
      </c>
      <c r="I479" t="n">
        <v>0</v>
      </c>
      <c r="J479" t="n">
        <v>0</v>
      </c>
      <c r="K479" t="n">
        <v>0</v>
      </c>
      <c r="L479" t="n">
        <v>0</v>
      </c>
      <c r="M479" t="n">
        <v>0</v>
      </c>
      <c r="N479" t="n">
        <v>0</v>
      </c>
      <c r="O479" t="n">
        <v>0</v>
      </c>
      <c r="P479" t="n">
        <v>0</v>
      </c>
      <c r="Q479" t="n">
        <v>0</v>
      </c>
      <c r="R479" s="2" t="inlineStr"/>
    </row>
    <row r="480" ht="15" customHeight="1">
      <c r="A480" t="inlineStr">
        <is>
          <t>A 15073-2025</t>
        </is>
      </c>
      <c r="B480" s="1" t="n">
        <v>45743</v>
      </c>
      <c r="C480" s="1" t="n">
        <v>46099</v>
      </c>
      <c r="D480" t="inlineStr">
        <is>
          <t>GOTLANDS LÄN</t>
        </is>
      </c>
      <c r="E480" t="inlineStr">
        <is>
          <t>GOTLAND</t>
        </is>
      </c>
      <c r="G480" t="n">
        <v>12.1</v>
      </c>
      <c r="H480" t="n">
        <v>0</v>
      </c>
      <c r="I480" t="n">
        <v>0</v>
      </c>
      <c r="J480" t="n">
        <v>0</v>
      </c>
      <c r="K480" t="n">
        <v>0</v>
      </c>
      <c r="L480" t="n">
        <v>0</v>
      </c>
      <c r="M480" t="n">
        <v>0</v>
      </c>
      <c r="N480" t="n">
        <v>0</v>
      </c>
      <c r="O480" t="n">
        <v>0</v>
      </c>
      <c r="P480" t="n">
        <v>0</v>
      </c>
      <c r="Q480" t="n">
        <v>0</v>
      </c>
      <c r="R480" s="2" t="inlineStr"/>
    </row>
    <row r="481" ht="15" customHeight="1">
      <c r="A481" t="inlineStr">
        <is>
          <t>A 6749-2025</t>
        </is>
      </c>
      <c r="B481" s="1" t="n">
        <v>45700</v>
      </c>
      <c r="C481" s="1" t="n">
        <v>46099</v>
      </c>
      <c r="D481" t="inlineStr">
        <is>
          <t>GOTLANDS LÄN</t>
        </is>
      </c>
      <c r="E481" t="inlineStr">
        <is>
          <t>GOTLAND</t>
        </is>
      </c>
      <c r="G481" t="n">
        <v>4.5</v>
      </c>
      <c r="H481" t="n">
        <v>0</v>
      </c>
      <c r="I481" t="n">
        <v>0</v>
      </c>
      <c r="J481" t="n">
        <v>0</v>
      </c>
      <c r="K481" t="n">
        <v>0</v>
      </c>
      <c r="L481" t="n">
        <v>0</v>
      </c>
      <c r="M481" t="n">
        <v>0</v>
      </c>
      <c r="N481" t="n">
        <v>0</v>
      </c>
      <c r="O481" t="n">
        <v>0</v>
      </c>
      <c r="P481" t="n">
        <v>0</v>
      </c>
      <c r="Q481" t="n">
        <v>0</v>
      </c>
      <c r="R481" s="2" t="inlineStr"/>
    </row>
    <row r="482" ht="15" customHeight="1">
      <c r="A482" t="inlineStr">
        <is>
          <t>A 3964-2024</t>
        </is>
      </c>
      <c r="B482" s="1" t="n">
        <v>45322</v>
      </c>
      <c r="C482" s="1" t="n">
        <v>46099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45084-2024</t>
        </is>
      </c>
      <c r="B483" s="1" t="n">
        <v>45575</v>
      </c>
      <c r="C483" s="1" t="n">
        <v>46099</v>
      </c>
      <c r="D483" t="inlineStr">
        <is>
          <t>GOTLANDS LÄN</t>
        </is>
      </c>
      <c r="E483" t="inlineStr">
        <is>
          <t>GOTLAND</t>
        </is>
      </c>
      <c r="G483" t="n">
        <v>6.8</v>
      </c>
      <c r="H483" t="n">
        <v>0</v>
      </c>
      <c r="I483" t="n">
        <v>0</v>
      </c>
      <c r="J483" t="n">
        <v>0</v>
      </c>
      <c r="K483" t="n">
        <v>0</v>
      </c>
      <c r="L483" t="n">
        <v>0</v>
      </c>
      <c r="M483" t="n">
        <v>0</v>
      </c>
      <c r="N483" t="n">
        <v>0</v>
      </c>
      <c r="O483" t="n">
        <v>0</v>
      </c>
      <c r="P483" t="n">
        <v>0</v>
      </c>
      <c r="Q483" t="n">
        <v>0</v>
      </c>
      <c r="R483" s="2" t="inlineStr"/>
    </row>
    <row r="484" ht="15" customHeight="1">
      <c r="A484" t="inlineStr">
        <is>
          <t>A 23698-2025</t>
        </is>
      </c>
      <c r="B484" s="1" t="n">
        <v>45793</v>
      </c>
      <c r="C484" s="1" t="n">
        <v>46099</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27593-2023</t>
        </is>
      </c>
      <c r="B485" s="1" t="n">
        <v>45097</v>
      </c>
      <c r="C485" s="1" t="n">
        <v>46099</v>
      </c>
      <c r="D485" t="inlineStr">
        <is>
          <t>GOTLANDS LÄN</t>
        </is>
      </c>
      <c r="E485" t="inlineStr">
        <is>
          <t>GOTLAND</t>
        </is>
      </c>
      <c r="G485" t="n">
        <v>3.1</v>
      </c>
      <c r="H485" t="n">
        <v>0</v>
      </c>
      <c r="I485" t="n">
        <v>0</v>
      </c>
      <c r="J485" t="n">
        <v>0</v>
      </c>
      <c r="K485" t="n">
        <v>0</v>
      </c>
      <c r="L485" t="n">
        <v>0</v>
      </c>
      <c r="M485" t="n">
        <v>0</v>
      </c>
      <c r="N485" t="n">
        <v>0</v>
      </c>
      <c r="O485" t="n">
        <v>0</v>
      </c>
      <c r="P485" t="n">
        <v>0</v>
      </c>
      <c r="Q485" t="n">
        <v>0</v>
      </c>
      <c r="R485" s="2" t="inlineStr"/>
    </row>
    <row r="486" ht="15" customHeight="1">
      <c r="A486" t="inlineStr">
        <is>
          <t>A 63516-2023</t>
        </is>
      </c>
      <c r="B486" s="1" t="n">
        <v>45274</v>
      </c>
      <c r="C486" s="1" t="n">
        <v>46099</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5462-2025</t>
        </is>
      </c>
      <c r="B487" s="1" t="n">
        <v>45693.29331018519</v>
      </c>
      <c r="C487" s="1" t="n">
        <v>46099</v>
      </c>
      <c r="D487" t="inlineStr">
        <is>
          <t>GOTLANDS LÄN</t>
        </is>
      </c>
      <c r="E487" t="inlineStr">
        <is>
          <t>GOTLAND</t>
        </is>
      </c>
      <c r="G487" t="n">
        <v>2.6</v>
      </c>
      <c r="H487" t="n">
        <v>0</v>
      </c>
      <c r="I487" t="n">
        <v>0</v>
      </c>
      <c r="J487" t="n">
        <v>0</v>
      </c>
      <c r="K487" t="n">
        <v>0</v>
      </c>
      <c r="L487" t="n">
        <v>0</v>
      </c>
      <c r="M487" t="n">
        <v>0</v>
      </c>
      <c r="N487" t="n">
        <v>0</v>
      </c>
      <c r="O487" t="n">
        <v>0</v>
      </c>
      <c r="P487" t="n">
        <v>0</v>
      </c>
      <c r="Q487" t="n">
        <v>0</v>
      </c>
      <c r="R487" s="2" t="inlineStr"/>
    </row>
    <row r="488" ht="15" customHeight="1">
      <c r="A488" t="inlineStr">
        <is>
          <t>A 5217-2023</t>
        </is>
      </c>
      <c r="B488" s="1" t="n">
        <v>44959.39582175926</v>
      </c>
      <c r="C488" s="1" t="n">
        <v>46099</v>
      </c>
      <c r="D488" t="inlineStr">
        <is>
          <t>GOTLANDS LÄN</t>
        </is>
      </c>
      <c r="E488" t="inlineStr">
        <is>
          <t>GOTLAND</t>
        </is>
      </c>
      <c r="G488" t="n">
        <v>1.9</v>
      </c>
      <c r="H488" t="n">
        <v>0</v>
      </c>
      <c r="I488" t="n">
        <v>0</v>
      </c>
      <c r="J488" t="n">
        <v>0</v>
      </c>
      <c r="K488" t="n">
        <v>0</v>
      </c>
      <c r="L488" t="n">
        <v>0</v>
      </c>
      <c r="M488" t="n">
        <v>0</v>
      </c>
      <c r="N488" t="n">
        <v>0</v>
      </c>
      <c r="O488" t="n">
        <v>0</v>
      </c>
      <c r="P488" t="n">
        <v>0</v>
      </c>
      <c r="Q488" t="n">
        <v>0</v>
      </c>
      <c r="R488" s="2" t="inlineStr"/>
    </row>
    <row r="489" ht="15" customHeight="1">
      <c r="A489" t="inlineStr">
        <is>
          <t>A 24001-2021</t>
        </is>
      </c>
      <c r="B489" s="1" t="n">
        <v>44335</v>
      </c>
      <c r="C489" s="1" t="n">
        <v>46099</v>
      </c>
      <c r="D489" t="inlineStr">
        <is>
          <t>GOTLANDS LÄN</t>
        </is>
      </c>
      <c r="E489" t="inlineStr">
        <is>
          <t>GOTLAND</t>
        </is>
      </c>
      <c r="G489" t="n">
        <v>3.4</v>
      </c>
      <c r="H489" t="n">
        <v>0</v>
      </c>
      <c r="I489" t="n">
        <v>0</v>
      </c>
      <c r="J489" t="n">
        <v>0</v>
      </c>
      <c r="K489" t="n">
        <v>0</v>
      </c>
      <c r="L489" t="n">
        <v>0</v>
      </c>
      <c r="M489" t="n">
        <v>0</v>
      </c>
      <c r="N489" t="n">
        <v>0</v>
      </c>
      <c r="O489" t="n">
        <v>0</v>
      </c>
      <c r="P489" t="n">
        <v>0</v>
      </c>
      <c r="Q489" t="n">
        <v>0</v>
      </c>
      <c r="R489" s="2" t="inlineStr"/>
    </row>
    <row r="490" ht="15" customHeight="1">
      <c r="A490" t="inlineStr">
        <is>
          <t>A 20356-2022</t>
        </is>
      </c>
      <c r="B490" s="1" t="n">
        <v>44699</v>
      </c>
      <c r="C490" s="1" t="n">
        <v>46099</v>
      </c>
      <c r="D490" t="inlineStr">
        <is>
          <t>GOTLANDS LÄN</t>
        </is>
      </c>
      <c r="E490" t="inlineStr">
        <is>
          <t>GOTLAND</t>
        </is>
      </c>
      <c r="F490" t="inlineStr">
        <is>
          <t>Övriga Aktiebolag</t>
        </is>
      </c>
      <c r="G490" t="n">
        <v>4.4</v>
      </c>
      <c r="H490" t="n">
        <v>0</v>
      </c>
      <c r="I490" t="n">
        <v>0</v>
      </c>
      <c r="J490" t="n">
        <v>0</v>
      </c>
      <c r="K490" t="n">
        <v>0</v>
      </c>
      <c r="L490" t="n">
        <v>0</v>
      </c>
      <c r="M490" t="n">
        <v>0</v>
      </c>
      <c r="N490" t="n">
        <v>0</v>
      </c>
      <c r="O490" t="n">
        <v>0</v>
      </c>
      <c r="P490" t="n">
        <v>0</v>
      </c>
      <c r="Q490" t="n">
        <v>0</v>
      </c>
      <c r="R490" s="2" t="inlineStr"/>
    </row>
    <row r="491" ht="15" customHeight="1">
      <c r="A491" t="inlineStr">
        <is>
          <t>A 25796-2025</t>
        </is>
      </c>
      <c r="B491" s="1" t="n">
        <v>45804.39543981481</v>
      </c>
      <c r="C491" s="1" t="n">
        <v>46099</v>
      </c>
      <c r="D491" t="inlineStr">
        <is>
          <t>GOTLANDS LÄN</t>
        </is>
      </c>
      <c r="E491" t="inlineStr">
        <is>
          <t>GOTLAND</t>
        </is>
      </c>
      <c r="G491" t="n">
        <v>2</v>
      </c>
      <c r="H491" t="n">
        <v>0</v>
      </c>
      <c r="I491" t="n">
        <v>0</v>
      </c>
      <c r="J491" t="n">
        <v>0</v>
      </c>
      <c r="K491" t="n">
        <v>0</v>
      </c>
      <c r="L491" t="n">
        <v>0</v>
      </c>
      <c r="M491" t="n">
        <v>0</v>
      </c>
      <c r="N491" t="n">
        <v>0</v>
      </c>
      <c r="O491" t="n">
        <v>0</v>
      </c>
      <c r="P491" t="n">
        <v>0</v>
      </c>
      <c r="Q491" t="n">
        <v>0</v>
      </c>
      <c r="R491" s="2" t="inlineStr"/>
    </row>
    <row r="492" ht="15" customHeight="1">
      <c r="A492" t="inlineStr">
        <is>
          <t>A 43911-2025</t>
        </is>
      </c>
      <c r="B492" s="1" t="n">
        <v>45914.3881712963</v>
      </c>
      <c r="C492" s="1" t="n">
        <v>46099</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44410-2025</t>
        </is>
      </c>
      <c r="B493" s="1" t="n">
        <v>45916.53699074074</v>
      </c>
      <c r="C493" s="1" t="n">
        <v>46099</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43951-2025</t>
        </is>
      </c>
      <c r="B494" s="1" t="n">
        <v>45915.38119212963</v>
      </c>
      <c r="C494" s="1" t="n">
        <v>46099</v>
      </c>
      <c r="D494" t="inlineStr">
        <is>
          <t>GOTLANDS LÄN</t>
        </is>
      </c>
      <c r="E494" t="inlineStr">
        <is>
          <t>GOTLAND</t>
        </is>
      </c>
      <c r="G494" t="n">
        <v>4.4</v>
      </c>
      <c r="H494" t="n">
        <v>0</v>
      </c>
      <c r="I494" t="n">
        <v>0</v>
      </c>
      <c r="J494" t="n">
        <v>0</v>
      </c>
      <c r="K494" t="n">
        <v>0</v>
      </c>
      <c r="L494" t="n">
        <v>0</v>
      </c>
      <c r="M494" t="n">
        <v>0</v>
      </c>
      <c r="N494" t="n">
        <v>0</v>
      </c>
      <c r="O494" t="n">
        <v>0</v>
      </c>
      <c r="P494" t="n">
        <v>0</v>
      </c>
      <c r="Q494" t="n">
        <v>0</v>
      </c>
      <c r="R494" s="2" t="inlineStr"/>
    </row>
    <row r="495" ht="15" customHeight="1">
      <c r="A495" t="inlineStr">
        <is>
          <t>A 44405-2025</t>
        </is>
      </c>
      <c r="B495" s="1" t="n">
        <v>45916.52405092592</v>
      </c>
      <c r="C495" s="1" t="n">
        <v>46099</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30365-2024</t>
        </is>
      </c>
      <c r="B496" s="1" t="n">
        <v>45491.3716087963</v>
      </c>
      <c r="C496" s="1" t="n">
        <v>46099</v>
      </c>
      <c r="D496" t="inlineStr">
        <is>
          <t>GOTLANDS LÄN</t>
        </is>
      </c>
      <c r="E496" t="inlineStr">
        <is>
          <t>GOTLAND</t>
        </is>
      </c>
      <c r="G496" t="n">
        <v>0.5</v>
      </c>
      <c r="H496" t="n">
        <v>0</v>
      </c>
      <c r="I496" t="n">
        <v>0</v>
      </c>
      <c r="J496" t="n">
        <v>0</v>
      </c>
      <c r="K496" t="n">
        <v>0</v>
      </c>
      <c r="L496" t="n">
        <v>0</v>
      </c>
      <c r="M496" t="n">
        <v>0</v>
      </c>
      <c r="N496" t="n">
        <v>0</v>
      </c>
      <c r="O496" t="n">
        <v>0</v>
      </c>
      <c r="P496" t="n">
        <v>0</v>
      </c>
      <c r="Q496" t="n">
        <v>0</v>
      </c>
      <c r="R496" s="2" t="inlineStr"/>
    </row>
    <row r="497" ht="15" customHeight="1">
      <c r="A497" t="inlineStr">
        <is>
          <t>A 1681-2023</t>
        </is>
      </c>
      <c r="B497" s="1" t="n">
        <v>44938.39715277778</v>
      </c>
      <c r="C497" s="1" t="n">
        <v>46099</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6099-2024</t>
        </is>
      </c>
      <c r="B498" s="1" t="n">
        <v>45337</v>
      </c>
      <c r="C498" s="1" t="n">
        <v>46099</v>
      </c>
      <c r="D498" t="inlineStr">
        <is>
          <t>GOTLANDS LÄN</t>
        </is>
      </c>
      <c r="E498" t="inlineStr">
        <is>
          <t>GOTLAND</t>
        </is>
      </c>
      <c r="G498" t="n">
        <v>12.6</v>
      </c>
      <c r="H498" t="n">
        <v>0</v>
      </c>
      <c r="I498" t="n">
        <v>0</v>
      </c>
      <c r="J498" t="n">
        <v>0</v>
      </c>
      <c r="K498" t="n">
        <v>0</v>
      </c>
      <c r="L498" t="n">
        <v>0</v>
      </c>
      <c r="M498" t="n">
        <v>0</v>
      </c>
      <c r="N498" t="n">
        <v>0</v>
      </c>
      <c r="O498" t="n">
        <v>0</v>
      </c>
      <c r="P498" t="n">
        <v>0</v>
      </c>
      <c r="Q498" t="n">
        <v>0</v>
      </c>
      <c r="R498" s="2" t="inlineStr"/>
    </row>
    <row r="499" ht="15" customHeight="1">
      <c r="A499" t="inlineStr">
        <is>
          <t>A 1273-2023</t>
        </is>
      </c>
      <c r="B499" s="1" t="n">
        <v>44936</v>
      </c>
      <c r="C499" s="1" t="n">
        <v>46099</v>
      </c>
      <c r="D499" t="inlineStr">
        <is>
          <t>GOTLANDS LÄN</t>
        </is>
      </c>
      <c r="E499" t="inlineStr">
        <is>
          <t>GOTLAND</t>
        </is>
      </c>
      <c r="G499" t="n">
        <v>4.5</v>
      </c>
      <c r="H499" t="n">
        <v>0</v>
      </c>
      <c r="I499" t="n">
        <v>0</v>
      </c>
      <c r="J499" t="n">
        <v>0</v>
      </c>
      <c r="K499" t="n">
        <v>0</v>
      </c>
      <c r="L499" t="n">
        <v>0</v>
      </c>
      <c r="M499" t="n">
        <v>0</v>
      </c>
      <c r="N499" t="n">
        <v>0</v>
      </c>
      <c r="O499" t="n">
        <v>0</v>
      </c>
      <c r="P499" t="n">
        <v>0</v>
      </c>
      <c r="Q499" t="n">
        <v>0</v>
      </c>
      <c r="R499" s="2" t="inlineStr"/>
    </row>
    <row r="500" ht="15" customHeight="1">
      <c r="A500" t="inlineStr">
        <is>
          <t>A 58780-2024</t>
        </is>
      </c>
      <c r="B500" s="1" t="n">
        <v>45635.84113425926</v>
      </c>
      <c r="C500" s="1" t="n">
        <v>46099</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45692-2023</t>
        </is>
      </c>
      <c r="B501" s="1" t="n">
        <v>45195</v>
      </c>
      <c r="C501" s="1" t="n">
        <v>46099</v>
      </c>
      <c r="D501" t="inlineStr">
        <is>
          <t>GOTLANDS LÄN</t>
        </is>
      </c>
      <c r="E501" t="inlineStr">
        <is>
          <t>GOTLAND</t>
        </is>
      </c>
      <c r="G501" t="n">
        <v>5.3</v>
      </c>
      <c r="H501" t="n">
        <v>0</v>
      </c>
      <c r="I501" t="n">
        <v>0</v>
      </c>
      <c r="J501" t="n">
        <v>0</v>
      </c>
      <c r="K501" t="n">
        <v>0</v>
      </c>
      <c r="L501" t="n">
        <v>0</v>
      </c>
      <c r="M501" t="n">
        <v>0</v>
      </c>
      <c r="N501" t="n">
        <v>0</v>
      </c>
      <c r="O501" t="n">
        <v>0</v>
      </c>
      <c r="P501" t="n">
        <v>0</v>
      </c>
      <c r="Q501" t="n">
        <v>0</v>
      </c>
      <c r="R501" s="2" t="inlineStr"/>
    </row>
    <row r="502" ht="15" customHeight="1">
      <c r="A502" t="inlineStr">
        <is>
          <t>A 18993-2025</t>
        </is>
      </c>
      <c r="B502" s="1" t="n">
        <v>45764</v>
      </c>
      <c r="C502" s="1" t="n">
        <v>46099</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33876-2024</t>
        </is>
      </c>
      <c r="B503" s="1" t="n">
        <v>45521.87988425926</v>
      </c>
      <c r="C503" s="1" t="n">
        <v>46099</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26457-2025</t>
        </is>
      </c>
      <c r="B504" s="1" t="n">
        <v>45807.42773148148</v>
      </c>
      <c r="C504" s="1" t="n">
        <v>46099</v>
      </c>
      <c r="D504" t="inlineStr">
        <is>
          <t>GOTLANDS LÄN</t>
        </is>
      </c>
      <c r="E504" t="inlineStr">
        <is>
          <t>GOTLAND</t>
        </is>
      </c>
      <c r="G504" t="n">
        <v>5.7</v>
      </c>
      <c r="H504" t="n">
        <v>0</v>
      </c>
      <c r="I504" t="n">
        <v>0</v>
      </c>
      <c r="J504" t="n">
        <v>0</v>
      </c>
      <c r="K504" t="n">
        <v>0</v>
      </c>
      <c r="L504" t="n">
        <v>0</v>
      </c>
      <c r="M504" t="n">
        <v>0</v>
      </c>
      <c r="N504" t="n">
        <v>0</v>
      </c>
      <c r="O504" t="n">
        <v>0</v>
      </c>
      <c r="P504" t="n">
        <v>0</v>
      </c>
      <c r="Q504" t="n">
        <v>0</v>
      </c>
      <c r="R504" s="2" t="inlineStr"/>
    </row>
    <row r="505" ht="15" customHeight="1">
      <c r="A505" t="inlineStr">
        <is>
          <t>A 26467-2025</t>
        </is>
      </c>
      <c r="B505" s="1" t="n">
        <v>45807.44640046296</v>
      </c>
      <c r="C505" s="1" t="n">
        <v>46099</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28285-2024</t>
        </is>
      </c>
      <c r="B506" s="1" t="n">
        <v>45477</v>
      </c>
      <c r="C506" s="1" t="n">
        <v>46099</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61100-2022</t>
        </is>
      </c>
      <c r="B507" s="1" t="n">
        <v>44915</v>
      </c>
      <c r="C507" s="1" t="n">
        <v>46099</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61682-2024</t>
        </is>
      </c>
      <c r="B508" s="1" t="n">
        <v>45647.48824074074</v>
      </c>
      <c r="C508" s="1" t="n">
        <v>46099</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30135-2025</t>
        </is>
      </c>
      <c r="B509" s="1" t="n">
        <v>45826</v>
      </c>
      <c r="C509" s="1" t="n">
        <v>46099</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26465-2025</t>
        </is>
      </c>
      <c r="B510" s="1" t="n">
        <v>45807.44377314814</v>
      </c>
      <c r="C510" s="1" t="n">
        <v>46099</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12599-2025</t>
        </is>
      </c>
      <c r="B511" s="1" t="n">
        <v>45733.29546296296</v>
      </c>
      <c r="C511" s="1" t="n">
        <v>46099</v>
      </c>
      <c r="D511" t="inlineStr">
        <is>
          <t>GOTLANDS LÄN</t>
        </is>
      </c>
      <c r="E511" t="inlineStr">
        <is>
          <t>GOTLAND</t>
        </is>
      </c>
      <c r="G511" t="n">
        <v>4.7</v>
      </c>
      <c r="H511" t="n">
        <v>0</v>
      </c>
      <c r="I511" t="n">
        <v>0</v>
      </c>
      <c r="J511" t="n">
        <v>0</v>
      </c>
      <c r="K511" t="n">
        <v>0</v>
      </c>
      <c r="L511" t="n">
        <v>0</v>
      </c>
      <c r="M511" t="n">
        <v>0</v>
      </c>
      <c r="N511" t="n">
        <v>0</v>
      </c>
      <c r="O511" t="n">
        <v>0</v>
      </c>
      <c r="P511" t="n">
        <v>0</v>
      </c>
      <c r="Q511" t="n">
        <v>0</v>
      </c>
      <c r="R511" s="2" t="inlineStr"/>
    </row>
    <row r="512" ht="15" customHeight="1">
      <c r="A512" t="inlineStr">
        <is>
          <t>A 35141-2025</t>
        </is>
      </c>
      <c r="B512" s="1" t="n">
        <v>45852.65206018519</v>
      </c>
      <c r="C512" s="1" t="n">
        <v>46099</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26660-2025</t>
        </is>
      </c>
      <c r="B513" s="1" t="n">
        <v>45810.39737268518</v>
      </c>
      <c r="C513" s="1" t="n">
        <v>46099</v>
      </c>
      <c r="D513" t="inlineStr">
        <is>
          <t>GOTLANDS LÄN</t>
        </is>
      </c>
      <c r="E513" t="inlineStr">
        <is>
          <t>GOTLAND</t>
        </is>
      </c>
      <c r="G513" t="n">
        <v>1.8</v>
      </c>
      <c r="H513" t="n">
        <v>0</v>
      </c>
      <c r="I513" t="n">
        <v>0</v>
      </c>
      <c r="J513" t="n">
        <v>0</v>
      </c>
      <c r="K513" t="n">
        <v>0</v>
      </c>
      <c r="L513" t="n">
        <v>0</v>
      </c>
      <c r="M513" t="n">
        <v>0</v>
      </c>
      <c r="N513" t="n">
        <v>0</v>
      </c>
      <c r="O513" t="n">
        <v>0</v>
      </c>
      <c r="P513" t="n">
        <v>0</v>
      </c>
      <c r="Q513" t="n">
        <v>0</v>
      </c>
      <c r="R513" s="2" t="inlineStr"/>
    </row>
    <row r="514" ht="15" customHeight="1">
      <c r="A514" t="inlineStr">
        <is>
          <t>A 35142-2025</t>
        </is>
      </c>
      <c r="B514" s="1" t="n">
        <v>45852.65532407408</v>
      </c>
      <c r="C514" s="1" t="n">
        <v>46099</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27371-2025</t>
        </is>
      </c>
      <c r="B515" s="1" t="n">
        <v>45812</v>
      </c>
      <c r="C515" s="1" t="n">
        <v>46099</v>
      </c>
      <c r="D515" t="inlineStr">
        <is>
          <t>GOTLANDS LÄN</t>
        </is>
      </c>
      <c r="E515" t="inlineStr">
        <is>
          <t>GOTLAND</t>
        </is>
      </c>
      <c r="G515" t="n">
        <v>8</v>
      </c>
      <c r="H515" t="n">
        <v>0</v>
      </c>
      <c r="I515" t="n">
        <v>0</v>
      </c>
      <c r="J515" t="n">
        <v>0</v>
      </c>
      <c r="K515" t="n">
        <v>0</v>
      </c>
      <c r="L515" t="n">
        <v>0</v>
      </c>
      <c r="M515" t="n">
        <v>0</v>
      </c>
      <c r="N515" t="n">
        <v>0</v>
      </c>
      <c r="O515" t="n">
        <v>0</v>
      </c>
      <c r="P515" t="n">
        <v>0</v>
      </c>
      <c r="Q515" t="n">
        <v>0</v>
      </c>
      <c r="R515" s="2" t="inlineStr"/>
    </row>
    <row r="516" ht="15" customHeight="1">
      <c r="A516" t="inlineStr">
        <is>
          <t>A 27355-2025</t>
        </is>
      </c>
      <c r="B516" s="1" t="n">
        <v>45812</v>
      </c>
      <c r="C516" s="1" t="n">
        <v>46099</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26391-2025</t>
        </is>
      </c>
      <c r="B517" s="1" t="n">
        <v>45806</v>
      </c>
      <c r="C517" s="1" t="n">
        <v>46099</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39819-2025</t>
        </is>
      </c>
      <c r="B518" s="1" t="n">
        <v>45891.53418981482</v>
      </c>
      <c r="C518" s="1" t="n">
        <v>46099</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6739-2025</t>
        </is>
      </c>
      <c r="B519" s="1" t="n">
        <v>45700</v>
      </c>
      <c r="C519" s="1" t="n">
        <v>46099</v>
      </c>
      <c r="D519" t="inlineStr">
        <is>
          <t>GOTLANDS LÄN</t>
        </is>
      </c>
      <c r="E519" t="inlineStr">
        <is>
          <t>GOTLAND</t>
        </is>
      </c>
      <c r="G519" t="n">
        <v>4.5</v>
      </c>
      <c r="H519" t="n">
        <v>0</v>
      </c>
      <c r="I519" t="n">
        <v>0</v>
      </c>
      <c r="J519" t="n">
        <v>0</v>
      </c>
      <c r="K519" t="n">
        <v>0</v>
      </c>
      <c r="L519" t="n">
        <v>0</v>
      </c>
      <c r="M519" t="n">
        <v>0</v>
      </c>
      <c r="N519" t="n">
        <v>0</v>
      </c>
      <c r="O519" t="n">
        <v>0</v>
      </c>
      <c r="P519" t="n">
        <v>0</v>
      </c>
      <c r="Q519" t="n">
        <v>0</v>
      </c>
      <c r="R519" s="2" t="inlineStr"/>
    </row>
    <row r="520" ht="15" customHeight="1">
      <c r="A520" t="inlineStr">
        <is>
          <t>A 7850-2025</t>
        </is>
      </c>
      <c r="B520" s="1" t="n">
        <v>45706</v>
      </c>
      <c r="C520" s="1" t="n">
        <v>46099</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58388-2022</t>
        </is>
      </c>
      <c r="B521" s="1" t="n">
        <v>44894</v>
      </c>
      <c r="C521" s="1" t="n">
        <v>46099</v>
      </c>
      <c r="D521" t="inlineStr">
        <is>
          <t>GOTLANDS LÄN</t>
        </is>
      </c>
      <c r="E521" t="inlineStr">
        <is>
          <t>GOTLAND</t>
        </is>
      </c>
      <c r="F521" t="inlineStr">
        <is>
          <t>Övriga statliga verk och myndigheter</t>
        </is>
      </c>
      <c r="G521" t="n">
        <v>3.1</v>
      </c>
      <c r="H521" t="n">
        <v>0</v>
      </c>
      <c r="I521" t="n">
        <v>0</v>
      </c>
      <c r="J521" t="n">
        <v>0</v>
      </c>
      <c r="K521" t="n">
        <v>0</v>
      </c>
      <c r="L521" t="n">
        <v>0</v>
      </c>
      <c r="M521" t="n">
        <v>0</v>
      </c>
      <c r="N521" t="n">
        <v>0</v>
      </c>
      <c r="O521" t="n">
        <v>0</v>
      </c>
      <c r="P521" t="n">
        <v>0</v>
      </c>
      <c r="Q521" t="n">
        <v>0</v>
      </c>
      <c r="R521" s="2" t="inlineStr"/>
    </row>
    <row r="522" ht="15" customHeight="1">
      <c r="A522" t="inlineStr">
        <is>
          <t>A 21792-2024</t>
        </is>
      </c>
      <c r="B522" s="1" t="n">
        <v>45442.64326388889</v>
      </c>
      <c r="C522" s="1" t="n">
        <v>46099</v>
      </c>
      <c r="D522" t="inlineStr">
        <is>
          <t>GOTLANDS LÄN</t>
        </is>
      </c>
      <c r="E522" t="inlineStr">
        <is>
          <t>GOTLAND</t>
        </is>
      </c>
      <c r="G522" t="n">
        <v>1</v>
      </c>
      <c r="H522" t="n">
        <v>0</v>
      </c>
      <c r="I522" t="n">
        <v>0</v>
      </c>
      <c r="J522" t="n">
        <v>0</v>
      </c>
      <c r="K522" t="n">
        <v>0</v>
      </c>
      <c r="L522" t="n">
        <v>0</v>
      </c>
      <c r="M522" t="n">
        <v>0</v>
      </c>
      <c r="N522" t="n">
        <v>0</v>
      </c>
      <c r="O522" t="n">
        <v>0</v>
      </c>
      <c r="P522" t="n">
        <v>0</v>
      </c>
      <c r="Q522" t="n">
        <v>0</v>
      </c>
      <c r="R522" s="2" t="inlineStr"/>
    </row>
    <row r="523" ht="15" customHeight="1">
      <c r="A523" t="inlineStr">
        <is>
          <t>A 39814-2025</t>
        </is>
      </c>
      <c r="B523" s="1" t="n">
        <v>45891.52694444444</v>
      </c>
      <c r="C523" s="1" t="n">
        <v>46099</v>
      </c>
      <c r="D523" t="inlineStr">
        <is>
          <t>GOTLANDS LÄN</t>
        </is>
      </c>
      <c r="E523" t="inlineStr">
        <is>
          <t>GOTLAND</t>
        </is>
      </c>
      <c r="G523" t="n">
        <v>4.5</v>
      </c>
      <c r="H523" t="n">
        <v>0</v>
      </c>
      <c r="I523" t="n">
        <v>0</v>
      </c>
      <c r="J523" t="n">
        <v>0</v>
      </c>
      <c r="K523" t="n">
        <v>0</v>
      </c>
      <c r="L523" t="n">
        <v>0</v>
      </c>
      <c r="M523" t="n">
        <v>0</v>
      </c>
      <c r="N523" t="n">
        <v>0</v>
      </c>
      <c r="O523" t="n">
        <v>0</v>
      </c>
      <c r="P523" t="n">
        <v>0</v>
      </c>
      <c r="Q523" t="n">
        <v>0</v>
      </c>
      <c r="R523" s="2" t="inlineStr"/>
    </row>
    <row r="524" ht="15" customHeight="1">
      <c r="A524" t="inlineStr">
        <is>
          <t>A 39849-2025</t>
        </is>
      </c>
      <c r="B524" s="1" t="n">
        <v>45891.58502314815</v>
      </c>
      <c r="C524" s="1" t="n">
        <v>46099</v>
      </c>
      <c r="D524" t="inlineStr">
        <is>
          <t>GOTLANDS LÄN</t>
        </is>
      </c>
      <c r="E524" t="inlineStr">
        <is>
          <t>GOTLAND</t>
        </is>
      </c>
      <c r="G524" t="n">
        <v>6.1</v>
      </c>
      <c r="H524" t="n">
        <v>0</v>
      </c>
      <c r="I524" t="n">
        <v>0</v>
      </c>
      <c r="J524" t="n">
        <v>0</v>
      </c>
      <c r="K524" t="n">
        <v>0</v>
      </c>
      <c r="L524" t="n">
        <v>0</v>
      </c>
      <c r="M524" t="n">
        <v>0</v>
      </c>
      <c r="N524" t="n">
        <v>0</v>
      </c>
      <c r="O524" t="n">
        <v>0</v>
      </c>
      <c r="P524" t="n">
        <v>0</v>
      </c>
      <c r="Q524" t="n">
        <v>0</v>
      </c>
      <c r="R524" s="2" t="inlineStr"/>
    </row>
    <row r="525" ht="15" customHeight="1">
      <c r="A525" t="inlineStr">
        <is>
          <t>A 17688-2024</t>
        </is>
      </c>
      <c r="B525" s="1" t="n">
        <v>45418.43575231481</v>
      </c>
      <c r="C525" s="1" t="n">
        <v>46099</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7837-2024</t>
        </is>
      </c>
      <c r="B526" s="1" t="n">
        <v>45349.83787037037</v>
      </c>
      <c r="C526" s="1" t="n">
        <v>46099</v>
      </c>
      <c r="D526" t="inlineStr">
        <is>
          <t>GOTLANDS LÄN</t>
        </is>
      </c>
      <c r="E526" t="inlineStr">
        <is>
          <t>GOTLAND</t>
        </is>
      </c>
      <c r="G526" t="n">
        <v>5</v>
      </c>
      <c r="H526" t="n">
        <v>0</v>
      </c>
      <c r="I526" t="n">
        <v>0</v>
      </c>
      <c r="J526" t="n">
        <v>0</v>
      </c>
      <c r="K526" t="n">
        <v>0</v>
      </c>
      <c r="L526" t="n">
        <v>0</v>
      </c>
      <c r="M526" t="n">
        <v>0</v>
      </c>
      <c r="N526" t="n">
        <v>0</v>
      </c>
      <c r="O526" t="n">
        <v>0</v>
      </c>
      <c r="P526" t="n">
        <v>0</v>
      </c>
      <c r="Q526" t="n">
        <v>0</v>
      </c>
      <c r="R526" s="2" t="inlineStr"/>
    </row>
    <row r="527" ht="15" customHeight="1">
      <c r="A527" t="inlineStr">
        <is>
          <t>A 39752-2025</t>
        </is>
      </c>
      <c r="B527" s="1" t="n">
        <v>45891</v>
      </c>
      <c r="C527" s="1" t="n">
        <v>46099</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8444-2025</t>
        </is>
      </c>
      <c r="B528" s="1" t="n">
        <v>45709</v>
      </c>
      <c r="C528" s="1" t="n">
        <v>46099</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39816-2025</t>
        </is>
      </c>
      <c r="B529" s="1" t="n">
        <v>45891</v>
      </c>
      <c r="C529" s="1" t="n">
        <v>46099</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40103-2025</t>
        </is>
      </c>
      <c r="B530" s="1" t="n">
        <v>45894.4880324074</v>
      </c>
      <c r="C530" s="1" t="n">
        <v>46099</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40373-2025</t>
        </is>
      </c>
      <c r="B531" s="1" t="n">
        <v>45895.51821759259</v>
      </c>
      <c r="C531" s="1" t="n">
        <v>46099</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40499-2025</t>
        </is>
      </c>
      <c r="B532" s="1" t="n">
        <v>45896.32517361111</v>
      </c>
      <c r="C532" s="1" t="n">
        <v>46099</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40372-2025</t>
        </is>
      </c>
      <c r="B533" s="1" t="n">
        <v>45895.5162037037</v>
      </c>
      <c r="C533" s="1" t="n">
        <v>46099</v>
      </c>
      <c r="D533" t="inlineStr">
        <is>
          <t>GOTLANDS LÄN</t>
        </is>
      </c>
      <c r="E533" t="inlineStr">
        <is>
          <t>GOTLAND</t>
        </is>
      </c>
      <c r="G533" t="n">
        <v>3.3</v>
      </c>
      <c r="H533" t="n">
        <v>0</v>
      </c>
      <c r="I533" t="n">
        <v>0</v>
      </c>
      <c r="J533" t="n">
        <v>0</v>
      </c>
      <c r="K533" t="n">
        <v>0</v>
      </c>
      <c r="L533" t="n">
        <v>0</v>
      </c>
      <c r="M533" t="n">
        <v>0</v>
      </c>
      <c r="N533" t="n">
        <v>0</v>
      </c>
      <c r="O533" t="n">
        <v>0</v>
      </c>
      <c r="P533" t="n">
        <v>0</v>
      </c>
      <c r="Q533" t="n">
        <v>0</v>
      </c>
      <c r="R533" s="2" t="inlineStr"/>
    </row>
    <row r="534" ht="15" customHeight="1">
      <c r="A534" t="inlineStr">
        <is>
          <t>A 4568-2025</t>
        </is>
      </c>
      <c r="B534" s="1" t="n">
        <v>45687</v>
      </c>
      <c r="C534" s="1" t="n">
        <v>46099</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46836-2025</t>
        </is>
      </c>
      <c r="B535" s="1" t="n">
        <v>45928.31511574074</v>
      </c>
      <c r="C535" s="1" t="n">
        <v>46099</v>
      </c>
      <c r="D535" t="inlineStr">
        <is>
          <t>GOTLANDS LÄN</t>
        </is>
      </c>
      <c r="E535" t="inlineStr">
        <is>
          <t>GOTLAND</t>
        </is>
      </c>
      <c r="G535" t="n">
        <v>2.8</v>
      </c>
      <c r="H535" t="n">
        <v>0</v>
      </c>
      <c r="I535" t="n">
        <v>0</v>
      </c>
      <c r="J535" t="n">
        <v>0</v>
      </c>
      <c r="K535" t="n">
        <v>0</v>
      </c>
      <c r="L535" t="n">
        <v>0</v>
      </c>
      <c r="M535" t="n">
        <v>0</v>
      </c>
      <c r="N535" t="n">
        <v>0</v>
      </c>
      <c r="O535" t="n">
        <v>0</v>
      </c>
      <c r="P535" t="n">
        <v>0</v>
      </c>
      <c r="Q535" t="n">
        <v>0</v>
      </c>
      <c r="R535" s="2" t="inlineStr"/>
    </row>
    <row r="536" ht="15" customHeight="1">
      <c r="A536" t="inlineStr">
        <is>
          <t>A 39278-2025</t>
        </is>
      </c>
      <c r="B536" s="1" t="n">
        <v>45889</v>
      </c>
      <c r="C536" s="1" t="n">
        <v>46099</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19905-2025</t>
        </is>
      </c>
      <c r="B537" s="1" t="n">
        <v>45771</v>
      </c>
      <c r="C537" s="1" t="n">
        <v>46099</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29196-2025</t>
        </is>
      </c>
      <c r="B538" s="1" t="n">
        <v>45822</v>
      </c>
      <c r="C538" s="1" t="n">
        <v>46099</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46099</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5905-2024</t>
        </is>
      </c>
      <c r="B540" s="1" t="n">
        <v>45335.88993055555</v>
      </c>
      <c r="C540" s="1" t="n">
        <v>46099</v>
      </c>
      <c r="D540" t="inlineStr">
        <is>
          <t>GOTLANDS LÄN</t>
        </is>
      </c>
      <c r="E540" t="inlineStr">
        <is>
          <t>GOTLAND</t>
        </is>
      </c>
      <c r="G540" t="n">
        <v>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46099</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47637-2025</t>
        </is>
      </c>
      <c r="B542" s="1" t="n">
        <v>45931.49753472222</v>
      </c>
      <c r="C542" s="1" t="n">
        <v>46099</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41435-2025</t>
        </is>
      </c>
      <c r="B543" s="1" t="n">
        <v>45901.39974537037</v>
      </c>
      <c r="C543" s="1" t="n">
        <v>46099</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41551-2025</t>
        </is>
      </c>
      <c r="B544" s="1" t="n">
        <v>45901.58854166666</v>
      </c>
      <c r="C544" s="1" t="n">
        <v>46099</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30061-2025</t>
        </is>
      </c>
      <c r="B545" s="1" t="n">
        <v>45826.61488425926</v>
      </c>
      <c r="C545" s="1" t="n">
        <v>46099</v>
      </c>
      <c r="D545" t="inlineStr">
        <is>
          <t>GOTLANDS LÄN</t>
        </is>
      </c>
      <c r="E545" t="inlineStr">
        <is>
          <t>GOTLAND</t>
        </is>
      </c>
      <c r="G545" t="n">
        <v>4.1</v>
      </c>
      <c r="H545" t="n">
        <v>0</v>
      </c>
      <c r="I545" t="n">
        <v>0</v>
      </c>
      <c r="J545" t="n">
        <v>0</v>
      </c>
      <c r="K545" t="n">
        <v>0</v>
      </c>
      <c r="L545" t="n">
        <v>0</v>
      </c>
      <c r="M545" t="n">
        <v>0</v>
      </c>
      <c r="N545" t="n">
        <v>0</v>
      </c>
      <c r="O545" t="n">
        <v>0</v>
      </c>
      <c r="P545" t="n">
        <v>0</v>
      </c>
      <c r="Q545" t="n">
        <v>0</v>
      </c>
      <c r="R545" s="2" t="inlineStr"/>
    </row>
    <row r="546" ht="15" customHeight="1">
      <c r="A546" t="inlineStr">
        <is>
          <t>A 32378-2025</t>
        </is>
      </c>
      <c r="B546" s="1" t="n">
        <v>45837</v>
      </c>
      <c r="C546" s="1" t="n">
        <v>46099</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58160-2024</t>
        </is>
      </c>
      <c r="B547" s="1" t="n">
        <v>45632.44927083333</v>
      </c>
      <c r="C547" s="1" t="n">
        <v>46099</v>
      </c>
      <c r="D547" t="inlineStr">
        <is>
          <t>GOTLANDS LÄN</t>
        </is>
      </c>
      <c r="E547" t="inlineStr">
        <is>
          <t>GOTLAND</t>
        </is>
      </c>
      <c r="G547" t="n">
        <v>5.6</v>
      </c>
      <c r="H547" t="n">
        <v>0</v>
      </c>
      <c r="I547" t="n">
        <v>0</v>
      </c>
      <c r="J547" t="n">
        <v>0</v>
      </c>
      <c r="K547" t="n">
        <v>0</v>
      </c>
      <c r="L547" t="n">
        <v>0</v>
      </c>
      <c r="M547" t="n">
        <v>0</v>
      </c>
      <c r="N547" t="n">
        <v>0</v>
      </c>
      <c r="O547" t="n">
        <v>0</v>
      </c>
      <c r="P547" t="n">
        <v>0</v>
      </c>
      <c r="Q547" t="n">
        <v>0</v>
      </c>
      <c r="R547" s="2" t="inlineStr"/>
    </row>
    <row r="548" ht="15" customHeight="1">
      <c r="A548" t="inlineStr">
        <is>
          <t>A 35550-2025</t>
        </is>
      </c>
      <c r="B548" s="1" t="n">
        <v>45856.49324074074</v>
      </c>
      <c r="C548" s="1" t="n">
        <v>46099</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1291-2023</t>
        </is>
      </c>
      <c r="B549" s="1" t="n">
        <v>44936.47561342592</v>
      </c>
      <c r="C549" s="1" t="n">
        <v>46099</v>
      </c>
      <c r="D549" t="inlineStr">
        <is>
          <t>GOTLANDS LÄN</t>
        </is>
      </c>
      <c r="E549" t="inlineStr">
        <is>
          <t>GOTLAND</t>
        </is>
      </c>
      <c r="G549" t="n">
        <v>7.4</v>
      </c>
      <c r="H549" t="n">
        <v>0</v>
      </c>
      <c r="I549" t="n">
        <v>0</v>
      </c>
      <c r="J549" t="n">
        <v>0</v>
      </c>
      <c r="K549" t="n">
        <v>0</v>
      </c>
      <c r="L549" t="n">
        <v>0</v>
      </c>
      <c r="M549" t="n">
        <v>0</v>
      </c>
      <c r="N549" t="n">
        <v>0</v>
      </c>
      <c r="O549" t="n">
        <v>0</v>
      </c>
      <c r="P549" t="n">
        <v>0</v>
      </c>
      <c r="Q549" t="n">
        <v>0</v>
      </c>
      <c r="R549" s="2" t="inlineStr"/>
    </row>
    <row r="550" ht="15" customHeight="1">
      <c r="A550" t="inlineStr">
        <is>
          <t>A 47578-2025</t>
        </is>
      </c>
      <c r="B550" s="1" t="n">
        <v>45931</v>
      </c>
      <c r="C550" s="1" t="n">
        <v>46099</v>
      </c>
      <c r="D550" t="inlineStr">
        <is>
          <t>GOTLANDS LÄN</t>
        </is>
      </c>
      <c r="E550" t="inlineStr">
        <is>
          <t>GOTLAND</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42608-2025</t>
        </is>
      </c>
      <c r="B551" s="1" t="n">
        <v>45905</v>
      </c>
      <c r="C551" s="1" t="n">
        <v>46099</v>
      </c>
      <c r="D551" t="inlineStr">
        <is>
          <t>GOTLANDS LÄN</t>
        </is>
      </c>
      <c r="E551" t="inlineStr">
        <is>
          <t>GOTLAND</t>
        </is>
      </c>
      <c r="G551" t="n">
        <v>1.3</v>
      </c>
      <c r="H551" t="n">
        <v>0</v>
      </c>
      <c r="I551" t="n">
        <v>0</v>
      </c>
      <c r="J551" t="n">
        <v>0</v>
      </c>
      <c r="K551" t="n">
        <v>0</v>
      </c>
      <c r="L551" t="n">
        <v>0</v>
      </c>
      <c r="M551" t="n">
        <v>0</v>
      </c>
      <c r="N551" t="n">
        <v>0</v>
      </c>
      <c r="O551" t="n">
        <v>0</v>
      </c>
      <c r="P551" t="n">
        <v>0</v>
      </c>
      <c r="Q551" t="n">
        <v>0</v>
      </c>
      <c r="R551" s="2" t="inlineStr"/>
    </row>
    <row r="552" ht="15" customHeight="1">
      <c r="A552" t="inlineStr">
        <is>
          <t>A 49724-2025</t>
        </is>
      </c>
      <c r="B552" s="1" t="n">
        <v>45939.83730324074</v>
      </c>
      <c r="C552" s="1" t="n">
        <v>46099</v>
      </c>
      <c r="D552" t="inlineStr">
        <is>
          <t>GOTLANDS LÄN</t>
        </is>
      </c>
      <c r="E552" t="inlineStr">
        <is>
          <t>GOTLAND</t>
        </is>
      </c>
      <c r="F552" t="inlineStr">
        <is>
          <t>Kyrkan</t>
        </is>
      </c>
      <c r="G552" t="n">
        <v>3.1</v>
      </c>
      <c r="H552" t="n">
        <v>0</v>
      </c>
      <c r="I552" t="n">
        <v>0</v>
      </c>
      <c r="J552" t="n">
        <v>0</v>
      </c>
      <c r="K552" t="n">
        <v>0</v>
      </c>
      <c r="L552" t="n">
        <v>0</v>
      </c>
      <c r="M552" t="n">
        <v>0</v>
      </c>
      <c r="N552" t="n">
        <v>0</v>
      </c>
      <c r="O552" t="n">
        <v>0</v>
      </c>
      <c r="P552" t="n">
        <v>0</v>
      </c>
      <c r="Q552" t="n">
        <v>0</v>
      </c>
      <c r="R552" s="2" t="inlineStr"/>
    </row>
    <row r="553" ht="15" customHeight="1">
      <c r="A553" t="inlineStr">
        <is>
          <t>A 49730-2025</t>
        </is>
      </c>
      <c r="B553" s="1" t="n">
        <v>45939.87613425926</v>
      </c>
      <c r="C553" s="1" t="n">
        <v>46099</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16373-2025</t>
        </is>
      </c>
      <c r="B554" s="1" t="n">
        <v>45751</v>
      </c>
      <c r="C554" s="1" t="n">
        <v>46099</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49690-2025</t>
        </is>
      </c>
      <c r="B555" s="1" t="n">
        <v>45939.66730324074</v>
      </c>
      <c r="C555" s="1" t="n">
        <v>46099</v>
      </c>
      <c r="D555" t="inlineStr">
        <is>
          <t>GOTLANDS LÄN</t>
        </is>
      </c>
      <c r="E555" t="inlineStr">
        <is>
          <t>GOTLAND</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33011-2025</t>
        </is>
      </c>
      <c r="B556" s="1" t="n">
        <v>45840</v>
      </c>
      <c r="C556" s="1" t="n">
        <v>46099</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50421-2025</t>
        </is>
      </c>
      <c r="B557" s="1" t="n">
        <v>45944.66049768519</v>
      </c>
      <c r="C557" s="1" t="n">
        <v>46099</v>
      </c>
      <c r="D557" t="inlineStr">
        <is>
          <t>GOTLANDS LÄN</t>
        </is>
      </c>
      <c r="E557" t="inlineStr">
        <is>
          <t>GOTLAND</t>
        </is>
      </c>
      <c r="G557" t="n">
        <v>3.9</v>
      </c>
      <c r="H557" t="n">
        <v>0</v>
      </c>
      <c r="I557" t="n">
        <v>0</v>
      </c>
      <c r="J557" t="n">
        <v>0</v>
      </c>
      <c r="K557" t="n">
        <v>0</v>
      </c>
      <c r="L557" t="n">
        <v>0</v>
      </c>
      <c r="M557" t="n">
        <v>0</v>
      </c>
      <c r="N557" t="n">
        <v>0</v>
      </c>
      <c r="O557" t="n">
        <v>0</v>
      </c>
      <c r="P557" t="n">
        <v>0</v>
      </c>
      <c r="Q557" t="n">
        <v>0</v>
      </c>
      <c r="R557" s="2" t="inlineStr"/>
    </row>
    <row r="558" ht="15" customHeight="1">
      <c r="A558" t="inlineStr">
        <is>
          <t>A 32379-2025</t>
        </is>
      </c>
      <c r="B558" s="1" t="n">
        <v>45837</v>
      </c>
      <c r="C558" s="1" t="n">
        <v>46099</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10158-2025</t>
        </is>
      </c>
      <c r="B559" s="1" t="n">
        <v>45719</v>
      </c>
      <c r="C559" s="1" t="n">
        <v>46099</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32467-2025</t>
        </is>
      </c>
      <c r="B560" s="1" t="n">
        <v>45838.42111111111</v>
      </c>
      <c r="C560" s="1" t="n">
        <v>46099</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50431-2025</t>
        </is>
      </c>
      <c r="B561" s="1" t="n">
        <v>45944.68453703704</v>
      </c>
      <c r="C561" s="1" t="n">
        <v>46099</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16109-2025</t>
        </is>
      </c>
      <c r="B562" s="1" t="n">
        <v>45750</v>
      </c>
      <c r="C562" s="1" t="n">
        <v>46099</v>
      </c>
      <c r="D562" t="inlineStr">
        <is>
          <t>GOTLANDS LÄN</t>
        </is>
      </c>
      <c r="E562" t="inlineStr">
        <is>
          <t>GOTLAND</t>
        </is>
      </c>
      <c r="G562" t="n">
        <v>4.9</v>
      </c>
      <c r="H562" t="n">
        <v>0</v>
      </c>
      <c r="I562" t="n">
        <v>0</v>
      </c>
      <c r="J562" t="n">
        <v>0</v>
      </c>
      <c r="K562" t="n">
        <v>0</v>
      </c>
      <c r="L562" t="n">
        <v>0</v>
      </c>
      <c r="M562" t="n">
        <v>0</v>
      </c>
      <c r="N562" t="n">
        <v>0</v>
      </c>
      <c r="O562" t="n">
        <v>0</v>
      </c>
      <c r="P562" t="n">
        <v>0</v>
      </c>
      <c r="Q562" t="n">
        <v>0</v>
      </c>
      <c r="R562" s="2" t="inlineStr"/>
    </row>
    <row r="563" ht="15" customHeight="1">
      <c r="A563" t="inlineStr">
        <is>
          <t>A 50928-2025</t>
        </is>
      </c>
      <c r="B563" s="1" t="n">
        <v>45946.67896990741</v>
      </c>
      <c r="C563" s="1" t="n">
        <v>46099</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33007-2025</t>
        </is>
      </c>
      <c r="B564" s="1" t="n">
        <v>45840</v>
      </c>
      <c r="C564" s="1" t="n">
        <v>46099</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51262-2025</t>
        </is>
      </c>
      <c r="B565" s="1" t="n">
        <v>45949.49872685185</v>
      </c>
      <c r="C565" s="1" t="n">
        <v>46099</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52249-2025</t>
        </is>
      </c>
      <c r="B566" s="1" t="n">
        <v>45953.48637731482</v>
      </c>
      <c r="C566" s="1" t="n">
        <v>46099</v>
      </c>
      <c r="D566" t="inlineStr">
        <is>
          <t>GOTLANDS LÄN</t>
        </is>
      </c>
      <c r="E566" t="inlineStr">
        <is>
          <t>GOTLAND</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15413-2025</t>
        </is>
      </c>
      <c r="B567" s="1" t="n">
        <v>45747.451875</v>
      </c>
      <c r="C567" s="1" t="n">
        <v>46099</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52637-2025</t>
        </is>
      </c>
      <c r="B568" s="1" t="n">
        <v>45954.75099537037</v>
      </c>
      <c r="C568" s="1" t="n">
        <v>46099</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35123-2025</t>
        </is>
      </c>
      <c r="B569" s="1" t="n">
        <v>45852.614375</v>
      </c>
      <c r="C569" s="1" t="n">
        <v>46099</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35096-2025</t>
        </is>
      </c>
      <c r="B570" s="1" t="n">
        <v>45852.54356481481</v>
      </c>
      <c r="C570" s="1" t="n">
        <v>46099</v>
      </c>
      <c r="D570" t="inlineStr">
        <is>
          <t>GOTLANDS LÄN</t>
        </is>
      </c>
      <c r="E570" t="inlineStr">
        <is>
          <t>GOTLAND</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30104-2025</t>
        </is>
      </c>
      <c r="B571" s="1" t="n">
        <v>45826.68806712963</v>
      </c>
      <c r="C571" s="1" t="n">
        <v>46099</v>
      </c>
      <c r="D571" t="inlineStr">
        <is>
          <t>GOTLANDS LÄN</t>
        </is>
      </c>
      <c r="E571" t="inlineStr">
        <is>
          <t>GOTLAND</t>
        </is>
      </c>
      <c r="G571" t="n">
        <v>15.4</v>
      </c>
      <c r="H571" t="n">
        <v>0</v>
      </c>
      <c r="I571" t="n">
        <v>0</v>
      </c>
      <c r="J571" t="n">
        <v>0</v>
      </c>
      <c r="K571" t="n">
        <v>0</v>
      </c>
      <c r="L571" t="n">
        <v>0</v>
      </c>
      <c r="M571" t="n">
        <v>0</v>
      </c>
      <c r="N571" t="n">
        <v>0</v>
      </c>
      <c r="O571" t="n">
        <v>0</v>
      </c>
      <c r="P571" t="n">
        <v>0</v>
      </c>
      <c r="Q571" t="n">
        <v>0</v>
      </c>
      <c r="R571" s="2" t="inlineStr"/>
    </row>
    <row r="572" ht="15" customHeight="1">
      <c r="A572" t="inlineStr">
        <is>
          <t>A 35290-2025</t>
        </is>
      </c>
      <c r="B572" s="1" t="n">
        <v>45854.38502314815</v>
      </c>
      <c r="C572" s="1" t="n">
        <v>46099</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32669-2024</t>
        </is>
      </c>
      <c r="B573" s="1" t="n">
        <v>45514</v>
      </c>
      <c r="C573" s="1" t="n">
        <v>46099</v>
      </c>
      <c r="D573" t="inlineStr">
        <is>
          <t>GOTLANDS LÄN</t>
        </is>
      </c>
      <c r="E573" t="inlineStr">
        <is>
          <t>GOTLAND</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53569-2025</t>
        </is>
      </c>
      <c r="B574" s="1" t="n">
        <v>45960.41155092593</v>
      </c>
      <c r="C574" s="1" t="n">
        <v>46099</v>
      </c>
      <c r="D574" t="inlineStr">
        <is>
          <t>GOTLANDS LÄN</t>
        </is>
      </c>
      <c r="E574" t="inlineStr">
        <is>
          <t>GOTLAND</t>
        </is>
      </c>
      <c r="F574" t="inlineStr">
        <is>
          <t>Övriga Aktiebolag</t>
        </is>
      </c>
      <c r="G574" t="n">
        <v>11.3</v>
      </c>
      <c r="H574" t="n">
        <v>0</v>
      </c>
      <c r="I574" t="n">
        <v>0</v>
      </c>
      <c r="J574" t="n">
        <v>0</v>
      </c>
      <c r="K574" t="n">
        <v>0</v>
      </c>
      <c r="L574" t="n">
        <v>0</v>
      </c>
      <c r="M574" t="n">
        <v>0</v>
      </c>
      <c r="N574" t="n">
        <v>0</v>
      </c>
      <c r="O574" t="n">
        <v>0</v>
      </c>
      <c r="P574" t="n">
        <v>0</v>
      </c>
      <c r="Q574" t="n">
        <v>0</v>
      </c>
      <c r="R574" s="2" t="inlineStr"/>
    </row>
    <row r="575" ht="15" customHeight="1">
      <c r="A575" t="inlineStr">
        <is>
          <t>A 35537-2025</t>
        </is>
      </c>
      <c r="B575" s="1" t="n">
        <v>45856</v>
      </c>
      <c r="C575" s="1" t="n">
        <v>46099</v>
      </c>
      <c r="D575" t="inlineStr">
        <is>
          <t>GOTLANDS LÄN</t>
        </is>
      </c>
      <c r="E575" t="inlineStr">
        <is>
          <t>GOTLAND</t>
        </is>
      </c>
      <c r="G575" t="n">
        <v>16.8</v>
      </c>
      <c r="H575" t="n">
        <v>0</v>
      </c>
      <c r="I575" t="n">
        <v>0</v>
      </c>
      <c r="J575" t="n">
        <v>0</v>
      </c>
      <c r="K575" t="n">
        <v>0</v>
      </c>
      <c r="L575" t="n">
        <v>0</v>
      </c>
      <c r="M575" t="n">
        <v>0</v>
      </c>
      <c r="N575" t="n">
        <v>0</v>
      </c>
      <c r="O575" t="n">
        <v>0</v>
      </c>
      <c r="P575" t="n">
        <v>0</v>
      </c>
      <c r="Q575" t="n">
        <v>0</v>
      </c>
      <c r="R575" s="2" t="inlineStr"/>
    </row>
    <row r="576" ht="15" customHeight="1">
      <c r="A576" t="inlineStr">
        <is>
          <t>A 53577-2025</t>
        </is>
      </c>
      <c r="B576" s="1" t="n">
        <v>45960.42224537037</v>
      </c>
      <c r="C576" s="1" t="n">
        <v>46099</v>
      </c>
      <c r="D576" t="inlineStr">
        <is>
          <t>GOTLANDS LÄN</t>
        </is>
      </c>
      <c r="E576" t="inlineStr">
        <is>
          <t>GOTLAND</t>
        </is>
      </c>
      <c r="F576" t="inlineStr">
        <is>
          <t>Övriga Aktiebolag</t>
        </is>
      </c>
      <c r="G576" t="n">
        <v>3.3</v>
      </c>
      <c r="H576" t="n">
        <v>0</v>
      </c>
      <c r="I576" t="n">
        <v>0</v>
      </c>
      <c r="J576" t="n">
        <v>0</v>
      </c>
      <c r="K576" t="n">
        <v>0</v>
      </c>
      <c r="L576" t="n">
        <v>0</v>
      </c>
      <c r="M576" t="n">
        <v>0</v>
      </c>
      <c r="N576" t="n">
        <v>0</v>
      </c>
      <c r="O576" t="n">
        <v>0</v>
      </c>
      <c r="P576" t="n">
        <v>0</v>
      </c>
      <c r="Q576" t="n">
        <v>0</v>
      </c>
      <c r="R576" s="2" t="inlineStr"/>
    </row>
    <row r="577" ht="15" customHeight="1">
      <c r="A577" t="inlineStr">
        <is>
          <t>A 15216-2025</t>
        </is>
      </c>
      <c r="B577" s="1" t="n">
        <v>45744</v>
      </c>
      <c r="C577" s="1" t="n">
        <v>46099</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43790-2024</t>
        </is>
      </c>
      <c r="B578" s="1" t="n">
        <v>45571</v>
      </c>
      <c r="C578" s="1" t="n">
        <v>46099</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15001-2025</t>
        </is>
      </c>
      <c r="B579" s="1" t="n">
        <v>45743</v>
      </c>
      <c r="C579" s="1" t="n">
        <v>46099</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30488-2025</t>
        </is>
      </c>
      <c r="B580" s="1" t="n">
        <v>45830</v>
      </c>
      <c r="C580" s="1" t="n">
        <v>46099</v>
      </c>
      <c r="D580" t="inlineStr">
        <is>
          <t>GOTLANDS LÄN</t>
        </is>
      </c>
      <c r="E580" t="inlineStr">
        <is>
          <t>GOTLAND</t>
        </is>
      </c>
      <c r="F580" t="inlineStr">
        <is>
          <t>Kyrkan</t>
        </is>
      </c>
      <c r="G580" t="n">
        <v>3.9</v>
      </c>
      <c r="H580" t="n">
        <v>0</v>
      </c>
      <c r="I580" t="n">
        <v>0</v>
      </c>
      <c r="J580" t="n">
        <v>0</v>
      </c>
      <c r="K580" t="n">
        <v>0</v>
      </c>
      <c r="L580" t="n">
        <v>0</v>
      </c>
      <c r="M580" t="n">
        <v>0</v>
      </c>
      <c r="N580" t="n">
        <v>0</v>
      </c>
      <c r="O580" t="n">
        <v>0</v>
      </c>
      <c r="P580" t="n">
        <v>0</v>
      </c>
      <c r="Q580" t="n">
        <v>0</v>
      </c>
      <c r="R580" s="2" t="inlineStr"/>
    </row>
    <row r="581" ht="15" customHeight="1">
      <c r="A581" t="inlineStr">
        <is>
          <t>A 17847-2025</t>
        </is>
      </c>
      <c r="B581" s="1" t="n">
        <v>45758</v>
      </c>
      <c r="C581" s="1" t="n">
        <v>46099</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18742-2025</t>
        </is>
      </c>
      <c r="B582" s="1" t="n">
        <v>45763</v>
      </c>
      <c r="C582" s="1" t="n">
        <v>46099</v>
      </c>
      <c r="D582" t="inlineStr">
        <is>
          <t>GOTLANDS LÄN</t>
        </is>
      </c>
      <c r="E582" t="inlineStr">
        <is>
          <t>GOTLAND</t>
        </is>
      </c>
      <c r="G582" t="n">
        <v>3.4</v>
      </c>
      <c r="H582" t="n">
        <v>0</v>
      </c>
      <c r="I582" t="n">
        <v>0</v>
      </c>
      <c r="J582" t="n">
        <v>0</v>
      </c>
      <c r="K582" t="n">
        <v>0</v>
      </c>
      <c r="L582" t="n">
        <v>0</v>
      </c>
      <c r="M582" t="n">
        <v>0</v>
      </c>
      <c r="N582" t="n">
        <v>0</v>
      </c>
      <c r="O582" t="n">
        <v>0</v>
      </c>
      <c r="P582" t="n">
        <v>0</v>
      </c>
      <c r="Q582" t="n">
        <v>0</v>
      </c>
      <c r="R582" s="2" t="inlineStr"/>
    </row>
    <row r="583" ht="15" customHeight="1">
      <c r="A583" t="inlineStr">
        <is>
          <t>A 35129-2025</t>
        </is>
      </c>
      <c r="B583" s="1" t="n">
        <v>45852.63224537037</v>
      </c>
      <c r="C583" s="1" t="n">
        <v>46099</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6108-2025</t>
        </is>
      </c>
      <c r="B584" s="1" t="n">
        <v>45698.29880787037</v>
      </c>
      <c r="C584" s="1" t="n">
        <v>46099</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21142-2025</t>
        </is>
      </c>
      <c r="B585" s="1" t="n">
        <v>45779</v>
      </c>
      <c r="C585" s="1" t="n">
        <v>46099</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56799-2025</t>
        </is>
      </c>
      <c r="B586" s="1" t="n">
        <v>45978.43392361111</v>
      </c>
      <c r="C586" s="1" t="n">
        <v>46099</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17343-2025</t>
        </is>
      </c>
      <c r="B587" s="1" t="n">
        <v>45756.6687037037</v>
      </c>
      <c r="C587" s="1" t="n">
        <v>46099</v>
      </c>
      <c r="D587" t="inlineStr">
        <is>
          <t>GOTLANDS LÄN</t>
        </is>
      </c>
      <c r="E587" t="inlineStr">
        <is>
          <t>GOTLAND</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56688-2025</t>
        </is>
      </c>
      <c r="B588" s="1" t="n">
        <v>45975.84331018518</v>
      </c>
      <c r="C588" s="1" t="n">
        <v>46099</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18938-2025</t>
        </is>
      </c>
      <c r="B589" s="1" t="n">
        <v>45764.49172453704</v>
      </c>
      <c r="C589" s="1" t="n">
        <v>46099</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30489-2025</t>
        </is>
      </c>
      <c r="B590" s="1" t="n">
        <v>45830</v>
      </c>
      <c r="C590" s="1" t="n">
        <v>46099</v>
      </c>
      <c r="D590" t="inlineStr">
        <is>
          <t>GOTLANDS LÄN</t>
        </is>
      </c>
      <c r="E590" t="inlineStr">
        <is>
          <t>GOTLAND</t>
        </is>
      </c>
      <c r="G590" t="n">
        <v>4.6</v>
      </c>
      <c r="H590" t="n">
        <v>0</v>
      </c>
      <c r="I590" t="n">
        <v>0</v>
      </c>
      <c r="J590" t="n">
        <v>0</v>
      </c>
      <c r="K590" t="n">
        <v>0</v>
      </c>
      <c r="L590" t="n">
        <v>0</v>
      </c>
      <c r="M590" t="n">
        <v>0</v>
      </c>
      <c r="N590" t="n">
        <v>0</v>
      </c>
      <c r="O590" t="n">
        <v>0</v>
      </c>
      <c r="P590" t="n">
        <v>0</v>
      </c>
      <c r="Q590" t="n">
        <v>0</v>
      </c>
      <c r="R590" s="2" t="inlineStr"/>
    </row>
    <row r="591" ht="15" customHeight="1">
      <c r="A591" t="inlineStr">
        <is>
          <t>A 20307-2025</t>
        </is>
      </c>
      <c r="B591" s="1" t="n">
        <v>45774.95546296296</v>
      </c>
      <c r="C591" s="1" t="n">
        <v>46099</v>
      </c>
      <c r="D591" t="inlineStr">
        <is>
          <t>GOTLANDS LÄN</t>
        </is>
      </c>
      <c r="E591" t="inlineStr">
        <is>
          <t>GOTLAND</t>
        </is>
      </c>
      <c r="G591" t="n">
        <v>6.8</v>
      </c>
      <c r="H591" t="n">
        <v>0</v>
      </c>
      <c r="I591" t="n">
        <v>0</v>
      </c>
      <c r="J591" t="n">
        <v>0</v>
      </c>
      <c r="K591" t="n">
        <v>0</v>
      </c>
      <c r="L591" t="n">
        <v>0</v>
      </c>
      <c r="M591" t="n">
        <v>0</v>
      </c>
      <c r="N591" t="n">
        <v>0</v>
      </c>
      <c r="O591" t="n">
        <v>0</v>
      </c>
      <c r="P591" t="n">
        <v>0</v>
      </c>
      <c r="Q591" t="n">
        <v>0</v>
      </c>
      <c r="R591" s="2" t="inlineStr"/>
    </row>
    <row r="592" ht="15" customHeight="1">
      <c r="A592" t="inlineStr">
        <is>
          <t>A 59197-2025</t>
        </is>
      </c>
      <c r="B592" s="1" t="n">
        <v>45988.59846064815</v>
      </c>
      <c r="C592" s="1" t="n">
        <v>46099</v>
      </c>
      <c r="D592" t="inlineStr">
        <is>
          <t>GOTLANDS LÄN</t>
        </is>
      </c>
      <c r="E592" t="inlineStr">
        <is>
          <t>GOTLAND</t>
        </is>
      </c>
      <c r="G592" t="n">
        <v>2.3</v>
      </c>
      <c r="H592" t="n">
        <v>0</v>
      </c>
      <c r="I592" t="n">
        <v>0</v>
      </c>
      <c r="J592" t="n">
        <v>0</v>
      </c>
      <c r="K592" t="n">
        <v>0</v>
      </c>
      <c r="L592" t="n">
        <v>0</v>
      </c>
      <c r="M592" t="n">
        <v>0</v>
      </c>
      <c r="N592" t="n">
        <v>0</v>
      </c>
      <c r="O592" t="n">
        <v>0</v>
      </c>
      <c r="P592" t="n">
        <v>0</v>
      </c>
      <c r="Q592" t="n">
        <v>0</v>
      </c>
      <c r="R592" s="2" t="inlineStr"/>
    </row>
    <row r="593" ht="15" customHeight="1">
      <c r="A593" t="inlineStr">
        <is>
          <t>A 36319-2025</t>
        </is>
      </c>
      <c r="B593" s="1" t="n">
        <v>45868</v>
      </c>
      <c r="C593" s="1" t="n">
        <v>46099</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62066-2025</t>
        </is>
      </c>
      <c r="B594" s="1" t="n">
        <v>46006.34738425926</v>
      </c>
      <c r="C594" s="1" t="n">
        <v>46099</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62103-2025</t>
        </is>
      </c>
      <c r="B595" s="1" t="n">
        <v>46006</v>
      </c>
      <c r="C595" s="1" t="n">
        <v>46099</v>
      </c>
      <c r="D595" t="inlineStr">
        <is>
          <t>GOTLANDS LÄN</t>
        </is>
      </c>
      <c r="E595" t="inlineStr">
        <is>
          <t>GOTLAND</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47147-2025</t>
        </is>
      </c>
      <c r="B596" s="1" t="n">
        <v>45929</v>
      </c>
      <c r="C596" s="1" t="n">
        <v>46099</v>
      </c>
      <c r="D596" t="inlineStr">
        <is>
          <t>GOTLANDS LÄN</t>
        </is>
      </c>
      <c r="E596" t="inlineStr">
        <is>
          <t>GOTLAND</t>
        </is>
      </c>
      <c r="G596" t="n">
        <v>2.3</v>
      </c>
      <c r="H596" t="n">
        <v>0</v>
      </c>
      <c r="I596" t="n">
        <v>0</v>
      </c>
      <c r="J596" t="n">
        <v>0</v>
      </c>
      <c r="K596" t="n">
        <v>0</v>
      </c>
      <c r="L596" t="n">
        <v>0</v>
      </c>
      <c r="M596" t="n">
        <v>0</v>
      </c>
      <c r="N596" t="n">
        <v>0</v>
      </c>
      <c r="O596" t="n">
        <v>0</v>
      </c>
      <c r="P596" t="n">
        <v>0</v>
      </c>
      <c r="Q596" t="n">
        <v>0</v>
      </c>
      <c r="R596" s="2" t="inlineStr"/>
    </row>
    <row r="597" ht="15" customHeight="1">
      <c r="A597" t="inlineStr">
        <is>
          <t>A 63002-2025</t>
        </is>
      </c>
      <c r="B597" s="1" t="n">
        <v>46009.56564814815</v>
      </c>
      <c r="C597" s="1" t="n">
        <v>46099</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54584-2025</t>
        </is>
      </c>
      <c r="B598" s="1" t="n">
        <v>45965.71788194445</v>
      </c>
      <c r="C598" s="1" t="n">
        <v>46099</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6960-2026</t>
        </is>
      </c>
      <c r="B599" s="1" t="n">
        <v>46057.58105324074</v>
      </c>
      <c r="C599" s="1" t="n">
        <v>46099</v>
      </c>
      <c r="D599" t="inlineStr">
        <is>
          <t>GOTLANDS LÄN</t>
        </is>
      </c>
      <c r="E599" t="inlineStr">
        <is>
          <t>GOTLAND</t>
        </is>
      </c>
      <c r="F599" t="inlineStr">
        <is>
          <t>Kyrkan</t>
        </is>
      </c>
      <c r="G599" t="n">
        <v>2.4</v>
      </c>
      <c r="H599" t="n">
        <v>0</v>
      </c>
      <c r="I599" t="n">
        <v>0</v>
      </c>
      <c r="J599" t="n">
        <v>0</v>
      </c>
      <c r="K599" t="n">
        <v>0</v>
      </c>
      <c r="L599" t="n">
        <v>0</v>
      </c>
      <c r="M599" t="n">
        <v>0</v>
      </c>
      <c r="N599" t="n">
        <v>0</v>
      </c>
      <c r="O599" t="n">
        <v>0</v>
      </c>
      <c r="P599" t="n">
        <v>0</v>
      </c>
      <c r="Q599" t="n">
        <v>0</v>
      </c>
      <c r="R599" s="2" t="inlineStr"/>
    </row>
    <row r="600" ht="15" customHeight="1">
      <c r="A600" t="inlineStr">
        <is>
          <t>A 6959-2026</t>
        </is>
      </c>
      <c r="B600" s="1" t="n">
        <v>46057.580625</v>
      </c>
      <c r="C600" s="1" t="n">
        <v>46099</v>
      </c>
      <c r="D600" t="inlineStr">
        <is>
          <t>GOTLANDS LÄN</t>
        </is>
      </c>
      <c r="E600" t="inlineStr">
        <is>
          <t>GOTLAND</t>
        </is>
      </c>
      <c r="F600" t="inlineStr">
        <is>
          <t>Kyrkan</t>
        </is>
      </c>
      <c r="G600" t="n">
        <v>1.2</v>
      </c>
      <c r="H600" t="n">
        <v>0</v>
      </c>
      <c r="I600" t="n">
        <v>0</v>
      </c>
      <c r="J600" t="n">
        <v>0</v>
      </c>
      <c r="K600" t="n">
        <v>0</v>
      </c>
      <c r="L600" t="n">
        <v>0</v>
      </c>
      <c r="M600" t="n">
        <v>0</v>
      </c>
      <c r="N600" t="n">
        <v>0</v>
      </c>
      <c r="O600" t="n">
        <v>0</v>
      </c>
      <c r="P600" t="n">
        <v>0</v>
      </c>
      <c r="Q600" t="n">
        <v>0</v>
      </c>
      <c r="R600" s="2" t="inlineStr"/>
    </row>
    <row r="601" ht="15" customHeight="1">
      <c r="A601" t="inlineStr">
        <is>
          <t>A 38649-2025</t>
        </is>
      </c>
      <c r="B601" s="1" t="n">
        <v>45884</v>
      </c>
      <c r="C601" s="1" t="n">
        <v>46099</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61078-2025</t>
        </is>
      </c>
      <c r="B602" s="1" t="n">
        <v>46000</v>
      </c>
      <c r="C602" s="1" t="n">
        <v>46099</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7625-2026</t>
        </is>
      </c>
      <c r="B603" s="1" t="n">
        <v>46062.35135416667</v>
      </c>
      <c r="C603" s="1" t="n">
        <v>46099</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7627-2026</t>
        </is>
      </c>
      <c r="B604" s="1" t="n">
        <v>46062.35465277778</v>
      </c>
      <c r="C604" s="1" t="n">
        <v>46099</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36-2026</t>
        </is>
      </c>
      <c r="B605" s="1" t="n">
        <v>46024.38886574074</v>
      </c>
      <c r="C605" s="1" t="n">
        <v>46099</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62674-2025</t>
        </is>
      </c>
      <c r="B606" s="1" t="n">
        <v>46008</v>
      </c>
      <c r="C606" s="1" t="n">
        <v>46099</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9543-2026</t>
        </is>
      </c>
      <c r="B607" s="1" t="n">
        <v>46071.62486111111</v>
      </c>
      <c r="C607" s="1" t="n">
        <v>46099</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9521-2026</t>
        </is>
      </c>
      <c r="B608" s="1" t="n">
        <v>46071.59969907408</v>
      </c>
      <c r="C608" s="1" t="n">
        <v>46099</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9524-2026</t>
        </is>
      </c>
      <c r="B609" s="1" t="n">
        <v>46071.60108796296</v>
      </c>
      <c r="C609" s="1" t="n">
        <v>46099</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9518-2026</t>
        </is>
      </c>
      <c r="B610" s="1" t="n">
        <v>46071.59653935185</v>
      </c>
      <c r="C610" s="1" t="n">
        <v>46099</v>
      </c>
      <c r="D610" t="inlineStr">
        <is>
          <t>GOTLANDS LÄN</t>
        </is>
      </c>
      <c r="E610" t="inlineStr">
        <is>
          <t>GOTLAND</t>
        </is>
      </c>
      <c r="G610" t="n">
        <v>6.2</v>
      </c>
      <c r="H610" t="n">
        <v>0</v>
      </c>
      <c r="I610" t="n">
        <v>0</v>
      </c>
      <c r="J610" t="n">
        <v>0</v>
      </c>
      <c r="K610" t="n">
        <v>0</v>
      </c>
      <c r="L610" t="n">
        <v>0</v>
      </c>
      <c r="M610" t="n">
        <v>0</v>
      </c>
      <c r="N610" t="n">
        <v>0</v>
      </c>
      <c r="O610" t="n">
        <v>0</v>
      </c>
      <c r="P610" t="n">
        <v>0</v>
      </c>
      <c r="Q610" t="n">
        <v>0</v>
      </c>
      <c r="R610" s="2" t="inlineStr"/>
    </row>
    <row r="611" ht="15" customHeight="1">
      <c r="A611" t="inlineStr">
        <is>
          <t>A 9519-2026</t>
        </is>
      </c>
      <c r="B611" s="1" t="n">
        <v>46071.59820601852</v>
      </c>
      <c r="C611" s="1" t="n">
        <v>46099</v>
      </c>
      <c r="D611" t="inlineStr">
        <is>
          <t>GOTLANDS LÄN</t>
        </is>
      </c>
      <c r="E611" t="inlineStr">
        <is>
          <t>GOTLAND</t>
        </is>
      </c>
      <c r="G611" t="n">
        <v>4</v>
      </c>
      <c r="H611" t="n">
        <v>0</v>
      </c>
      <c r="I611" t="n">
        <v>0</v>
      </c>
      <c r="J611" t="n">
        <v>0</v>
      </c>
      <c r="K611" t="n">
        <v>0</v>
      </c>
      <c r="L611" t="n">
        <v>0</v>
      </c>
      <c r="M611" t="n">
        <v>0</v>
      </c>
      <c r="N611" t="n">
        <v>0</v>
      </c>
      <c r="O611" t="n">
        <v>0</v>
      </c>
      <c r="P611" t="n">
        <v>0</v>
      </c>
      <c r="Q611" t="n">
        <v>0</v>
      </c>
      <c r="R611" s="2" t="inlineStr"/>
    </row>
    <row r="612" ht="15" customHeight="1">
      <c r="A612" t="inlineStr">
        <is>
          <t>A 9540-2026</t>
        </is>
      </c>
      <c r="B612" s="1" t="n">
        <v>46071.61961805556</v>
      </c>
      <c r="C612" s="1" t="n">
        <v>46099</v>
      </c>
      <c r="D612" t="inlineStr">
        <is>
          <t>GOTLANDS LÄN</t>
        </is>
      </c>
      <c r="E612" t="inlineStr">
        <is>
          <t>GOTLAND</t>
        </is>
      </c>
      <c r="G612" t="n">
        <v>2.8</v>
      </c>
      <c r="H612" t="n">
        <v>0</v>
      </c>
      <c r="I612" t="n">
        <v>0</v>
      </c>
      <c r="J612" t="n">
        <v>0</v>
      </c>
      <c r="K612" t="n">
        <v>0</v>
      </c>
      <c r="L612" t="n">
        <v>0</v>
      </c>
      <c r="M612" t="n">
        <v>0</v>
      </c>
      <c r="N612" t="n">
        <v>0</v>
      </c>
      <c r="O612" t="n">
        <v>0</v>
      </c>
      <c r="P612" t="n">
        <v>0</v>
      </c>
      <c r="Q612" t="n">
        <v>0</v>
      </c>
      <c r="R612" s="2" t="inlineStr"/>
    </row>
    <row r="613" ht="15" customHeight="1">
      <c r="A613" t="inlineStr">
        <is>
          <t>A 9504-2026</t>
        </is>
      </c>
      <c r="B613" s="1" t="n">
        <v>46071.57730324074</v>
      </c>
      <c r="C613" s="1" t="n">
        <v>46099</v>
      </c>
      <c r="D613" t="inlineStr">
        <is>
          <t>GOTLANDS LÄN</t>
        </is>
      </c>
      <c r="E613" t="inlineStr">
        <is>
          <t>GOTLAND</t>
        </is>
      </c>
      <c r="G613" t="n">
        <v>0.6</v>
      </c>
      <c r="H613" t="n">
        <v>0</v>
      </c>
      <c r="I613" t="n">
        <v>0</v>
      </c>
      <c r="J613" t="n">
        <v>0</v>
      </c>
      <c r="K613" t="n">
        <v>0</v>
      </c>
      <c r="L613" t="n">
        <v>0</v>
      </c>
      <c r="M613" t="n">
        <v>0</v>
      </c>
      <c r="N613" t="n">
        <v>0</v>
      </c>
      <c r="O613" t="n">
        <v>0</v>
      </c>
      <c r="P613" t="n">
        <v>0</v>
      </c>
      <c r="Q613" t="n">
        <v>0</v>
      </c>
      <c r="R613" s="2" t="inlineStr"/>
    </row>
    <row r="614" ht="15" customHeight="1">
      <c r="A614" t="inlineStr">
        <is>
          <t>A 63105-2025</t>
        </is>
      </c>
      <c r="B614" s="1" t="n">
        <v>46009</v>
      </c>
      <c r="C614" s="1" t="n">
        <v>46099</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63152-2025</t>
        </is>
      </c>
      <c r="B615" s="1" t="n">
        <v>46010</v>
      </c>
      <c r="C615" s="1" t="n">
        <v>46099</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9901-2026</t>
        </is>
      </c>
      <c r="B616" s="1" t="n">
        <v>46073.40391203704</v>
      </c>
      <c r="C616" s="1" t="n">
        <v>46099</v>
      </c>
      <c r="D616" t="inlineStr">
        <is>
          <t>GOTLANDS LÄN</t>
        </is>
      </c>
      <c r="E616" t="inlineStr">
        <is>
          <t>GOTLAND</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1355-2026</t>
        </is>
      </c>
      <c r="B617" s="1" t="n">
        <v>46031.59909722222</v>
      </c>
      <c r="C617" s="1" t="n">
        <v>46099</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10486-2026</t>
        </is>
      </c>
      <c r="B618" s="1" t="n">
        <v>46077.51425925926</v>
      </c>
      <c r="C618" s="1" t="n">
        <v>46099</v>
      </c>
      <c r="D618" t="inlineStr">
        <is>
          <t>GOTLANDS LÄN</t>
        </is>
      </c>
      <c r="E618" t="inlineStr">
        <is>
          <t>GOTLAND</t>
        </is>
      </c>
      <c r="G618" t="n">
        <v>3.5</v>
      </c>
      <c r="H618" t="n">
        <v>0</v>
      </c>
      <c r="I618" t="n">
        <v>0</v>
      </c>
      <c r="J618" t="n">
        <v>0</v>
      </c>
      <c r="K618" t="n">
        <v>0</v>
      </c>
      <c r="L618" t="n">
        <v>0</v>
      </c>
      <c r="M618" t="n">
        <v>0</v>
      </c>
      <c r="N618" t="n">
        <v>0</v>
      </c>
      <c r="O618" t="n">
        <v>0</v>
      </c>
      <c r="P618" t="n">
        <v>0</v>
      </c>
      <c r="Q618" t="n">
        <v>0</v>
      </c>
      <c r="R618" s="2" t="inlineStr"/>
    </row>
    <row r="619" ht="15" customHeight="1">
      <c r="A619" t="inlineStr">
        <is>
          <t>A 62836-2025</t>
        </is>
      </c>
      <c r="B619" s="1" t="n">
        <v>46008</v>
      </c>
      <c r="C619" s="1" t="n">
        <v>46099</v>
      </c>
      <c r="D619" t="inlineStr">
        <is>
          <t>GOTLANDS LÄN</t>
        </is>
      </c>
      <c r="E619" t="inlineStr">
        <is>
          <t>GOTLAND</t>
        </is>
      </c>
      <c r="G619" t="n">
        <v>6.5</v>
      </c>
      <c r="H619" t="n">
        <v>0</v>
      </c>
      <c r="I619" t="n">
        <v>0</v>
      </c>
      <c r="J619" t="n">
        <v>0</v>
      </c>
      <c r="K619" t="n">
        <v>0</v>
      </c>
      <c r="L619" t="n">
        <v>0</v>
      </c>
      <c r="M619" t="n">
        <v>0</v>
      </c>
      <c r="N619" t="n">
        <v>0</v>
      </c>
      <c r="O619" t="n">
        <v>0</v>
      </c>
      <c r="P619" t="n">
        <v>0</v>
      </c>
      <c r="Q619" t="n">
        <v>0</v>
      </c>
      <c r="R619" s="2" t="inlineStr"/>
    </row>
    <row r="620" ht="15" customHeight="1">
      <c r="A620" t="inlineStr">
        <is>
          <t>A 10284-2026</t>
        </is>
      </c>
      <c r="B620" s="1" t="n">
        <v>46076</v>
      </c>
      <c r="C620" s="1" t="n">
        <v>46099</v>
      </c>
      <c r="D620" t="inlineStr">
        <is>
          <t>GOTLANDS LÄN</t>
        </is>
      </c>
      <c r="E620" t="inlineStr">
        <is>
          <t>GOTLAND</t>
        </is>
      </c>
      <c r="G620" t="n">
        <v>5.2</v>
      </c>
      <c r="H620" t="n">
        <v>0</v>
      </c>
      <c r="I620" t="n">
        <v>0</v>
      </c>
      <c r="J620" t="n">
        <v>0</v>
      </c>
      <c r="K620" t="n">
        <v>0</v>
      </c>
      <c r="L620" t="n">
        <v>0</v>
      </c>
      <c r="M620" t="n">
        <v>0</v>
      </c>
      <c r="N620" t="n">
        <v>0</v>
      </c>
      <c r="O620" t="n">
        <v>0</v>
      </c>
      <c r="P620" t="n">
        <v>0</v>
      </c>
      <c r="Q620" t="n">
        <v>0</v>
      </c>
      <c r="R620" s="2" t="inlineStr"/>
    </row>
    <row r="621" ht="15" customHeight="1">
      <c r="A621" t="inlineStr">
        <is>
          <t>A 1898-2026</t>
        </is>
      </c>
      <c r="B621" s="1" t="n">
        <v>46035.52024305556</v>
      </c>
      <c r="C621" s="1" t="n">
        <v>46099</v>
      </c>
      <c r="D621" t="inlineStr">
        <is>
          <t>GOTLANDS LÄN</t>
        </is>
      </c>
      <c r="E621" t="inlineStr">
        <is>
          <t>GOTLAND</t>
        </is>
      </c>
      <c r="G621" t="n">
        <v>3.7</v>
      </c>
      <c r="H621" t="n">
        <v>0</v>
      </c>
      <c r="I621" t="n">
        <v>0</v>
      </c>
      <c r="J621" t="n">
        <v>0</v>
      </c>
      <c r="K621" t="n">
        <v>0</v>
      </c>
      <c r="L621" t="n">
        <v>0</v>
      </c>
      <c r="M621" t="n">
        <v>0</v>
      </c>
      <c r="N621" t="n">
        <v>0</v>
      </c>
      <c r="O621" t="n">
        <v>0</v>
      </c>
      <c r="P621" t="n">
        <v>0</v>
      </c>
      <c r="Q621" t="n">
        <v>0</v>
      </c>
      <c r="R621" s="2" t="inlineStr"/>
    </row>
    <row r="622" ht="15" customHeight="1">
      <c r="A622" t="inlineStr">
        <is>
          <t>A 2415-2026</t>
        </is>
      </c>
      <c r="B622" s="1" t="n">
        <v>46036.76203703704</v>
      </c>
      <c r="C622" s="1" t="n">
        <v>46099</v>
      </c>
      <c r="D622" t="inlineStr">
        <is>
          <t>GOTLANDS LÄN</t>
        </is>
      </c>
      <c r="E622" t="inlineStr">
        <is>
          <t>GOTLAND</t>
        </is>
      </c>
      <c r="G622" t="n">
        <v>6.9</v>
      </c>
      <c r="H622" t="n">
        <v>0</v>
      </c>
      <c r="I622" t="n">
        <v>0</v>
      </c>
      <c r="J622" t="n">
        <v>0</v>
      </c>
      <c r="K622" t="n">
        <v>0</v>
      </c>
      <c r="L622" t="n">
        <v>0</v>
      </c>
      <c r="M622" t="n">
        <v>0</v>
      </c>
      <c r="N622" t="n">
        <v>0</v>
      </c>
      <c r="O622" t="n">
        <v>0</v>
      </c>
      <c r="P622" t="n">
        <v>0</v>
      </c>
      <c r="Q622" t="n">
        <v>0</v>
      </c>
      <c r="R622" s="2" t="inlineStr"/>
    </row>
    <row r="623" ht="15" customHeight="1">
      <c r="A623" t="inlineStr">
        <is>
          <t>A 11414-2026</t>
        </is>
      </c>
      <c r="B623" s="1" t="n">
        <v>46083.46336805556</v>
      </c>
      <c r="C623" s="1" t="n">
        <v>46099</v>
      </c>
      <c r="D623" t="inlineStr">
        <is>
          <t>GOTLANDS LÄN</t>
        </is>
      </c>
      <c r="E623" t="inlineStr">
        <is>
          <t>GOTLAND</t>
        </is>
      </c>
      <c r="G623" t="n">
        <v>4.9</v>
      </c>
      <c r="H623" t="n">
        <v>0</v>
      </c>
      <c r="I623" t="n">
        <v>0</v>
      </c>
      <c r="J623" t="n">
        <v>0</v>
      </c>
      <c r="K623" t="n">
        <v>0</v>
      </c>
      <c r="L623" t="n">
        <v>0</v>
      </c>
      <c r="M623" t="n">
        <v>0</v>
      </c>
      <c r="N623" t="n">
        <v>0</v>
      </c>
      <c r="O623" t="n">
        <v>0</v>
      </c>
      <c r="P623" t="n">
        <v>0</v>
      </c>
      <c r="Q623" t="n">
        <v>0</v>
      </c>
      <c r="R623" s="2" t="inlineStr"/>
    </row>
    <row r="624" ht="15" customHeight="1">
      <c r="A624" t="inlineStr">
        <is>
          <t>A 11424-2026</t>
        </is>
      </c>
      <c r="B624" s="1" t="n">
        <v>46083.48068287037</v>
      </c>
      <c r="C624" s="1" t="n">
        <v>46099</v>
      </c>
      <c r="D624" t="inlineStr">
        <is>
          <t>GOTLANDS LÄN</t>
        </is>
      </c>
      <c r="E624" t="inlineStr">
        <is>
          <t>GOTLAND</t>
        </is>
      </c>
      <c r="G624" t="n">
        <v>1.3</v>
      </c>
      <c r="H624" t="n">
        <v>0</v>
      </c>
      <c r="I624" t="n">
        <v>0</v>
      </c>
      <c r="J624" t="n">
        <v>0</v>
      </c>
      <c r="K624" t="n">
        <v>0</v>
      </c>
      <c r="L624" t="n">
        <v>0</v>
      </c>
      <c r="M624" t="n">
        <v>0</v>
      </c>
      <c r="N624" t="n">
        <v>0</v>
      </c>
      <c r="O624" t="n">
        <v>0</v>
      </c>
      <c r="P624" t="n">
        <v>0</v>
      </c>
      <c r="Q624" t="n">
        <v>0</v>
      </c>
      <c r="R624" s="2" t="inlineStr"/>
    </row>
    <row r="625" ht="15" customHeight="1">
      <c r="A625" t="inlineStr">
        <is>
          <t>A 53587-2025</t>
        </is>
      </c>
      <c r="B625" s="1" t="n">
        <v>45960.43681712963</v>
      </c>
      <c r="C625" s="1" t="n">
        <v>46099</v>
      </c>
      <c r="D625" t="inlineStr">
        <is>
          <t>GOTLANDS LÄN</t>
        </is>
      </c>
      <c r="E625" t="inlineStr">
        <is>
          <t>GOTLAND</t>
        </is>
      </c>
      <c r="F625" t="inlineStr">
        <is>
          <t>Övriga Aktiebolag</t>
        </is>
      </c>
      <c r="G625" t="n">
        <v>1.7</v>
      </c>
      <c r="H625" t="n">
        <v>0</v>
      </c>
      <c r="I625" t="n">
        <v>0</v>
      </c>
      <c r="J625" t="n">
        <v>0</v>
      </c>
      <c r="K625" t="n">
        <v>0</v>
      </c>
      <c r="L625" t="n">
        <v>0</v>
      </c>
      <c r="M625" t="n">
        <v>0</v>
      </c>
      <c r="N625" t="n">
        <v>0</v>
      </c>
      <c r="O625" t="n">
        <v>0</v>
      </c>
      <c r="P625" t="n">
        <v>0</v>
      </c>
      <c r="Q625" t="n">
        <v>0</v>
      </c>
      <c r="R625" s="2" t="inlineStr"/>
    </row>
    <row r="626" ht="15" customHeight="1">
      <c r="A626" t="inlineStr">
        <is>
          <t>A 53561-2025</t>
        </is>
      </c>
      <c r="B626" s="1" t="n">
        <v>45960.4059375</v>
      </c>
      <c r="C626" s="1" t="n">
        <v>46099</v>
      </c>
      <c r="D626" t="inlineStr">
        <is>
          <t>GOTLANDS LÄN</t>
        </is>
      </c>
      <c r="E626" t="inlineStr">
        <is>
          <t>GOTLAND</t>
        </is>
      </c>
      <c r="F626" t="inlineStr">
        <is>
          <t>Övriga Aktiebolag</t>
        </is>
      </c>
      <c r="G626" t="n">
        <v>2.4</v>
      </c>
      <c r="H626" t="n">
        <v>0</v>
      </c>
      <c r="I626" t="n">
        <v>0</v>
      </c>
      <c r="J626" t="n">
        <v>0</v>
      </c>
      <c r="K626" t="n">
        <v>0</v>
      </c>
      <c r="L626" t="n">
        <v>0</v>
      </c>
      <c r="M626" t="n">
        <v>0</v>
      </c>
      <c r="N626" t="n">
        <v>0</v>
      </c>
      <c r="O626" t="n">
        <v>0</v>
      </c>
      <c r="P626" t="n">
        <v>0</v>
      </c>
      <c r="Q626" t="n">
        <v>0</v>
      </c>
      <c r="R626" s="2" t="inlineStr"/>
    </row>
    <row r="627" ht="15" customHeight="1">
      <c r="A627" t="inlineStr">
        <is>
          <t>A 3253-2026</t>
        </is>
      </c>
      <c r="B627" s="1" t="n">
        <v>46041.58902777778</v>
      </c>
      <c r="C627" s="1" t="n">
        <v>46099</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11982-2026</t>
        </is>
      </c>
      <c r="B628" s="1" t="n">
        <v>46085.6434375</v>
      </c>
      <c r="C628" s="1" t="n">
        <v>46099</v>
      </c>
      <c r="D628" t="inlineStr">
        <is>
          <t>GOTLANDS LÄN</t>
        </is>
      </c>
      <c r="E628" t="inlineStr">
        <is>
          <t>GOTLAND</t>
        </is>
      </c>
      <c r="G628" t="n">
        <v>2.2</v>
      </c>
      <c r="H628" t="n">
        <v>0</v>
      </c>
      <c r="I628" t="n">
        <v>0</v>
      </c>
      <c r="J628" t="n">
        <v>0</v>
      </c>
      <c r="K628" t="n">
        <v>0</v>
      </c>
      <c r="L628" t="n">
        <v>0</v>
      </c>
      <c r="M628" t="n">
        <v>0</v>
      </c>
      <c r="N628" t="n">
        <v>0</v>
      </c>
      <c r="O628" t="n">
        <v>0</v>
      </c>
      <c r="P628" t="n">
        <v>0</v>
      </c>
      <c r="Q628" t="n">
        <v>0</v>
      </c>
      <c r="R628" s="2" t="inlineStr"/>
    </row>
    <row r="629" ht="15" customHeight="1">
      <c r="A629" t="inlineStr">
        <is>
          <t>A 12135-2026</t>
        </is>
      </c>
      <c r="B629" s="1" t="n">
        <v>46086</v>
      </c>
      <c r="C629" s="1" t="n">
        <v>46099</v>
      </c>
      <c r="D629" t="inlineStr">
        <is>
          <t>GOTLANDS LÄN</t>
        </is>
      </c>
      <c r="E629" t="inlineStr">
        <is>
          <t>GOTLAND</t>
        </is>
      </c>
      <c r="G629" t="n">
        <v>3</v>
      </c>
      <c r="H629" t="n">
        <v>0</v>
      </c>
      <c r="I629" t="n">
        <v>0</v>
      </c>
      <c r="J629" t="n">
        <v>0</v>
      </c>
      <c r="K629" t="n">
        <v>0</v>
      </c>
      <c r="L629" t="n">
        <v>0</v>
      </c>
      <c r="M629" t="n">
        <v>0</v>
      </c>
      <c r="N629" t="n">
        <v>0</v>
      </c>
      <c r="O629" t="n">
        <v>0</v>
      </c>
      <c r="P629" t="n">
        <v>0</v>
      </c>
      <c r="Q629" t="n">
        <v>0</v>
      </c>
      <c r="R629" s="2" t="inlineStr"/>
    </row>
    <row r="630" ht="15" customHeight="1">
      <c r="A630" t="inlineStr">
        <is>
          <t>A 4646-2026</t>
        </is>
      </c>
      <c r="B630" s="1" t="n">
        <v>46048.40357638889</v>
      </c>
      <c r="C630" s="1" t="n">
        <v>46099</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63000-2025</t>
        </is>
      </c>
      <c r="B631" s="1" t="n">
        <v>46009</v>
      </c>
      <c r="C631" s="1" t="n">
        <v>46099</v>
      </c>
      <c r="D631" t="inlineStr">
        <is>
          <t>GOTLANDS LÄN</t>
        </is>
      </c>
      <c r="E631" t="inlineStr">
        <is>
          <t>GOTLAND</t>
        </is>
      </c>
      <c r="F631" t="inlineStr">
        <is>
          <t>Övriga Aktiebolag</t>
        </is>
      </c>
      <c r="G631" t="n">
        <v>1.7</v>
      </c>
      <c r="H631" t="n">
        <v>0</v>
      </c>
      <c r="I631" t="n">
        <v>0</v>
      </c>
      <c r="J631" t="n">
        <v>0</v>
      </c>
      <c r="K631" t="n">
        <v>0</v>
      </c>
      <c r="L631" t="n">
        <v>0</v>
      </c>
      <c r="M631" t="n">
        <v>0</v>
      </c>
      <c r="N631" t="n">
        <v>0</v>
      </c>
      <c r="O631" t="n">
        <v>0</v>
      </c>
      <c r="P631" t="n">
        <v>0</v>
      </c>
      <c r="Q631" t="n">
        <v>0</v>
      </c>
      <c r="R631" s="2" t="inlineStr"/>
    </row>
    <row r="632" ht="15" customHeight="1">
      <c r="A632" t="inlineStr">
        <is>
          <t>A 4662-2026</t>
        </is>
      </c>
      <c r="B632" s="1" t="n">
        <v>46048.40949074074</v>
      </c>
      <c r="C632" s="1" t="n">
        <v>46099</v>
      </c>
      <c r="D632" t="inlineStr">
        <is>
          <t>GOTLANDS LÄN</t>
        </is>
      </c>
      <c r="E632" t="inlineStr">
        <is>
          <t>GOTLAND</t>
        </is>
      </c>
      <c r="G632" t="n">
        <v>7.6</v>
      </c>
      <c r="H632" t="n">
        <v>0</v>
      </c>
      <c r="I632" t="n">
        <v>0</v>
      </c>
      <c r="J632" t="n">
        <v>0</v>
      </c>
      <c r="K632" t="n">
        <v>0</v>
      </c>
      <c r="L632" t="n">
        <v>0</v>
      </c>
      <c r="M632" t="n">
        <v>0</v>
      </c>
      <c r="N632" t="n">
        <v>0</v>
      </c>
      <c r="O632" t="n">
        <v>0</v>
      </c>
      <c r="P632" t="n">
        <v>0</v>
      </c>
      <c r="Q632" t="n">
        <v>0</v>
      </c>
      <c r="R632" s="2" t="inlineStr"/>
    </row>
    <row r="633" ht="15" customHeight="1">
      <c r="A633" t="inlineStr">
        <is>
          <t>A 62751-2025</t>
        </is>
      </c>
      <c r="B633" s="1" t="n">
        <v>46008</v>
      </c>
      <c r="C633" s="1" t="n">
        <v>46099</v>
      </c>
      <c r="D633" t="inlineStr">
        <is>
          <t>GOTLANDS LÄN</t>
        </is>
      </c>
      <c r="E633" t="inlineStr">
        <is>
          <t>GOTLAND</t>
        </is>
      </c>
      <c r="F633" t="inlineStr">
        <is>
          <t>Övriga Aktiebolag</t>
        </is>
      </c>
      <c r="G633" t="n">
        <v>7.8</v>
      </c>
      <c r="H633" t="n">
        <v>0</v>
      </c>
      <c r="I633" t="n">
        <v>0</v>
      </c>
      <c r="J633" t="n">
        <v>0</v>
      </c>
      <c r="K633" t="n">
        <v>0</v>
      </c>
      <c r="L633" t="n">
        <v>0</v>
      </c>
      <c r="M633" t="n">
        <v>0</v>
      </c>
      <c r="N633" t="n">
        <v>0</v>
      </c>
      <c r="O633" t="n">
        <v>0</v>
      </c>
      <c r="P633" t="n">
        <v>0</v>
      </c>
      <c r="Q633" t="n">
        <v>0</v>
      </c>
      <c r="R633" s="2" t="inlineStr"/>
    </row>
    <row r="634" ht="15" customHeight="1">
      <c r="A634" t="inlineStr">
        <is>
          <t>A 4639-2026</t>
        </is>
      </c>
      <c r="B634" s="1" t="n">
        <v>46048.39880787037</v>
      </c>
      <c r="C634" s="1" t="n">
        <v>46099</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1839-2026</t>
        </is>
      </c>
      <c r="B635" s="1" t="n">
        <v>46035.3942824074</v>
      </c>
      <c r="C635" s="1" t="n">
        <v>46099</v>
      </c>
      <c r="D635" t="inlineStr">
        <is>
          <t>GOTLANDS LÄN</t>
        </is>
      </c>
      <c r="E635" t="inlineStr">
        <is>
          <t>GOTLAND</t>
        </is>
      </c>
      <c r="G635" t="n">
        <v>3.5</v>
      </c>
      <c r="H635" t="n">
        <v>0</v>
      </c>
      <c r="I635" t="n">
        <v>0</v>
      </c>
      <c r="J635" t="n">
        <v>0</v>
      </c>
      <c r="K635" t="n">
        <v>0</v>
      </c>
      <c r="L635" t="n">
        <v>0</v>
      </c>
      <c r="M635" t="n">
        <v>0</v>
      </c>
      <c r="N635" t="n">
        <v>0</v>
      </c>
      <c r="O635" t="n">
        <v>0</v>
      </c>
      <c r="P635" t="n">
        <v>0</v>
      </c>
      <c r="Q635" t="n">
        <v>0</v>
      </c>
      <c r="R635" s="2" t="inlineStr"/>
    </row>
    <row r="636" ht="15" customHeight="1">
      <c r="A636" t="inlineStr">
        <is>
          <t>A 60384-2025</t>
        </is>
      </c>
      <c r="B636" s="1" t="n">
        <v>45995</v>
      </c>
      <c r="C636" s="1" t="n">
        <v>46099</v>
      </c>
      <c r="D636" t="inlineStr">
        <is>
          <t>GOTLANDS LÄN</t>
        </is>
      </c>
      <c r="E636" t="inlineStr">
        <is>
          <t>GOTLAND</t>
        </is>
      </c>
      <c r="G636" t="n">
        <v>2.5</v>
      </c>
      <c r="H636" t="n">
        <v>0</v>
      </c>
      <c r="I636" t="n">
        <v>0</v>
      </c>
      <c r="J636" t="n">
        <v>0</v>
      </c>
      <c r="K636" t="n">
        <v>0</v>
      </c>
      <c r="L636" t="n">
        <v>0</v>
      </c>
      <c r="M636" t="n">
        <v>0</v>
      </c>
      <c r="N636" t="n">
        <v>0</v>
      </c>
      <c r="O636" t="n">
        <v>0</v>
      </c>
      <c r="P636" t="n">
        <v>0</v>
      </c>
      <c r="Q636" t="n">
        <v>0</v>
      </c>
      <c r="R636" s="2" t="inlineStr"/>
    </row>
    <row r="637" ht="15" customHeight="1">
      <c r="A637" t="inlineStr">
        <is>
          <t>A 4634-2026</t>
        </is>
      </c>
      <c r="B637" s="1" t="n">
        <v>46048.39304398148</v>
      </c>
      <c r="C637" s="1" t="n">
        <v>46099</v>
      </c>
      <c r="D637" t="inlineStr">
        <is>
          <t>GOTLANDS LÄN</t>
        </is>
      </c>
      <c r="E637" t="inlineStr">
        <is>
          <t>GOTLAND</t>
        </is>
      </c>
      <c r="G637" t="n">
        <v>7.8</v>
      </c>
      <c r="H637" t="n">
        <v>0</v>
      </c>
      <c r="I637" t="n">
        <v>0</v>
      </c>
      <c r="J637" t="n">
        <v>0</v>
      </c>
      <c r="K637" t="n">
        <v>0</v>
      </c>
      <c r="L637" t="n">
        <v>0</v>
      </c>
      <c r="M637" t="n">
        <v>0</v>
      </c>
      <c r="N637" t="n">
        <v>0</v>
      </c>
      <c r="O637" t="n">
        <v>0</v>
      </c>
      <c r="P637" t="n">
        <v>0</v>
      </c>
      <c r="Q637" t="n">
        <v>0</v>
      </c>
      <c r="R637" s="2" t="inlineStr"/>
    </row>
    <row r="638" ht="15" customHeight="1">
      <c r="A638" t="inlineStr">
        <is>
          <t>A 4670-2026</t>
        </is>
      </c>
      <c r="B638" s="1" t="n">
        <v>46048.41733796296</v>
      </c>
      <c r="C638" s="1" t="n">
        <v>46099</v>
      </c>
      <c r="D638" t="inlineStr">
        <is>
          <t>GOTLANDS LÄN</t>
        </is>
      </c>
      <c r="E638" t="inlineStr">
        <is>
          <t>GOTLAND</t>
        </is>
      </c>
      <c r="G638" t="n">
        <v>1.7</v>
      </c>
      <c r="H638" t="n">
        <v>0</v>
      </c>
      <c r="I638" t="n">
        <v>0</v>
      </c>
      <c r="J638" t="n">
        <v>0</v>
      </c>
      <c r="K638" t="n">
        <v>0</v>
      </c>
      <c r="L638" t="n">
        <v>0</v>
      </c>
      <c r="M638" t="n">
        <v>0</v>
      </c>
      <c r="N638" t="n">
        <v>0</v>
      </c>
      <c r="O638" t="n">
        <v>0</v>
      </c>
      <c r="P638" t="n">
        <v>0</v>
      </c>
      <c r="Q638" t="n">
        <v>0</v>
      </c>
      <c r="R638" s="2" t="inlineStr"/>
    </row>
    <row r="639" ht="15" customHeight="1">
      <c r="A639" t="inlineStr">
        <is>
          <t>A 62754-2025</t>
        </is>
      </c>
      <c r="B639" s="1" t="n">
        <v>46008</v>
      </c>
      <c r="C639" s="1" t="n">
        <v>46099</v>
      </c>
      <c r="D639" t="inlineStr">
        <is>
          <t>GOTLANDS LÄN</t>
        </is>
      </c>
      <c r="E639" t="inlineStr">
        <is>
          <t>GOTLAND</t>
        </is>
      </c>
      <c r="F639" t="inlineStr">
        <is>
          <t>Övriga Aktiebolag</t>
        </is>
      </c>
      <c r="G639" t="n">
        <v>2.9</v>
      </c>
      <c r="H639" t="n">
        <v>0</v>
      </c>
      <c r="I639" t="n">
        <v>0</v>
      </c>
      <c r="J639" t="n">
        <v>0</v>
      </c>
      <c r="K639" t="n">
        <v>0</v>
      </c>
      <c r="L639" t="n">
        <v>0</v>
      </c>
      <c r="M639" t="n">
        <v>0</v>
      </c>
      <c r="N639" t="n">
        <v>0</v>
      </c>
      <c r="O639" t="n">
        <v>0</v>
      </c>
      <c r="P639" t="n">
        <v>0</v>
      </c>
      <c r="Q639" t="n">
        <v>0</v>
      </c>
      <c r="R639" s="2" t="inlineStr"/>
    </row>
    <row r="640" ht="15" customHeight="1">
      <c r="A640" t="inlineStr">
        <is>
          <t>A 1854-2026</t>
        </is>
      </c>
      <c r="B640" s="1" t="n">
        <v>46035.4171875</v>
      </c>
      <c r="C640" s="1" t="n">
        <v>46099</v>
      </c>
      <c r="D640" t="inlineStr">
        <is>
          <t>GOTLANDS LÄN</t>
        </is>
      </c>
      <c r="E640" t="inlineStr">
        <is>
          <t>GOTLAND</t>
        </is>
      </c>
      <c r="G640" t="n">
        <v>3</v>
      </c>
      <c r="H640" t="n">
        <v>0</v>
      </c>
      <c r="I640" t="n">
        <v>0</v>
      </c>
      <c r="J640" t="n">
        <v>0</v>
      </c>
      <c r="K640" t="n">
        <v>0</v>
      </c>
      <c r="L640" t="n">
        <v>0</v>
      </c>
      <c r="M640" t="n">
        <v>0</v>
      </c>
      <c r="N640" t="n">
        <v>0</v>
      </c>
      <c r="O640" t="n">
        <v>0</v>
      </c>
      <c r="P640" t="n">
        <v>0</v>
      </c>
      <c r="Q640" t="n">
        <v>0</v>
      </c>
      <c r="R640" s="2" t="inlineStr"/>
    </row>
    <row r="641" ht="15" customHeight="1">
      <c r="A641" t="inlineStr">
        <is>
          <t>A 13482-2026</t>
        </is>
      </c>
      <c r="B641" s="1" t="n">
        <v>46094</v>
      </c>
      <c r="C641" s="1" t="n">
        <v>46099</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2135-2026</t>
        </is>
      </c>
      <c r="B642" s="1" t="n">
        <v>46036</v>
      </c>
      <c r="C642" s="1" t="n">
        <v>46099</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2134-2026</t>
        </is>
      </c>
      <c r="B643" s="1" t="n">
        <v>46036</v>
      </c>
      <c r="C643" s="1" t="n">
        <v>46099</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13486-2026</t>
        </is>
      </c>
      <c r="B644" s="1" t="n">
        <v>46094</v>
      </c>
      <c r="C644" s="1" t="n">
        <v>46099</v>
      </c>
      <c r="D644" t="inlineStr">
        <is>
          <t>GOTLANDS LÄN</t>
        </is>
      </c>
      <c r="E644" t="inlineStr">
        <is>
          <t>GOTLAND</t>
        </is>
      </c>
      <c r="G644" t="n">
        <v>1.6</v>
      </c>
      <c r="H644" t="n">
        <v>0</v>
      </c>
      <c r="I644" t="n">
        <v>0</v>
      </c>
      <c r="J644" t="n">
        <v>0</v>
      </c>
      <c r="K644" t="n">
        <v>0</v>
      </c>
      <c r="L644" t="n">
        <v>0</v>
      </c>
      <c r="M644" t="n">
        <v>0</v>
      </c>
      <c r="N644" t="n">
        <v>0</v>
      </c>
      <c r="O644" t="n">
        <v>0</v>
      </c>
      <c r="P644" t="n">
        <v>0</v>
      </c>
      <c r="Q644" t="n">
        <v>0</v>
      </c>
      <c r="R644" s="2" t="inlineStr"/>
    </row>
    <row r="645" ht="15" customHeight="1">
      <c r="A645" t="inlineStr">
        <is>
          <t>A 3067-2026</t>
        </is>
      </c>
      <c r="B645" s="1" t="n">
        <v>46040.59025462963</v>
      </c>
      <c r="C645" s="1" t="n">
        <v>46099</v>
      </c>
      <c r="D645" t="inlineStr">
        <is>
          <t>GOTLANDS LÄN</t>
        </is>
      </c>
      <c r="E645" t="inlineStr">
        <is>
          <t>GOTLAND</t>
        </is>
      </c>
      <c r="G645" t="n">
        <v>7.8</v>
      </c>
      <c r="H645" t="n">
        <v>0</v>
      </c>
      <c r="I645" t="n">
        <v>0</v>
      </c>
      <c r="J645" t="n">
        <v>0</v>
      </c>
      <c r="K645" t="n">
        <v>0</v>
      </c>
      <c r="L645" t="n">
        <v>0</v>
      </c>
      <c r="M645" t="n">
        <v>0</v>
      </c>
      <c r="N645" t="n">
        <v>0</v>
      </c>
      <c r="O645" t="n">
        <v>0</v>
      </c>
      <c r="P645" t="n">
        <v>0</v>
      </c>
      <c r="Q645" t="n">
        <v>0</v>
      </c>
      <c r="R645" s="2" t="inlineStr"/>
    </row>
    <row r="646" ht="15" customHeight="1">
      <c r="A646" t="inlineStr">
        <is>
          <t>A 6218-2026</t>
        </is>
      </c>
      <c r="B646" s="1" t="n">
        <v>46055.42859953704</v>
      </c>
      <c r="C646" s="1" t="n">
        <v>46099</v>
      </c>
      <c r="D646" t="inlineStr">
        <is>
          <t>GOTLANDS LÄN</t>
        </is>
      </c>
      <c r="E646" t="inlineStr">
        <is>
          <t>GOTLAND</t>
        </is>
      </c>
      <c r="G646" t="n">
        <v>4.3</v>
      </c>
      <c r="H646" t="n">
        <v>0</v>
      </c>
      <c r="I646" t="n">
        <v>0</v>
      </c>
      <c r="J646" t="n">
        <v>0</v>
      </c>
      <c r="K646" t="n">
        <v>0</v>
      </c>
      <c r="L646" t="n">
        <v>0</v>
      </c>
      <c r="M646" t="n">
        <v>0</v>
      </c>
      <c r="N646" t="n">
        <v>0</v>
      </c>
      <c r="O646" t="n">
        <v>0</v>
      </c>
      <c r="P646" t="n">
        <v>0</v>
      </c>
      <c r="Q646" t="n">
        <v>0</v>
      </c>
      <c r="R646" s="2" t="inlineStr"/>
    </row>
    <row r="647" ht="15" customHeight="1">
      <c r="A647" t="inlineStr">
        <is>
          <t>A 5863-2026</t>
        </is>
      </c>
      <c r="B647" s="1" t="n">
        <v>46052.36697916667</v>
      </c>
      <c r="C647" s="1" t="n">
        <v>46099</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c r="A648" t="inlineStr">
        <is>
          <t>A 6207-2026</t>
        </is>
      </c>
      <c r="B648" s="1" t="n">
        <v>46055.42083333333</v>
      </c>
      <c r="C648" s="1" t="n">
        <v>46099</v>
      </c>
      <c r="D648" t="inlineStr">
        <is>
          <t>GOTLANDS LÄN</t>
        </is>
      </c>
      <c r="E648" t="inlineStr">
        <is>
          <t>GOTLAND</t>
        </is>
      </c>
      <c r="G648" t="n">
        <v>7.6</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2026-03-18T11:24:58Z</dcterms:created>
  <dcterms:modified xmlns:dcterms="http://purl.org/dc/terms/" xmlns:xsi="http://www.w3.org/2001/XMLSchema-instance" xsi:type="dcterms:W3CDTF">2026-03-18T11:24:58Z</dcterms:modified>
</cp:coreProperties>
</file>