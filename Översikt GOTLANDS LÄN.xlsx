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46030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46030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46030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46030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46030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46030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46030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46030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46030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46030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46030</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46030</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46030</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44204-2022</t>
        </is>
      </c>
      <c r="B36" s="1" t="n">
        <v>44839</v>
      </c>
      <c r="C36" s="1" t="n">
        <v>46030</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46030</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46030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46030</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46030</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46030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46030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46030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46030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46030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46030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46030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46030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46030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46030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46030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46030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46030</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27168-2022</t>
        </is>
      </c>
      <c r="B63" s="1" t="n">
        <v>44741</v>
      </c>
      <c r="C63" s="1" t="n">
        <v>46030</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46030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57773-2025</t>
        </is>
      </c>
      <c r="B72" s="1" t="n">
        <v>45981.56349537037</v>
      </c>
      <c r="C72" s="1" t="n">
        <v>46030</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16823-2024</t>
        </is>
      </c>
      <c r="B73" s="1" t="n">
        <v>45411</v>
      </c>
      <c r="C73" s="1" t="n">
        <v>46030</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46030</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46030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46030</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46030</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46030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52245-2025</t>
        </is>
      </c>
      <c r="B81" s="1" t="n">
        <v>45953.47115740741</v>
      </c>
      <c r="C81" s="1" t="n">
        <v>46030</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32326-2024</t>
        </is>
      </c>
      <c r="B82" s="1" t="n">
        <v>45512</v>
      </c>
      <c r="C82" s="1" t="n">
        <v>46030</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46030</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39425-2023</t>
        </is>
      </c>
      <c r="B84" s="1" t="n">
        <v>45166</v>
      </c>
      <c r="C84" s="1" t="n">
        <v>46030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46030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46030</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46030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46030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46030</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46030</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57463-2025</t>
        </is>
      </c>
      <c r="B92" s="1" t="n">
        <v>45980.54174768519</v>
      </c>
      <c r="C92" s="1" t="n">
        <v>46030</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57463-2025 artfynd.xlsx", "A 57463-2025")</f>
        <v/>
      </c>
      <c r="T92">
        <f>HYPERLINK("https://klasma.github.io/Logging_0980/kartor/A 57463-2025 karta.png", "A 57463-2025")</f>
        <v/>
      </c>
      <c r="V92">
        <f>HYPERLINK("https://klasma.github.io/Logging_0980/klagomål/A 57463-2025 FSC-klagomål.docx", "A 57463-2025")</f>
        <v/>
      </c>
      <c r="W92">
        <f>HYPERLINK("https://klasma.github.io/Logging_0980/klagomålsmail/A 57463-2025 FSC-klagomål mail.docx", "A 57463-2025")</f>
        <v/>
      </c>
      <c r="X92">
        <f>HYPERLINK("https://klasma.github.io/Logging_0980/tillsyn/A 57463-2025 tillsynsbegäran.docx", "A 57463-2025")</f>
        <v/>
      </c>
      <c r="Y92">
        <f>HYPERLINK("https://klasma.github.io/Logging_0980/tillsynsmail/A 57463-2025 tillsynsbegäran mail.docx", "A 57463-2025")</f>
        <v/>
      </c>
    </row>
    <row r="93" ht="15" customHeight="1">
      <c r="A93" t="inlineStr">
        <is>
          <t>A 52250-2025</t>
        </is>
      </c>
      <c r="B93" s="1" t="n">
        <v>45953.48998842593</v>
      </c>
      <c r="C93" s="1" t="n">
        <v>46030</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52309-2025</t>
        </is>
      </c>
      <c r="B94" s="1" t="n">
        <v>45953.64381944444</v>
      </c>
      <c r="C94" s="1" t="n">
        <v>46030</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20833-2024</t>
        </is>
      </c>
      <c r="B95" s="1" t="n">
        <v>45439</v>
      </c>
      <c r="C95" s="1" t="n">
        <v>46030</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46030</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2485-2025</t>
        </is>
      </c>
      <c r="B97" s="1" t="n">
        <v>45673</v>
      </c>
      <c r="C97" s="1" t="n">
        <v>46030</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6159-2023</t>
        </is>
      </c>
      <c r="B98" s="1" t="n">
        <v>44964</v>
      </c>
      <c r="C98" s="1" t="n">
        <v>46030</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46030</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46030</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46030</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46030</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46030</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46030</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46030</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46030</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46030</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48126-2022</t>
        </is>
      </c>
      <c r="B113" s="1" t="n">
        <v>44857</v>
      </c>
      <c r="C113" s="1" t="n">
        <v>46030</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46030</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46030</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46030</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46030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46030</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46030</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46030</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46030</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46030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46030</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46030</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46030</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46030</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46030</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46030</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62760-2025</t>
        </is>
      </c>
      <c r="B130" s="1" t="n">
        <v>46008.59275462963</v>
      </c>
      <c r="C130" s="1" t="n">
        <v>46030</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7070-2022</t>
        </is>
      </c>
      <c r="B131" s="1" t="n">
        <v>44603</v>
      </c>
      <c r="C131" s="1" t="n">
        <v>46030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46030</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46030</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63162-2025</t>
        </is>
      </c>
      <c r="B134" s="1" t="n">
        <v>46010.37629629629</v>
      </c>
      <c r="C134" s="1" t="n">
        <v>46030</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20838-2024</t>
        </is>
      </c>
      <c r="B135" s="1" t="n">
        <v>45439</v>
      </c>
      <c r="C135" s="1" t="n">
        <v>46030</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26077-2024</t>
        </is>
      </c>
      <c r="B136" s="1" t="n">
        <v>45467</v>
      </c>
      <c r="C136" s="1" t="n">
        <v>46030</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46030</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46030</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46030</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46030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46030</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46030</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46030</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46030</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46030</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46527-2023</t>
        </is>
      </c>
      <c r="B148" s="1" t="n">
        <v>45197</v>
      </c>
      <c r="C148" s="1" t="n">
        <v>46030</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63149-2025</t>
        </is>
      </c>
      <c r="B149" s="1" t="n">
        <v>46010.35664351852</v>
      </c>
      <c r="C149" s="1" t="n">
        <v>46030</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Anisspindling</t>
        </is>
      </c>
      <c r="S149">
        <f>HYPERLINK("https://klasma.github.io/Logging_0980/artfynd/A 63149-2025 artfynd.xlsx", "A 63149-2025")</f>
        <v/>
      </c>
      <c r="T149">
        <f>HYPERLINK("https://klasma.github.io/Logging_0980/kartor/A 63149-2025 karta.png", "A 63149-2025")</f>
        <v/>
      </c>
      <c r="V149">
        <f>HYPERLINK("https://klasma.github.io/Logging_0980/klagomål/A 63149-2025 FSC-klagomål.docx", "A 63149-2025")</f>
        <v/>
      </c>
      <c r="W149">
        <f>HYPERLINK("https://klasma.github.io/Logging_0980/klagomålsmail/A 63149-2025 FSC-klagomål mail.docx", "A 63149-2025")</f>
        <v/>
      </c>
      <c r="X149">
        <f>HYPERLINK("https://klasma.github.io/Logging_0980/tillsyn/A 63149-2025 tillsynsbegäran.docx", "A 63149-2025")</f>
        <v/>
      </c>
      <c r="Y149">
        <f>HYPERLINK("https://klasma.github.io/Logging_0980/tillsynsmail/A 63149-2025 tillsynsbegäran mail.docx", "A 63149-2025")</f>
        <v/>
      </c>
    </row>
    <row r="150" ht="15" customHeight="1">
      <c r="A150" t="inlineStr">
        <is>
          <t>A 26461-2025</t>
        </is>
      </c>
      <c r="B150" s="1" t="n">
        <v>45807.43337962963</v>
      </c>
      <c r="C150" s="1" t="n">
        <v>46030</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17723-2021</t>
        </is>
      </c>
      <c r="B151" s="1" t="n">
        <v>44300</v>
      </c>
      <c r="C151" s="1" t="n">
        <v>46030</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35467-2021</t>
        </is>
      </c>
      <c r="B152" s="1" t="n">
        <v>44385</v>
      </c>
      <c r="C152" s="1" t="n">
        <v>46030</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46030</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6303-2024</t>
        </is>
      </c>
      <c r="B154" s="1" t="n">
        <v>45338.35376157407</v>
      </c>
      <c r="C154" s="1" t="n">
        <v>46030</v>
      </c>
      <c r="D154" t="inlineStr">
        <is>
          <t>GOTLANDS LÄN</t>
        </is>
      </c>
      <c r="E154" t="inlineStr">
        <is>
          <t>GOTLAND</t>
        </is>
      </c>
      <c r="G154" t="n">
        <v>0.6</v>
      </c>
      <c r="H154" t="n">
        <v>0</v>
      </c>
      <c r="I154" t="n">
        <v>1</v>
      </c>
      <c r="J154" t="n">
        <v>0</v>
      </c>
      <c r="K154" t="n">
        <v>0</v>
      </c>
      <c r="L154" t="n">
        <v>0</v>
      </c>
      <c r="M154" t="n">
        <v>0</v>
      </c>
      <c r="N154" t="n">
        <v>0</v>
      </c>
      <c r="O154" t="n">
        <v>0</v>
      </c>
      <c r="P154" t="n">
        <v>0</v>
      </c>
      <c r="Q154" t="n">
        <v>1</v>
      </c>
      <c r="R154" s="2" t="inlineStr">
        <is>
          <t>Strävlosta</t>
        </is>
      </c>
      <c r="S154">
        <f>HYPERLINK("https://klasma.github.io/Logging_0980/artfynd/A 6303-2024 artfynd.xlsx", "A 6303-2024")</f>
        <v/>
      </c>
      <c r="T154">
        <f>HYPERLINK("https://klasma.github.io/Logging_0980/kartor/A 6303-2024 karta.png", "A 6303-2024")</f>
        <v/>
      </c>
      <c r="V154">
        <f>HYPERLINK("https://klasma.github.io/Logging_0980/klagomål/A 6303-2024 FSC-klagomål.docx", "A 6303-2024")</f>
        <v/>
      </c>
      <c r="W154">
        <f>HYPERLINK("https://klasma.github.io/Logging_0980/klagomålsmail/A 6303-2024 FSC-klagomål mail.docx", "A 6303-2024")</f>
        <v/>
      </c>
      <c r="X154">
        <f>HYPERLINK("https://klasma.github.io/Logging_0980/tillsyn/A 6303-2024 tillsynsbegäran.docx", "A 6303-2024")</f>
        <v/>
      </c>
      <c r="Y154">
        <f>HYPERLINK("https://klasma.github.io/Logging_0980/tillsynsmail/A 6303-2024 tillsynsbegäran mail.docx", "A 6303-2024")</f>
        <v/>
      </c>
    </row>
    <row r="155" ht="15" customHeight="1">
      <c r="A155" t="inlineStr">
        <is>
          <t>A 62552-2022</t>
        </is>
      </c>
      <c r="B155" s="1" t="n">
        <v>44924</v>
      </c>
      <c r="C155" s="1" t="n">
        <v>46030</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25977-2024</t>
        </is>
      </c>
      <c r="B156" s="1" t="n">
        <v>45467.69356481481</v>
      </c>
      <c r="C156" s="1" t="n">
        <v>46030</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27589-2023</t>
        </is>
      </c>
      <c r="B157" s="1" t="n">
        <v>45097</v>
      </c>
      <c r="C157" s="1" t="n">
        <v>46030</v>
      </c>
      <c r="D157" t="inlineStr">
        <is>
          <t>GOTLANDS LÄN</t>
        </is>
      </c>
      <c r="E157" t="inlineStr">
        <is>
          <t>GOTLAND</t>
        </is>
      </c>
      <c r="G157" t="n">
        <v>5.4</v>
      </c>
      <c r="H157" t="n">
        <v>0</v>
      </c>
      <c r="I157" t="n">
        <v>0</v>
      </c>
      <c r="J157" t="n">
        <v>0</v>
      </c>
      <c r="K157" t="n">
        <v>0</v>
      </c>
      <c r="L157" t="n">
        <v>0</v>
      </c>
      <c r="M157" t="n">
        <v>1</v>
      </c>
      <c r="N157" t="n">
        <v>0</v>
      </c>
      <c r="O157" t="n">
        <v>1</v>
      </c>
      <c r="P157" t="n">
        <v>1</v>
      </c>
      <c r="Q157" t="n">
        <v>1</v>
      </c>
      <c r="R157" s="2" t="inlineStr">
        <is>
          <t>Skogsalm</t>
        </is>
      </c>
      <c r="S157">
        <f>HYPERLINK("https://klasma.github.io/Logging_0980/artfynd/A 27589-2023 artfynd.xlsx", "A 27589-2023")</f>
        <v/>
      </c>
      <c r="T157">
        <f>HYPERLINK("https://klasma.github.io/Logging_0980/kartor/A 27589-2023 karta.png", "A 27589-2023")</f>
        <v/>
      </c>
      <c r="V157">
        <f>HYPERLINK("https://klasma.github.io/Logging_0980/klagomål/A 27589-2023 FSC-klagomål.docx", "A 27589-2023")</f>
        <v/>
      </c>
      <c r="W157">
        <f>HYPERLINK("https://klasma.github.io/Logging_0980/klagomålsmail/A 27589-2023 FSC-klagomål mail.docx", "A 27589-2023")</f>
        <v/>
      </c>
      <c r="X157">
        <f>HYPERLINK("https://klasma.github.io/Logging_0980/tillsyn/A 27589-2023 tillsynsbegäran.docx", "A 27589-2023")</f>
        <v/>
      </c>
      <c r="Y157">
        <f>HYPERLINK("https://klasma.github.io/Logging_0980/tillsynsmail/A 27589-2023 tillsynsbegäran mail.docx", "A 27589-2023")</f>
        <v/>
      </c>
    </row>
    <row r="158" ht="15" customHeight="1">
      <c r="A158" t="inlineStr">
        <is>
          <t>A 9862-2024</t>
        </is>
      </c>
      <c r="B158" s="1" t="n">
        <v>45363</v>
      </c>
      <c r="C158" s="1" t="n">
        <v>46030</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46030</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20429-2025</t>
        </is>
      </c>
      <c r="B160" s="1" t="n">
        <v>45775.47728009259</v>
      </c>
      <c r="C160" s="1" t="n">
        <v>46030</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49726-2025</t>
        </is>
      </c>
      <c r="B161" s="1" t="n">
        <v>45939.84466435185</v>
      </c>
      <c r="C161" s="1" t="n">
        <v>46030</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65927-2021</t>
        </is>
      </c>
      <c r="B162" s="1" t="n">
        <v>44516</v>
      </c>
      <c r="C162" s="1" t="n">
        <v>46030</v>
      </c>
      <c r="D162" t="inlineStr">
        <is>
          <t>GOTLANDS LÄN</t>
        </is>
      </c>
      <c r="E162" t="inlineStr">
        <is>
          <t>GOTLAND</t>
        </is>
      </c>
      <c r="G162" t="n">
        <v>3.1</v>
      </c>
      <c r="H162" t="n">
        <v>1</v>
      </c>
      <c r="I162" t="n">
        <v>0</v>
      </c>
      <c r="J162" t="n">
        <v>0</v>
      </c>
      <c r="K162" t="n">
        <v>1</v>
      </c>
      <c r="L162" t="n">
        <v>0</v>
      </c>
      <c r="M162" t="n">
        <v>0</v>
      </c>
      <c r="N162" t="n">
        <v>0</v>
      </c>
      <c r="O162" t="n">
        <v>1</v>
      </c>
      <c r="P162" t="n">
        <v>1</v>
      </c>
      <c r="Q162" t="n">
        <v>1</v>
      </c>
      <c r="R162" s="2" t="inlineStr">
        <is>
          <t>Grenigt kungsljus</t>
        </is>
      </c>
      <c r="S162">
        <f>HYPERLINK("https://klasma.github.io/Logging_0980/artfynd/A 65927-2021 artfynd.xlsx", "A 65927-2021")</f>
        <v/>
      </c>
      <c r="T162">
        <f>HYPERLINK("https://klasma.github.io/Logging_0980/kartor/A 65927-2021 karta.png", "A 65927-2021")</f>
        <v/>
      </c>
      <c r="V162">
        <f>HYPERLINK("https://klasma.github.io/Logging_0980/klagomål/A 65927-2021 FSC-klagomål.docx", "A 65927-2021")</f>
        <v/>
      </c>
      <c r="W162">
        <f>HYPERLINK("https://klasma.github.io/Logging_0980/klagomålsmail/A 65927-2021 FSC-klagomål mail.docx", "A 65927-2021")</f>
        <v/>
      </c>
      <c r="X162">
        <f>HYPERLINK("https://klasma.github.io/Logging_0980/tillsyn/A 65927-2021 tillsynsbegäran.docx", "A 65927-2021")</f>
        <v/>
      </c>
      <c r="Y162">
        <f>HYPERLINK("https://klasma.github.io/Logging_0980/tillsynsmail/A 65927-2021 tillsynsbegäran mail.docx", "A 65927-2021")</f>
        <v/>
      </c>
    </row>
    <row r="163" ht="15" customHeight="1">
      <c r="A163" t="inlineStr">
        <is>
          <t>A 947-2023</t>
        </is>
      </c>
      <c r="B163" s="1" t="n">
        <v>44934</v>
      </c>
      <c r="C163" s="1" t="n">
        <v>46030</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12924-2025</t>
        </is>
      </c>
      <c r="B164" s="1" t="n">
        <v>45734</v>
      </c>
      <c r="C164" s="1" t="n">
        <v>46030</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61561-2023</t>
        </is>
      </c>
      <c r="B165" s="1" t="n">
        <v>45265</v>
      </c>
      <c r="C165" s="1" t="n">
        <v>46030</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13939-2021</t>
        </is>
      </c>
      <c r="B166" s="1" t="n">
        <v>44277</v>
      </c>
      <c r="C166" s="1" t="n">
        <v>46030</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12324-2025</t>
        </is>
      </c>
      <c r="B167" s="1" t="n">
        <v>45730</v>
      </c>
      <c r="C167" s="1" t="n">
        <v>46030</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2476-2025</t>
        </is>
      </c>
      <c r="B168" s="1" t="n">
        <v>45673</v>
      </c>
      <c r="C168" s="1" t="n">
        <v>46030</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46030</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46030</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46030</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46030</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46030</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46030</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46030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46030</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46030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46030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46030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46030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46030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46030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46030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46030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46030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46030</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46030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46030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46030</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46030</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46030</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46030</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46030</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46030</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46030</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46030</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46030</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46030</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46030</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46030</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46030</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46030</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46030</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46030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46030</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46030</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46030</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15127-2021</t>
        </is>
      </c>
      <c r="B213" s="1" t="n">
        <v>44283</v>
      </c>
      <c r="C213" s="1" t="n">
        <v>46030</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46030</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46030</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46030</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46030</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46030</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46030</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46030</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46030</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46030</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46030</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46030</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46030</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46030</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46030</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46030</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46030</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46030</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46030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46030</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46030</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46030</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46030</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46030</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46030</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46030</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61596-2023</t>
        </is>
      </c>
      <c r="B241" s="1" t="n">
        <v>45265</v>
      </c>
      <c r="C241" s="1" t="n">
        <v>46030</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873-2024</t>
        </is>
      </c>
      <c r="B242" s="1" t="n">
        <v>45301</v>
      </c>
      <c r="C242" s="1" t="n">
        <v>46030</v>
      </c>
      <c r="D242" t="inlineStr">
        <is>
          <t>GOTLANDS LÄN</t>
        </is>
      </c>
      <c r="E242" t="inlineStr">
        <is>
          <t>GOTLAND</t>
        </is>
      </c>
      <c r="G242" t="n">
        <v>2.7</v>
      </c>
      <c r="H242" t="n">
        <v>0</v>
      </c>
      <c r="I242" t="n">
        <v>0</v>
      </c>
      <c r="J242" t="n">
        <v>0</v>
      </c>
      <c r="K242" t="n">
        <v>0</v>
      </c>
      <c r="L242" t="n">
        <v>0</v>
      </c>
      <c r="M242" t="n">
        <v>0</v>
      </c>
      <c r="N242" t="n">
        <v>0</v>
      </c>
      <c r="O242" t="n">
        <v>0</v>
      </c>
      <c r="P242" t="n">
        <v>0</v>
      </c>
      <c r="Q242" t="n">
        <v>0</v>
      </c>
      <c r="R242" s="2" t="inlineStr"/>
    </row>
    <row r="243" ht="15" customHeight="1">
      <c r="A243" t="inlineStr">
        <is>
          <t>A 63229-2021</t>
        </is>
      </c>
      <c r="B243" s="1" t="n">
        <v>44508.34518518519</v>
      </c>
      <c r="C243" s="1" t="n">
        <v>46030</v>
      </c>
      <c r="D243" t="inlineStr">
        <is>
          <t>GOTLANDS LÄN</t>
        </is>
      </c>
      <c r="E243" t="inlineStr">
        <is>
          <t>GOTLAND</t>
        </is>
      </c>
      <c r="F243" t="inlineStr">
        <is>
          <t>Kyrkan</t>
        </is>
      </c>
      <c r="G243" t="n">
        <v>3.8</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46030</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61386-2023</t>
        </is>
      </c>
      <c r="B245" s="1" t="n">
        <v>45264</v>
      </c>
      <c r="C245" s="1" t="n">
        <v>46030</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46030</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46030</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46030</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3964-2024</t>
        </is>
      </c>
      <c r="B249" s="1" t="n">
        <v>45322</v>
      </c>
      <c r="C249" s="1" t="n">
        <v>46030</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56009-2024</t>
        </is>
      </c>
      <c r="B250" s="1" t="n">
        <v>45623.80864583333</v>
      </c>
      <c r="C250" s="1" t="n">
        <v>46030</v>
      </c>
      <c r="D250" t="inlineStr">
        <is>
          <t>GOTLANDS LÄN</t>
        </is>
      </c>
      <c r="E250" t="inlineStr">
        <is>
          <t>GOTLAND</t>
        </is>
      </c>
      <c r="G250" t="n">
        <v>2.8</v>
      </c>
      <c r="H250" t="n">
        <v>0</v>
      </c>
      <c r="I250" t="n">
        <v>0</v>
      </c>
      <c r="J250" t="n">
        <v>0</v>
      </c>
      <c r="K250" t="n">
        <v>0</v>
      </c>
      <c r="L250" t="n">
        <v>0</v>
      </c>
      <c r="M250" t="n">
        <v>0</v>
      </c>
      <c r="N250" t="n">
        <v>0</v>
      </c>
      <c r="O250" t="n">
        <v>0</v>
      </c>
      <c r="P250" t="n">
        <v>0</v>
      </c>
      <c r="Q250" t="n">
        <v>0</v>
      </c>
      <c r="R250" s="2" t="inlineStr"/>
    </row>
    <row r="251" ht="15" customHeight="1">
      <c r="A251" t="inlineStr">
        <is>
          <t>A 54073-2022</t>
        </is>
      </c>
      <c r="B251" s="1" t="n">
        <v>44881.50380787037</v>
      </c>
      <c r="C251" s="1" t="n">
        <v>46030</v>
      </c>
      <c r="D251" t="inlineStr">
        <is>
          <t>GOTLANDS LÄN</t>
        </is>
      </c>
      <c r="E251" t="inlineStr">
        <is>
          <t>GOTLAND</t>
        </is>
      </c>
      <c r="G251" t="n">
        <v>3.8</v>
      </c>
      <c r="H251" t="n">
        <v>0</v>
      </c>
      <c r="I251" t="n">
        <v>0</v>
      </c>
      <c r="J251" t="n">
        <v>0</v>
      </c>
      <c r="K251" t="n">
        <v>0</v>
      </c>
      <c r="L251" t="n">
        <v>0</v>
      </c>
      <c r="M251" t="n">
        <v>0</v>
      </c>
      <c r="N251" t="n">
        <v>0</v>
      </c>
      <c r="O251" t="n">
        <v>0</v>
      </c>
      <c r="P251" t="n">
        <v>0</v>
      </c>
      <c r="Q251" t="n">
        <v>0</v>
      </c>
      <c r="R251" s="2" t="inlineStr"/>
    </row>
    <row r="252" ht="15" customHeight="1">
      <c r="A252" t="inlineStr">
        <is>
          <t>A 45106-2024</t>
        </is>
      </c>
      <c r="B252" s="1" t="n">
        <v>45575</v>
      </c>
      <c r="C252" s="1" t="n">
        <v>46030</v>
      </c>
      <c r="D252" t="inlineStr">
        <is>
          <t>GOTLANDS LÄN</t>
        </is>
      </c>
      <c r="E252" t="inlineStr">
        <is>
          <t>GOTLAND</t>
        </is>
      </c>
      <c r="G252" t="n">
        <v>10</v>
      </c>
      <c r="H252" t="n">
        <v>0</v>
      </c>
      <c r="I252" t="n">
        <v>0</v>
      </c>
      <c r="J252" t="n">
        <v>0</v>
      </c>
      <c r="K252" t="n">
        <v>0</v>
      </c>
      <c r="L252" t="n">
        <v>0</v>
      </c>
      <c r="M252" t="n">
        <v>0</v>
      </c>
      <c r="N252" t="n">
        <v>0</v>
      </c>
      <c r="O252" t="n">
        <v>0</v>
      </c>
      <c r="P252" t="n">
        <v>0</v>
      </c>
      <c r="Q252" t="n">
        <v>0</v>
      </c>
      <c r="R252" s="2" t="inlineStr"/>
    </row>
    <row r="253" ht="15" customHeight="1">
      <c r="A253" t="inlineStr">
        <is>
          <t>A 45112-2024</t>
        </is>
      </c>
      <c r="B253" s="1" t="n">
        <v>45575</v>
      </c>
      <c r="C253" s="1" t="n">
        <v>46030</v>
      </c>
      <c r="D253" t="inlineStr">
        <is>
          <t>GOTLANDS LÄN</t>
        </is>
      </c>
      <c r="E253" t="inlineStr">
        <is>
          <t>GOTLAND</t>
        </is>
      </c>
      <c r="G253" t="n">
        <v>5.1</v>
      </c>
      <c r="H253" t="n">
        <v>0</v>
      </c>
      <c r="I253" t="n">
        <v>0</v>
      </c>
      <c r="J253" t="n">
        <v>0</v>
      </c>
      <c r="K253" t="n">
        <v>0</v>
      </c>
      <c r="L253" t="n">
        <v>0</v>
      </c>
      <c r="M253" t="n">
        <v>0</v>
      </c>
      <c r="N253" t="n">
        <v>0</v>
      </c>
      <c r="O253" t="n">
        <v>0</v>
      </c>
      <c r="P253" t="n">
        <v>0</v>
      </c>
      <c r="Q253" t="n">
        <v>0</v>
      </c>
      <c r="R253" s="2" t="inlineStr"/>
    </row>
    <row r="254" ht="15" customHeight="1">
      <c r="A254" t="inlineStr">
        <is>
          <t>A 61080-2025</t>
        </is>
      </c>
      <c r="B254" s="1" t="n">
        <v>46000</v>
      </c>
      <c r="C254" s="1" t="n">
        <v>46030</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61078-2025</t>
        </is>
      </c>
      <c r="B255" s="1" t="n">
        <v>46000</v>
      </c>
      <c r="C255" s="1" t="n">
        <v>46030</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20356-2022</t>
        </is>
      </c>
      <c r="B256" s="1" t="n">
        <v>44699</v>
      </c>
      <c r="C256" s="1" t="n">
        <v>46030</v>
      </c>
      <c r="D256" t="inlineStr">
        <is>
          <t>GOTLANDS LÄN</t>
        </is>
      </c>
      <c r="E256" t="inlineStr">
        <is>
          <t>GOTLAND</t>
        </is>
      </c>
      <c r="F256" t="inlineStr">
        <is>
          <t>Övriga Aktiebolag</t>
        </is>
      </c>
      <c r="G256" t="n">
        <v>4.4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46030</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21420-2024</t>
        </is>
      </c>
      <c r="B258" s="1" t="n">
        <v>45441.38293981482</v>
      </c>
      <c r="C258" s="1" t="n">
        <v>46030</v>
      </c>
      <c r="D258" t="inlineStr">
        <is>
          <t>GOTLANDS LÄN</t>
        </is>
      </c>
      <c r="E258" t="inlineStr">
        <is>
          <t>GOTLAND</t>
        </is>
      </c>
      <c r="G258" t="n">
        <v>4.1</v>
      </c>
      <c r="H258" t="n">
        <v>0</v>
      </c>
      <c r="I258" t="n">
        <v>0</v>
      </c>
      <c r="J258" t="n">
        <v>0</v>
      </c>
      <c r="K258" t="n">
        <v>0</v>
      </c>
      <c r="L258" t="n">
        <v>0</v>
      </c>
      <c r="M258" t="n">
        <v>0</v>
      </c>
      <c r="N258" t="n">
        <v>0</v>
      </c>
      <c r="O258" t="n">
        <v>0</v>
      </c>
      <c r="P258" t="n">
        <v>0</v>
      </c>
      <c r="Q258" t="n">
        <v>0</v>
      </c>
      <c r="R258" s="2" t="inlineStr"/>
    </row>
    <row r="259" ht="15" customHeight="1">
      <c r="A259" t="inlineStr">
        <is>
          <t>A 10656-2024</t>
        </is>
      </c>
      <c r="B259" s="1" t="n">
        <v>45368</v>
      </c>
      <c r="C259" s="1" t="n">
        <v>46030</v>
      </c>
      <c r="D259" t="inlineStr">
        <is>
          <t>GOTLANDS LÄN</t>
        </is>
      </c>
      <c r="E259" t="inlineStr">
        <is>
          <t>GOTLAND</t>
        </is>
      </c>
      <c r="G259" t="n">
        <v>1.5</v>
      </c>
      <c r="H259" t="n">
        <v>0</v>
      </c>
      <c r="I259" t="n">
        <v>0</v>
      </c>
      <c r="J259" t="n">
        <v>0</v>
      </c>
      <c r="K259" t="n">
        <v>0</v>
      </c>
      <c r="L259" t="n">
        <v>0</v>
      </c>
      <c r="M259" t="n">
        <v>0</v>
      </c>
      <c r="N259" t="n">
        <v>0</v>
      </c>
      <c r="O259" t="n">
        <v>0</v>
      </c>
      <c r="P259" t="n">
        <v>0</v>
      </c>
      <c r="Q259" t="n">
        <v>0</v>
      </c>
      <c r="R259" s="2" t="inlineStr"/>
    </row>
    <row r="260" ht="15" customHeight="1">
      <c r="A260" t="inlineStr">
        <is>
          <t>A 57356-2023</t>
        </is>
      </c>
      <c r="B260" s="1" t="n">
        <v>45240</v>
      </c>
      <c r="C260" s="1" t="n">
        <v>46030</v>
      </c>
      <c r="D260" t="inlineStr">
        <is>
          <t>GOTLANDS LÄN</t>
        </is>
      </c>
      <c r="E260" t="inlineStr">
        <is>
          <t>GOTLAND</t>
        </is>
      </c>
      <c r="G260" t="n">
        <v>6.4</v>
      </c>
      <c r="H260" t="n">
        <v>0</v>
      </c>
      <c r="I260" t="n">
        <v>0</v>
      </c>
      <c r="J260" t="n">
        <v>0</v>
      </c>
      <c r="K260" t="n">
        <v>0</v>
      </c>
      <c r="L260" t="n">
        <v>0</v>
      </c>
      <c r="M260" t="n">
        <v>0</v>
      </c>
      <c r="N260" t="n">
        <v>0</v>
      </c>
      <c r="O260" t="n">
        <v>0</v>
      </c>
      <c r="P260" t="n">
        <v>0</v>
      </c>
      <c r="Q260" t="n">
        <v>0</v>
      </c>
      <c r="R260" s="2" t="inlineStr"/>
    </row>
    <row r="261" ht="15" customHeight="1">
      <c r="A261" t="inlineStr">
        <is>
          <t>A 28506-2023</t>
        </is>
      </c>
      <c r="B261" s="1" t="n">
        <v>45103</v>
      </c>
      <c r="C261" s="1" t="n">
        <v>46030</v>
      </c>
      <c r="D261" t="inlineStr">
        <is>
          <t>GOTLANDS LÄN</t>
        </is>
      </c>
      <c r="E261" t="inlineStr">
        <is>
          <t>GOTLAND</t>
        </is>
      </c>
      <c r="G261" t="n">
        <v>3.2</v>
      </c>
      <c r="H261" t="n">
        <v>0</v>
      </c>
      <c r="I261" t="n">
        <v>0</v>
      </c>
      <c r="J261" t="n">
        <v>0</v>
      </c>
      <c r="K261" t="n">
        <v>0</v>
      </c>
      <c r="L261" t="n">
        <v>0</v>
      </c>
      <c r="M261" t="n">
        <v>0</v>
      </c>
      <c r="N261" t="n">
        <v>0</v>
      </c>
      <c r="O261" t="n">
        <v>0</v>
      </c>
      <c r="P261" t="n">
        <v>0</v>
      </c>
      <c r="Q261" t="n">
        <v>0</v>
      </c>
      <c r="R261" s="2" t="inlineStr"/>
    </row>
    <row r="262" ht="15" customHeight="1">
      <c r="A262" t="inlineStr">
        <is>
          <t>A 52892-2021</t>
        </is>
      </c>
      <c r="B262" s="1" t="n">
        <v>44467.49048611111</v>
      </c>
      <c r="C262" s="1" t="n">
        <v>46030</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1351-2025</t>
        </is>
      </c>
      <c r="B263" s="1" t="n">
        <v>45667.62246527777</v>
      </c>
      <c r="C263" s="1" t="n">
        <v>46030</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23188-2025</t>
        </is>
      </c>
      <c r="B264" s="1" t="n">
        <v>45791</v>
      </c>
      <c r="C264" s="1" t="n">
        <v>46030</v>
      </c>
      <c r="D264" t="inlineStr">
        <is>
          <t>GOTLANDS LÄN</t>
        </is>
      </c>
      <c r="E264" t="inlineStr">
        <is>
          <t>GOTLAND</t>
        </is>
      </c>
      <c r="G264" t="n">
        <v>6.2</v>
      </c>
      <c r="H264" t="n">
        <v>0</v>
      </c>
      <c r="I264" t="n">
        <v>0</v>
      </c>
      <c r="J264" t="n">
        <v>0</v>
      </c>
      <c r="K264" t="n">
        <v>0</v>
      </c>
      <c r="L264" t="n">
        <v>0</v>
      </c>
      <c r="M264" t="n">
        <v>0</v>
      </c>
      <c r="N264" t="n">
        <v>0</v>
      </c>
      <c r="O264" t="n">
        <v>0</v>
      </c>
      <c r="P264" t="n">
        <v>0</v>
      </c>
      <c r="Q264" t="n">
        <v>0</v>
      </c>
      <c r="R264" s="2" t="inlineStr"/>
    </row>
    <row r="265" ht="15" customHeight="1">
      <c r="A265" t="inlineStr">
        <is>
          <t>A 2292-2021</t>
        </is>
      </c>
      <c r="B265" s="1" t="n">
        <v>44212</v>
      </c>
      <c r="C265" s="1" t="n">
        <v>46030</v>
      </c>
      <c r="D265" t="inlineStr">
        <is>
          <t>GOTLANDS LÄN</t>
        </is>
      </c>
      <c r="E265" t="inlineStr">
        <is>
          <t>GOTLAND</t>
        </is>
      </c>
      <c r="G265" t="n">
        <v>3</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45597.49274305555</v>
      </c>
      <c r="C266" s="1" t="n">
        <v>46030</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46030</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35141-2025</t>
        </is>
      </c>
      <c r="B268" s="1" t="n">
        <v>45852.65206018519</v>
      </c>
      <c r="C268" s="1" t="n">
        <v>46030</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23856-2025</t>
        </is>
      </c>
      <c r="B269" s="1" t="n">
        <v>45793</v>
      </c>
      <c r="C269" s="1" t="n">
        <v>46030</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23473-2025</t>
        </is>
      </c>
      <c r="B270" s="1" t="n">
        <v>45792</v>
      </c>
      <c r="C270" s="1" t="n">
        <v>46030</v>
      </c>
      <c r="D270" t="inlineStr">
        <is>
          <t>GOTLANDS LÄN</t>
        </is>
      </c>
      <c r="E270" t="inlineStr">
        <is>
          <t>GOTLAND</t>
        </is>
      </c>
      <c r="G270" t="n">
        <v>3.6</v>
      </c>
      <c r="H270" t="n">
        <v>0</v>
      </c>
      <c r="I270" t="n">
        <v>0</v>
      </c>
      <c r="J270" t="n">
        <v>0</v>
      </c>
      <c r="K270" t="n">
        <v>0</v>
      </c>
      <c r="L270" t="n">
        <v>0</v>
      </c>
      <c r="M270" t="n">
        <v>0</v>
      </c>
      <c r="N270" t="n">
        <v>0</v>
      </c>
      <c r="O270" t="n">
        <v>0</v>
      </c>
      <c r="P270" t="n">
        <v>0</v>
      </c>
      <c r="Q270" t="n">
        <v>0</v>
      </c>
      <c r="R270" s="2" t="inlineStr"/>
    </row>
    <row r="271" ht="15" customHeight="1">
      <c r="A271" t="inlineStr">
        <is>
          <t>A 51782-2023</t>
        </is>
      </c>
      <c r="B271" s="1" t="n">
        <v>45222.80952546297</v>
      </c>
      <c r="C271" s="1" t="n">
        <v>46030</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23698-2025</t>
        </is>
      </c>
      <c r="B272" s="1" t="n">
        <v>45793</v>
      </c>
      <c r="C272" s="1" t="n">
        <v>46030</v>
      </c>
      <c r="D272" t="inlineStr">
        <is>
          <t>GOTLANDS LÄN</t>
        </is>
      </c>
      <c r="E272" t="inlineStr">
        <is>
          <t>GOTLAND</t>
        </is>
      </c>
      <c r="G272" t="n">
        <v>0.8</v>
      </c>
      <c r="H272" t="n">
        <v>0</v>
      </c>
      <c r="I272" t="n">
        <v>0</v>
      </c>
      <c r="J272" t="n">
        <v>0</v>
      </c>
      <c r="K272" t="n">
        <v>0</v>
      </c>
      <c r="L272" t="n">
        <v>0</v>
      </c>
      <c r="M272" t="n">
        <v>0</v>
      </c>
      <c r="N272" t="n">
        <v>0</v>
      </c>
      <c r="O272" t="n">
        <v>0</v>
      </c>
      <c r="P272" t="n">
        <v>0</v>
      </c>
      <c r="Q272" t="n">
        <v>0</v>
      </c>
      <c r="R272" s="2" t="inlineStr"/>
    </row>
    <row r="273" ht="15" customHeight="1">
      <c r="A273" t="inlineStr">
        <is>
          <t>A 60675-2021</t>
        </is>
      </c>
      <c r="B273" s="1" t="n">
        <v>44496.64855324074</v>
      </c>
      <c r="C273" s="1" t="n">
        <v>46030</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15073-2025</t>
        </is>
      </c>
      <c r="B274" s="1" t="n">
        <v>45743</v>
      </c>
      <c r="C274" s="1" t="n">
        <v>46030</v>
      </c>
      <c r="D274" t="inlineStr">
        <is>
          <t>GOTLANDS LÄN</t>
        </is>
      </c>
      <c r="E274" t="inlineStr">
        <is>
          <t>GOTLAND</t>
        </is>
      </c>
      <c r="G274" t="n">
        <v>12.1</v>
      </c>
      <c r="H274" t="n">
        <v>0</v>
      </c>
      <c r="I274" t="n">
        <v>0</v>
      </c>
      <c r="J274" t="n">
        <v>0</v>
      </c>
      <c r="K274" t="n">
        <v>0</v>
      </c>
      <c r="L274" t="n">
        <v>0</v>
      </c>
      <c r="M274" t="n">
        <v>0</v>
      </c>
      <c r="N274" t="n">
        <v>0</v>
      </c>
      <c r="O274" t="n">
        <v>0</v>
      </c>
      <c r="P274" t="n">
        <v>0</v>
      </c>
      <c r="Q274" t="n">
        <v>0</v>
      </c>
      <c r="R274" s="2" t="inlineStr"/>
    </row>
    <row r="275" ht="15" customHeight="1">
      <c r="A275" t="inlineStr">
        <is>
          <t>A 5217-2023</t>
        </is>
      </c>
      <c r="B275" s="1" t="n">
        <v>44959.39582175926</v>
      </c>
      <c r="C275" s="1" t="n">
        <v>46030</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39849-2025</t>
        </is>
      </c>
      <c r="B276" s="1" t="n">
        <v>45891.58502314815</v>
      </c>
      <c r="C276" s="1" t="n">
        <v>46030</v>
      </c>
      <c r="D276" t="inlineStr">
        <is>
          <t>GOTLANDS LÄN</t>
        </is>
      </c>
      <c r="E276" t="inlineStr">
        <is>
          <t>GOTLAND</t>
        </is>
      </c>
      <c r="G276" t="n">
        <v>6.1</v>
      </c>
      <c r="H276" t="n">
        <v>0</v>
      </c>
      <c r="I276" t="n">
        <v>0</v>
      </c>
      <c r="J276" t="n">
        <v>0</v>
      </c>
      <c r="K276" t="n">
        <v>0</v>
      </c>
      <c r="L276" t="n">
        <v>0</v>
      </c>
      <c r="M276" t="n">
        <v>0</v>
      </c>
      <c r="N276" t="n">
        <v>0</v>
      </c>
      <c r="O276" t="n">
        <v>0</v>
      </c>
      <c r="P276" t="n">
        <v>0</v>
      </c>
      <c r="Q276" t="n">
        <v>0</v>
      </c>
      <c r="R276" s="2" t="inlineStr"/>
    </row>
    <row r="277" ht="15" customHeight="1">
      <c r="A277" t="inlineStr">
        <is>
          <t>A 14638-2025</t>
        </is>
      </c>
      <c r="B277" s="1" t="n">
        <v>45742</v>
      </c>
      <c r="C277" s="1" t="n">
        <v>46030</v>
      </c>
      <c r="D277" t="inlineStr">
        <is>
          <t>GOTLANDS LÄN</t>
        </is>
      </c>
      <c r="E277" t="inlineStr">
        <is>
          <t>GOTLAND</t>
        </is>
      </c>
      <c r="G277" t="n">
        <v>13.4</v>
      </c>
      <c r="H277" t="n">
        <v>0</v>
      </c>
      <c r="I277" t="n">
        <v>0</v>
      </c>
      <c r="J277" t="n">
        <v>0</v>
      </c>
      <c r="K277" t="n">
        <v>0</v>
      </c>
      <c r="L277" t="n">
        <v>0</v>
      </c>
      <c r="M277" t="n">
        <v>0</v>
      </c>
      <c r="N277" t="n">
        <v>0</v>
      </c>
      <c r="O277" t="n">
        <v>0</v>
      </c>
      <c r="P277" t="n">
        <v>0</v>
      </c>
      <c r="Q277" t="n">
        <v>0</v>
      </c>
      <c r="R277" s="2" t="inlineStr"/>
    </row>
    <row r="278" ht="15" customHeight="1">
      <c r="A278" t="inlineStr">
        <is>
          <t>A 39814-2025</t>
        </is>
      </c>
      <c r="B278" s="1" t="n">
        <v>45891.52694444444</v>
      </c>
      <c r="C278" s="1" t="n">
        <v>46030</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4421-2024</t>
        </is>
      </c>
      <c r="B279" s="1" t="n">
        <v>45327.45173611111</v>
      </c>
      <c r="C279" s="1" t="n">
        <v>46030</v>
      </c>
      <c r="D279" t="inlineStr">
        <is>
          <t>GOTLANDS LÄN</t>
        </is>
      </c>
      <c r="E279" t="inlineStr">
        <is>
          <t>GOTLAND</t>
        </is>
      </c>
      <c r="G279" t="n">
        <v>5.1</v>
      </c>
      <c r="H279" t="n">
        <v>0</v>
      </c>
      <c r="I279" t="n">
        <v>0</v>
      </c>
      <c r="J279" t="n">
        <v>0</v>
      </c>
      <c r="K279" t="n">
        <v>0</v>
      </c>
      <c r="L279" t="n">
        <v>0</v>
      </c>
      <c r="M279" t="n">
        <v>0</v>
      </c>
      <c r="N279" t="n">
        <v>0</v>
      </c>
      <c r="O279" t="n">
        <v>0</v>
      </c>
      <c r="P279" t="n">
        <v>0</v>
      </c>
      <c r="Q279" t="n">
        <v>0</v>
      </c>
      <c r="R279" s="2" t="inlineStr"/>
    </row>
    <row r="280" ht="15" customHeight="1">
      <c r="A280" t="inlineStr">
        <is>
          <t>A 56688-2025</t>
        </is>
      </c>
      <c r="B280" s="1" t="n">
        <v>45975.84331018518</v>
      </c>
      <c r="C280" s="1" t="n">
        <v>46030</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39819-2025</t>
        </is>
      </c>
      <c r="B281" s="1" t="n">
        <v>45891.53418981482</v>
      </c>
      <c r="C281" s="1" t="n">
        <v>46030</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46030</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39816-2025</t>
        </is>
      </c>
      <c r="B283" s="1" t="n">
        <v>45891</v>
      </c>
      <c r="C283" s="1" t="n">
        <v>46030</v>
      </c>
      <c r="D283" t="inlineStr">
        <is>
          <t>GOTLANDS LÄN</t>
        </is>
      </c>
      <c r="E283" t="inlineStr">
        <is>
          <t>GOTLAND</t>
        </is>
      </c>
      <c r="G283" t="n">
        <v>0.9</v>
      </c>
      <c r="H283" t="n">
        <v>0</v>
      </c>
      <c r="I283" t="n">
        <v>0</v>
      </c>
      <c r="J283" t="n">
        <v>0</v>
      </c>
      <c r="K283" t="n">
        <v>0</v>
      </c>
      <c r="L283" t="n">
        <v>0</v>
      </c>
      <c r="M283" t="n">
        <v>0</v>
      </c>
      <c r="N283" t="n">
        <v>0</v>
      </c>
      <c r="O283" t="n">
        <v>0</v>
      </c>
      <c r="P283" t="n">
        <v>0</v>
      </c>
      <c r="Q283" t="n">
        <v>0</v>
      </c>
      <c r="R283" s="2" t="inlineStr"/>
    </row>
    <row r="284" ht="15" customHeight="1">
      <c r="A284" t="inlineStr">
        <is>
          <t>A 6749-2025</t>
        </is>
      </c>
      <c r="B284" s="1" t="n">
        <v>45700</v>
      </c>
      <c r="C284" s="1" t="n">
        <v>46030</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46030</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20165-2022</t>
        </is>
      </c>
      <c r="B286" s="1" t="n">
        <v>44698.49854166667</v>
      </c>
      <c r="C286" s="1" t="n">
        <v>46030</v>
      </c>
      <c r="D286" t="inlineStr">
        <is>
          <t>GOTLANDS LÄN</t>
        </is>
      </c>
      <c r="E286" t="inlineStr">
        <is>
          <t>GOTLAND</t>
        </is>
      </c>
      <c r="G286" t="n">
        <v>4.1</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46030</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31264-2021</t>
        </is>
      </c>
      <c r="B288" s="1" t="n">
        <v>44368</v>
      </c>
      <c r="C288" s="1" t="n">
        <v>46030</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62751-2025</t>
        </is>
      </c>
      <c r="B289" s="1" t="n">
        <v>46008.58076388889</v>
      </c>
      <c r="C289" s="1" t="n">
        <v>46030</v>
      </c>
      <c r="D289" t="inlineStr">
        <is>
          <t>GOTLANDS LÄN</t>
        </is>
      </c>
      <c r="E289" t="inlineStr">
        <is>
          <t>GOTLAND</t>
        </is>
      </c>
      <c r="F289" t="inlineStr">
        <is>
          <t>Övriga Aktiebolag</t>
        </is>
      </c>
      <c r="G289" t="n">
        <v>7.8</v>
      </c>
      <c r="H289" t="n">
        <v>0</v>
      </c>
      <c r="I289" t="n">
        <v>0</v>
      </c>
      <c r="J289" t="n">
        <v>0</v>
      </c>
      <c r="K289" t="n">
        <v>0</v>
      </c>
      <c r="L289" t="n">
        <v>0</v>
      </c>
      <c r="M289" t="n">
        <v>0</v>
      </c>
      <c r="N289" t="n">
        <v>0</v>
      </c>
      <c r="O289" t="n">
        <v>0</v>
      </c>
      <c r="P289" t="n">
        <v>0</v>
      </c>
      <c r="Q289" t="n">
        <v>0</v>
      </c>
      <c r="R289" s="2" t="inlineStr"/>
    </row>
    <row r="290" ht="15" customHeight="1">
      <c r="A290" t="inlineStr">
        <is>
          <t>A 33876-2024</t>
        </is>
      </c>
      <c r="B290" s="1" t="n">
        <v>45521.87988425926</v>
      </c>
      <c r="C290" s="1" t="n">
        <v>46030</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5462-2025</t>
        </is>
      </c>
      <c r="B291" s="1" t="n">
        <v>45693.29331018519</v>
      </c>
      <c r="C291" s="1" t="n">
        <v>46030</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40103-2025</t>
        </is>
      </c>
      <c r="B292" s="1" t="n">
        <v>45894.4880324074</v>
      </c>
      <c r="C292" s="1" t="n">
        <v>46030</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38649-2025</t>
        </is>
      </c>
      <c r="B293" s="1" t="n">
        <v>45884</v>
      </c>
      <c r="C293" s="1" t="n">
        <v>46030</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43223-2023</t>
        </is>
      </c>
      <c r="B294" s="1" t="n">
        <v>45183.45642361111</v>
      </c>
      <c r="C294" s="1" t="n">
        <v>46030</v>
      </c>
      <c r="D294" t="inlineStr">
        <is>
          <t>GOTLANDS LÄN</t>
        </is>
      </c>
      <c r="E294" t="inlineStr">
        <is>
          <t>GOTLAND</t>
        </is>
      </c>
      <c r="G294" t="n">
        <v>1.8</v>
      </c>
      <c r="H294" t="n">
        <v>0</v>
      </c>
      <c r="I294" t="n">
        <v>0</v>
      </c>
      <c r="J294" t="n">
        <v>0</v>
      </c>
      <c r="K294" t="n">
        <v>0</v>
      </c>
      <c r="L294" t="n">
        <v>0</v>
      </c>
      <c r="M294" t="n">
        <v>0</v>
      </c>
      <c r="N294" t="n">
        <v>0</v>
      </c>
      <c r="O294" t="n">
        <v>0</v>
      </c>
      <c r="P294" t="n">
        <v>0</v>
      </c>
      <c r="Q294" t="n">
        <v>0</v>
      </c>
      <c r="R294" s="2" t="inlineStr"/>
    </row>
    <row r="295" ht="15" customHeight="1">
      <c r="A295" t="inlineStr">
        <is>
          <t>A 62754-2025</t>
        </is>
      </c>
      <c r="B295" s="1" t="n">
        <v>46008.58765046296</v>
      </c>
      <c r="C295" s="1" t="n">
        <v>46030</v>
      </c>
      <c r="D295" t="inlineStr">
        <is>
          <t>GOTLANDS LÄN</t>
        </is>
      </c>
      <c r="E295" t="inlineStr">
        <is>
          <t>GOTLAND</t>
        </is>
      </c>
      <c r="F295" t="inlineStr">
        <is>
          <t>Övriga Aktiebolag</t>
        </is>
      </c>
      <c r="G295" t="n">
        <v>2.9</v>
      </c>
      <c r="H295" t="n">
        <v>0</v>
      </c>
      <c r="I295" t="n">
        <v>0</v>
      </c>
      <c r="J295" t="n">
        <v>0</v>
      </c>
      <c r="K295" t="n">
        <v>0</v>
      </c>
      <c r="L295" t="n">
        <v>0</v>
      </c>
      <c r="M295" t="n">
        <v>0</v>
      </c>
      <c r="N295" t="n">
        <v>0</v>
      </c>
      <c r="O295" t="n">
        <v>0</v>
      </c>
      <c r="P295" t="n">
        <v>0</v>
      </c>
      <c r="Q295" t="n">
        <v>0</v>
      </c>
      <c r="R295" s="2" t="inlineStr"/>
    </row>
    <row r="296" ht="15" customHeight="1">
      <c r="A296" t="inlineStr">
        <is>
          <t>A 61962-2024</t>
        </is>
      </c>
      <c r="B296" s="1" t="n">
        <v>45653.54340277778</v>
      </c>
      <c r="C296" s="1" t="n">
        <v>46030</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40499-2025</t>
        </is>
      </c>
      <c r="B297" s="1" t="n">
        <v>45896.32517361111</v>
      </c>
      <c r="C297" s="1" t="n">
        <v>46030</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63105-2025</t>
        </is>
      </c>
      <c r="B298" s="1" t="n">
        <v>46009.70571759259</v>
      </c>
      <c r="C298" s="1" t="n">
        <v>46030</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63152-2025</t>
        </is>
      </c>
      <c r="B299" s="1" t="n">
        <v>46010.35789351852</v>
      </c>
      <c r="C299" s="1" t="n">
        <v>46030</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27930-2021</t>
        </is>
      </c>
      <c r="B300" s="1" t="n">
        <v>44354</v>
      </c>
      <c r="C300" s="1" t="n">
        <v>46030</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59469-2024</t>
        </is>
      </c>
      <c r="B301" s="1" t="n">
        <v>45638</v>
      </c>
      <c r="C301" s="1" t="n">
        <v>46030</v>
      </c>
      <c r="D301" t="inlineStr">
        <is>
          <t>GOTLANDS LÄN</t>
        </is>
      </c>
      <c r="E301" t="inlineStr">
        <is>
          <t>GOTLAND</t>
        </is>
      </c>
      <c r="G301" t="n">
        <v>0.4</v>
      </c>
      <c r="H301" t="n">
        <v>0</v>
      </c>
      <c r="I301" t="n">
        <v>0</v>
      </c>
      <c r="J301" t="n">
        <v>0</v>
      </c>
      <c r="K301" t="n">
        <v>0</v>
      </c>
      <c r="L301" t="n">
        <v>0</v>
      </c>
      <c r="M301" t="n">
        <v>0</v>
      </c>
      <c r="N301" t="n">
        <v>0</v>
      </c>
      <c r="O301" t="n">
        <v>0</v>
      </c>
      <c r="P301" t="n">
        <v>0</v>
      </c>
      <c r="Q301" t="n">
        <v>0</v>
      </c>
      <c r="R301" s="2" t="inlineStr"/>
    </row>
    <row r="302" ht="15" customHeight="1">
      <c r="A302" t="inlineStr">
        <is>
          <t>A 62836-2025</t>
        </is>
      </c>
      <c r="B302" s="1" t="n">
        <v>46008</v>
      </c>
      <c r="C302" s="1" t="n">
        <v>46030</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46030</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39278-2025</t>
        </is>
      </c>
      <c r="B304" s="1" t="n">
        <v>45889</v>
      </c>
      <c r="C304" s="1" t="n">
        <v>46030</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5751-2024</t>
        </is>
      </c>
      <c r="B305" s="1" t="n">
        <v>45335.32702546296</v>
      </c>
      <c r="C305" s="1" t="n">
        <v>46030</v>
      </c>
      <c r="D305" t="inlineStr">
        <is>
          <t>GOTLANDS LÄN</t>
        </is>
      </c>
      <c r="E305" t="inlineStr">
        <is>
          <t>GOTLAND</t>
        </is>
      </c>
      <c r="G305" t="n">
        <v>4.2</v>
      </c>
      <c r="H305" t="n">
        <v>0</v>
      </c>
      <c r="I305" t="n">
        <v>0</v>
      </c>
      <c r="J305" t="n">
        <v>0</v>
      </c>
      <c r="K305" t="n">
        <v>0</v>
      </c>
      <c r="L305" t="n">
        <v>0</v>
      </c>
      <c r="M305" t="n">
        <v>0</v>
      </c>
      <c r="N305" t="n">
        <v>0</v>
      </c>
      <c r="O305" t="n">
        <v>0</v>
      </c>
      <c r="P305" t="n">
        <v>0</v>
      </c>
      <c r="Q305" t="n">
        <v>0</v>
      </c>
      <c r="R305" s="2" t="inlineStr"/>
    </row>
    <row r="306" ht="15" customHeight="1">
      <c r="A306" t="inlineStr">
        <is>
          <t>A 6696-2023</t>
        </is>
      </c>
      <c r="B306" s="1" t="n">
        <v>44966.66425925926</v>
      </c>
      <c r="C306" s="1" t="n">
        <v>46030</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28480-2023</t>
        </is>
      </c>
      <c r="B307" s="1" t="n">
        <v>45103</v>
      </c>
      <c r="C307" s="1" t="n">
        <v>46030</v>
      </c>
      <c r="D307" t="inlineStr">
        <is>
          <t>GOTLANDS LÄN</t>
        </is>
      </c>
      <c r="E307" t="inlineStr">
        <is>
          <t>GOTLAND</t>
        </is>
      </c>
      <c r="G307" t="n">
        <v>5.7</v>
      </c>
      <c r="H307" t="n">
        <v>0</v>
      </c>
      <c r="I307" t="n">
        <v>0</v>
      </c>
      <c r="J307" t="n">
        <v>0</v>
      </c>
      <c r="K307" t="n">
        <v>0</v>
      </c>
      <c r="L307" t="n">
        <v>0</v>
      </c>
      <c r="M307" t="n">
        <v>0</v>
      </c>
      <c r="N307" t="n">
        <v>0</v>
      </c>
      <c r="O307" t="n">
        <v>0</v>
      </c>
      <c r="P307" t="n">
        <v>0</v>
      </c>
      <c r="Q307" t="n">
        <v>0</v>
      </c>
      <c r="R307" s="2" t="inlineStr"/>
    </row>
    <row r="308" ht="15" customHeight="1">
      <c r="A308" t="inlineStr">
        <is>
          <t>A 28485-2023</t>
        </is>
      </c>
      <c r="B308" s="1" t="n">
        <v>45103.43731481482</v>
      </c>
      <c r="C308" s="1" t="n">
        <v>46030</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4990-2025</t>
        </is>
      </c>
      <c r="B309" s="1" t="n">
        <v>45691</v>
      </c>
      <c r="C309" s="1" t="n">
        <v>46030</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56799-2025</t>
        </is>
      </c>
      <c r="B310" s="1" t="n">
        <v>45978.43392361111</v>
      </c>
      <c r="C310" s="1" t="n">
        <v>46030</v>
      </c>
      <c r="D310" t="inlineStr">
        <is>
          <t>GOTLANDS LÄN</t>
        </is>
      </c>
      <c r="E310" t="inlineStr">
        <is>
          <t>GOTLAND</t>
        </is>
      </c>
      <c r="G310" t="n">
        <v>1.1</v>
      </c>
      <c r="H310" t="n">
        <v>0</v>
      </c>
      <c r="I310" t="n">
        <v>0</v>
      </c>
      <c r="J310" t="n">
        <v>0</v>
      </c>
      <c r="K310" t="n">
        <v>0</v>
      </c>
      <c r="L310" t="n">
        <v>0</v>
      </c>
      <c r="M310" t="n">
        <v>0</v>
      </c>
      <c r="N310" t="n">
        <v>0</v>
      </c>
      <c r="O310" t="n">
        <v>0</v>
      </c>
      <c r="P310" t="n">
        <v>0</v>
      </c>
      <c r="Q310" t="n">
        <v>0</v>
      </c>
      <c r="R310" s="2" t="inlineStr"/>
    </row>
    <row r="311" ht="15" customHeight="1">
      <c r="A311" t="inlineStr">
        <is>
          <t>A 41435-2025</t>
        </is>
      </c>
      <c r="B311" s="1" t="n">
        <v>45901.39974537037</v>
      </c>
      <c r="C311" s="1" t="n">
        <v>46030</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25796-2025</t>
        </is>
      </c>
      <c r="B312" s="1" t="n">
        <v>45804.39543981481</v>
      </c>
      <c r="C312" s="1" t="n">
        <v>46030</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38165-2023</t>
        </is>
      </c>
      <c r="B313" s="1" t="n">
        <v>45161</v>
      </c>
      <c r="C313" s="1" t="n">
        <v>46030</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63000-2025</t>
        </is>
      </c>
      <c r="B314" s="1" t="n">
        <v>46009.56434027778</v>
      </c>
      <c r="C314" s="1" t="n">
        <v>46030</v>
      </c>
      <c r="D314" t="inlineStr">
        <is>
          <t>GOTLANDS LÄN</t>
        </is>
      </c>
      <c r="E314" t="inlineStr">
        <is>
          <t>GOTLAND</t>
        </is>
      </c>
      <c r="F314" t="inlineStr">
        <is>
          <t>Övriga Aktiebolag</t>
        </is>
      </c>
      <c r="G314" t="n">
        <v>1.7</v>
      </c>
      <c r="H314" t="n">
        <v>0</v>
      </c>
      <c r="I314" t="n">
        <v>0</v>
      </c>
      <c r="J314" t="n">
        <v>0</v>
      </c>
      <c r="K314" t="n">
        <v>0</v>
      </c>
      <c r="L314" t="n">
        <v>0</v>
      </c>
      <c r="M314" t="n">
        <v>0</v>
      </c>
      <c r="N314" t="n">
        <v>0</v>
      </c>
      <c r="O314" t="n">
        <v>0</v>
      </c>
      <c r="P314" t="n">
        <v>0</v>
      </c>
      <c r="Q314" t="n">
        <v>0</v>
      </c>
      <c r="R314" s="2" t="inlineStr"/>
    </row>
    <row r="315" ht="15" customHeight="1">
      <c r="A315" t="inlineStr">
        <is>
          <t>A 26465-2025</t>
        </is>
      </c>
      <c r="B315" s="1" t="n">
        <v>45807.44377314814</v>
      </c>
      <c r="C315" s="1" t="n">
        <v>46030</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26457-2025</t>
        </is>
      </c>
      <c r="B316" s="1" t="n">
        <v>45807.42773148148</v>
      </c>
      <c r="C316" s="1" t="n">
        <v>46030</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26467-2025</t>
        </is>
      </c>
      <c r="B317" s="1" t="n">
        <v>45807.44640046296</v>
      </c>
      <c r="C317" s="1" t="n">
        <v>46030</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42608-2025</t>
        </is>
      </c>
      <c r="B318" s="1" t="n">
        <v>45905</v>
      </c>
      <c r="C318" s="1" t="n">
        <v>46030</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16373-2025</t>
        </is>
      </c>
      <c r="B319" s="1" t="n">
        <v>45751</v>
      </c>
      <c r="C319" s="1" t="n">
        <v>46030</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49693-2023</t>
        </is>
      </c>
      <c r="B320" s="1" t="n">
        <v>45212.38138888889</v>
      </c>
      <c r="C320" s="1" t="n">
        <v>46030</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49697-2023</t>
        </is>
      </c>
      <c r="B321" s="1" t="n">
        <v>45212.38909722222</v>
      </c>
      <c r="C321" s="1" t="n">
        <v>46030</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62674-2025</t>
        </is>
      </c>
      <c r="B322" s="1" t="n">
        <v>46008.44890046296</v>
      </c>
      <c r="C322" s="1" t="n">
        <v>46030</v>
      </c>
      <c r="D322" t="inlineStr">
        <is>
          <t>GOTLANDS LÄN</t>
        </is>
      </c>
      <c r="E322" t="inlineStr">
        <is>
          <t>GOTLAND</t>
        </is>
      </c>
      <c r="G322" t="n">
        <v>5</v>
      </c>
      <c r="H322" t="n">
        <v>0</v>
      </c>
      <c r="I322" t="n">
        <v>0</v>
      </c>
      <c r="J322" t="n">
        <v>0</v>
      </c>
      <c r="K322" t="n">
        <v>0</v>
      </c>
      <c r="L322" t="n">
        <v>0</v>
      </c>
      <c r="M322" t="n">
        <v>0</v>
      </c>
      <c r="N322" t="n">
        <v>0</v>
      </c>
      <c r="O322" t="n">
        <v>0</v>
      </c>
      <c r="P322" t="n">
        <v>0</v>
      </c>
      <c r="Q322" t="n">
        <v>0</v>
      </c>
      <c r="R322" s="2" t="inlineStr"/>
    </row>
    <row r="323" ht="15" customHeight="1">
      <c r="A323" t="inlineStr">
        <is>
          <t>A 34312-2024</t>
        </is>
      </c>
      <c r="B323" s="1" t="n">
        <v>45524.69703703704</v>
      </c>
      <c r="C323" s="1" t="n">
        <v>46030</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26660-2025</t>
        </is>
      </c>
      <c r="B324" s="1" t="n">
        <v>45810.39737268518</v>
      </c>
      <c r="C324" s="1" t="n">
        <v>46030</v>
      </c>
      <c r="D324" t="inlineStr">
        <is>
          <t>GOTLANDS LÄN</t>
        </is>
      </c>
      <c r="E324" t="inlineStr">
        <is>
          <t>GOTLAND</t>
        </is>
      </c>
      <c r="G324" t="n">
        <v>1.8</v>
      </c>
      <c r="H324" t="n">
        <v>0</v>
      </c>
      <c r="I324" t="n">
        <v>0</v>
      </c>
      <c r="J324" t="n">
        <v>0</v>
      </c>
      <c r="K324" t="n">
        <v>0</v>
      </c>
      <c r="L324" t="n">
        <v>0</v>
      </c>
      <c r="M324" t="n">
        <v>0</v>
      </c>
      <c r="N324" t="n">
        <v>0</v>
      </c>
      <c r="O324" t="n">
        <v>0</v>
      </c>
      <c r="P324" t="n">
        <v>0</v>
      </c>
      <c r="Q324" t="n">
        <v>0</v>
      </c>
      <c r="R324" s="2" t="inlineStr"/>
    </row>
    <row r="325" ht="15" customHeight="1">
      <c r="A325" t="inlineStr">
        <is>
          <t>A 27355-2025</t>
        </is>
      </c>
      <c r="B325" s="1" t="n">
        <v>45812</v>
      </c>
      <c r="C325" s="1" t="n">
        <v>46030</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46030</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27371-2025</t>
        </is>
      </c>
      <c r="B327" s="1" t="n">
        <v>45812</v>
      </c>
      <c r="C327" s="1" t="n">
        <v>46030</v>
      </c>
      <c r="D327" t="inlineStr">
        <is>
          <t>GOTLANDS LÄN</t>
        </is>
      </c>
      <c r="E327" t="inlineStr">
        <is>
          <t>GOTLAND</t>
        </is>
      </c>
      <c r="G327" t="n">
        <v>8</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46030</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10158-2025</t>
        </is>
      </c>
      <c r="B329" s="1" t="n">
        <v>45719</v>
      </c>
      <c r="C329" s="1" t="n">
        <v>46030</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7850-2025</t>
        </is>
      </c>
      <c r="B330" s="1" t="n">
        <v>45706</v>
      </c>
      <c r="C330" s="1" t="n">
        <v>46030</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22031-2024</t>
        </is>
      </c>
      <c r="B331" s="1" t="n">
        <v>45443.60075231481</v>
      </c>
      <c r="C331" s="1" t="n">
        <v>46030</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6739-2025</t>
        </is>
      </c>
      <c r="B332" s="1" t="n">
        <v>45700</v>
      </c>
      <c r="C332" s="1" t="n">
        <v>46030</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17688-2024</t>
        </is>
      </c>
      <c r="B333" s="1" t="n">
        <v>45418.43575231481</v>
      </c>
      <c r="C333" s="1" t="n">
        <v>46030</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43911-2025</t>
        </is>
      </c>
      <c r="B334" s="1" t="n">
        <v>45914.3881712963</v>
      </c>
      <c r="C334" s="1" t="n">
        <v>46030</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8444-2025</t>
        </is>
      </c>
      <c r="B335" s="1" t="n">
        <v>45709</v>
      </c>
      <c r="C335" s="1" t="n">
        <v>46030</v>
      </c>
      <c r="D335" t="inlineStr">
        <is>
          <t>GOTLANDS LÄN</t>
        </is>
      </c>
      <c r="E335" t="inlineStr">
        <is>
          <t>GOTLAND</t>
        </is>
      </c>
      <c r="G335" t="n">
        <v>5.2</v>
      </c>
      <c r="H335" t="n">
        <v>0</v>
      </c>
      <c r="I335" t="n">
        <v>0</v>
      </c>
      <c r="J335" t="n">
        <v>0</v>
      </c>
      <c r="K335" t="n">
        <v>0</v>
      </c>
      <c r="L335" t="n">
        <v>0</v>
      </c>
      <c r="M335" t="n">
        <v>0</v>
      </c>
      <c r="N335" t="n">
        <v>0</v>
      </c>
      <c r="O335" t="n">
        <v>0</v>
      </c>
      <c r="P335" t="n">
        <v>0</v>
      </c>
      <c r="Q335" t="n">
        <v>0</v>
      </c>
      <c r="R335" s="2" t="inlineStr"/>
    </row>
    <row r="336" ht="15" customHeight="1">
      <c r="A336" t="inlineStr">
        <is>
          <t>A 19905-2025</t>
        </is>
      </c>
      <c r="B336" s="1" t="n">
        <v>45771</v>
      </c>
      <c r="C336" s="1" t="n">
        <v>46030</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43951-2025</t>
        </is>
      </c>
      <c r="B337" s="1" t="n">
        <v>45915.38119212963</v>
      </c>
      <c r="C337" s="1" t="n">
        <v>46030</v>
      </c>
      <c r="D337" t="inlineStr">
        <is>
          <t>GOTLANDS LÄN</t>
        </is>
      </c>
      <c r="E337" t="inlineStr">
        <is>
          <t>GOTLAND</t>
        </is>
      </c>
      <c r="G337" t="n">
        <v>4.4</v>
      </c>
      <c r="H337" t="n">
        <v>0</v>
      </c>
      <c r="I337" t="n">
        <v>0</v>
      </c>
      <c r="J337" t="n">
        <v>0</v>
      </c>
      <c r="K337" t="n">
        <v>0</v>
      </c>
      <c r="L337" t="n">
        <v>0</v>
      </c>
      <c r="M337" t="n">
        <v>0</v>
      </c>
      <c r="N337" t="n">
        <v>0</v>
      </c>
      <c r="O337" t="n">
        <v>0</v>
      </c>
      <c r="P337" t="n">
        <v>0</v>
      </c>
      <c r="Q337" t="n">
        <v>0</v>
      </c>
      <c r="R337" s="2" t="inlineStr"/>
    </row>
    <row r="338" ht="15" customHeight="1">
      <c r="A338" t="inlineStr">
        <is>
          <t>A 27694-2024</t>
        </is>
      </c>
      <c r="B338" s="1" t="n">
        <v>45475</v>
      </c>
      <c r="C338" s="1" t="n">
        <v>46030</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44410-2025</t>
        </is>
      </c>
      <c r="B339" s="1" t="n">
        <v>45916.53699074074</v>
      </c>
      <c r="C339" s="1" t="n">
        <v>46030</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39764-2022</t>
        </is>
      </c>
      <c r="B340" s="1" t="n">
        <v>44819</v>
      </c>
      <c r="C340" s="1" t="n">
        <v>46030</v>
      </c>
      <c r="D340" t="inlineStr">
        <is>
          <t>GOTLANDS LÄN</t>
        </is>
      </c>
      <c r="E340" t="inlineStr">
        <is>
          <t>GOTLAND</t>
        </is>
      </c>
      <c r="F340" t="inlineStr">
        <is>
          <t>Kyrkan</t>
        </is>
      </c>
      <c r="G340" t="n">
        <v>3.7</v>
      </c>
      <c r="H340" t="n">
        <v>0</v>
      </c>
      <c r="I340" t="n">
        <v>0</v>
      </c>
      <c r="J340" t="n">
        <v>0</v>
      </c>
      <c r="K340" t="n">
        <v>0</v>
      </c>
      <c r="L340" t="n">
        <v>0</v>
      </c>
      <c r="M340" t="n">
        <v>0</v>
      </c>
      <c r="N340" t="n">
        <v>0</v>
      </c>
      <c r="O340" t="n">
        <v>0</v>
      </c>
      <c r="P340" t="n">
        <v>0</v>
      </c>
      <c r="Q340" t="n">
        <v>0</v>
      </c>
      <c r="R340" s="2" t="inlineStr"/>
    </row>
    <row r="341" ht="15" customHeight="1">
      <c r="A341" t="inlineStr">
        <is>
          <t>A 6099-2024</t>
        </is>
      </c>
      <c r="B341" s="1" t="n">
        <v>45337</v>
      </c>
      <c r="C341" s="1" t="n">
        <v>46030</v>
      </c>
      <c r="D341" t="inlineStr">
        <is>
          <t>GOTLANDS LÄN</t>
        </is>
      </c>
      <c r="E341" t="inlineStr">
        <is>
          <t>GOTLAND</t>
        </is>
      </c>
      <c r="G341" t="n">
        <v>12.6</v>
      </c>
      <c r="H341" t="n">
        <v>0</v>
      </c>
      <c r="I341" t="n">
        <v>0</v>
      </c>
      <c r="J341" t="n">
        <v>0</v>
      </c>
      <c r="K341" t="n">
        <v>0</v>
      </c>
      <c r="L341" t="n">
        <v>0</v>
      </c>
      <c r="M341" t="n">
        <v>0</v>
      </c>
      <c r="N341" t="n">
        <v>0</v>
      </c>
      <c r="O341" t="n">
        <v>0</v>
      </c>
      <c r="P341" t="n">
        <v>0</v>
      </c>
      <c r="Q341" t="n">
        <v>0</v>
      </c>
      <c r="R341" s="2" t="inlineStr"/>
    </row>
    <row r="342" ht="15" customHeight="1">
      <c r="A342" t="inlineStr">
        <is>
          <t>A 44405-2025</t>
        </is>
      </c>
      <c r="B342" s="1" t="n">
        <v>45916.52405092592</v>
      </c>
      <c r="C342" s="1" t="n">
        <v>46030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8260-2023</t>
        </is>
      </c>
      <c r="B343" s="1" t="n">
        <v>44974.61608796296</v>
      </c>
      <c r="C343" s="1" t="n">
        <v>46030</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29207-2025</t>
        </is>
      </c>
      <c r="B344" s="1" t="n">
        <v>45823</v>
      </c>
      <c r="C344" s="1" t="n">
        <v>46030</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22287-2022</t>
        </is>
      </c>
      <c r="B345" s="1" t="n">
        <v>44712</v>
      </c>
      <c r="C345" s="1" t="n">
        <v>46030</v>
      </c>
      <c r="D345" t="inlineStr">
        <is>
          <t>GOTLANDS LÄN</t>
        </is>
      </c>
      <c r="E345" t="inlineStr">
        <is>
          <t>GOTLAND</t>
        </is>
      </c>
      <c r="G345" t="n">
        <v>6.1</v>
      </c>
      <c r="H345" t="n">
        <v>0</v>
      </c>
      <c r="I345" t="n">
        <v>0</v>
      </c>
      <c r="J345" t="n">
        <v>0</v>
      </c>
      <c r="K345" t="n">
        <v>0</v>
      </c>
      <c r="L345" t="n">
        <v>0</v>
      </c>
      <c r="M345" t="n">
        <v>0</v>
      </c>
      <c r="N345" t="n">
        <v>0</v>
      </c>
      <c r="O345" t="n">
        <v>0</v>
      </c>
      <c r="P345" t="n">
        <v>0</v>
      </c>
      <c r="Q345" t="n">
        <v>0</v>
      </c>
      <c r="R345" s="2" t="inlineStr"/>
    </row>
    <row r="346" ht="15" customHeight="1">
      <c r="A346" t="inlineStr">
        <is>
          <t>A 29196-2025</t>
        </is>
      </c>
      <c r="B346" s="1" t="n">
        <v>45822</v>
      </c>
      <c r="C346" s="1" t="n">
        <v>46030</v>
      </c>
      <c r="D346" t="inlineStr">
        <is>
          <t>GOTLANDS LÄN</t>
        </is>
      </c>
      <c r="E346" t="inlineStr">
        <is>
          <t>GOTLAND</t>
        </is>
      </c>
      <c r="G346" t="n">
        <v>0.5</v>
      </c>
      <c r="H346" t="n">
        <v>0</v>
      </c>
      <c r="I346" t="n">
        <v>0</v>
      </c>
      <c r="J346" t="n">
        <v>0</v>
      </c>
      <c r="K346" t="n">
        <v>0</v>
      </c>
      <c r="L346" t="n">
        <v>0</v>
      </c>
      <c r="M346" t="n">
        <v>0</v>
      </c>
      <c r="N346" t="n">
        <v>0</v>
      </c>
      <c r="O346" t="n">
        <v>0</v>
      </c>
      <c r="P346" t="n">
        <v>0</v>
      </c>
      <c r="Q346" t="n">
        <v>0</v>
      </c>
      <c r="R346" s="2" t="inlineStr"/>
    </row>
    <row r="347" ht="15" customHeight="1">
      <c r="A347" t="inlineStr">
        <is>
          <t>A 57534-2022</t>
        </is>
      </c>
      <c r="B347" s="1" t="n">
        <v>44896</v>
      </c>
      <c r="C347" s="1" t="n">
        <v>46030</v>
      </c>
      <c r="D347" t="inlineStr">
        <is>
          <t>GOTLANDS LÄN</t>
        </is>
      </c>
      <c r="E347" t="inlineStr">
        <is>
          <t>GOTLAND</t>
        </is>
      </c>
      <c r="G347" t="n">
        <v>0.6</v>
      </c>
      <c r="H347" t="n">
        <v>0</v>
      </c>
      <c r="I347" t="n">
        <v>0</v>
      </c>
      <c r="J347" t="n">
        <v>0</v>
      </c>
      <c r="K347" t="n">
        <v>0</v>
      </c>
      <c r="L347" t="n">
        <v>0</v>
      </c>
      <c r="M347" t="n">
        <v>0</v>
      </c>
      <c r="N347" t="n">
        <v>0</v>
      </c>
      <c r="O347" t="n">
        <v>0</v>
      </c>
      <c r="P347" t="n">
        <v>0</v>
      </c>
      <c r="Q347" t="n">
        <v>0</v>
      </c>
      <c r="R347" s="2" t="inlineStr"/>
    </row>
    <row r="348" ht="15" customHeight="1">
      <c r="A348" t="inlineStr">
        <is>
          <t>A 30061-2025</t>
        </is>
      </c>
      <c r="B348" s="1" t="n">
        <v>45826.61488425926</v>
      </c>
      <c r="C348" s="1" t="n">
        <v>46030</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64660-2023</t>
        </is>
      </c>
      <c r="B349" s="1" t="n">
        <v>45281.60122685185</v>
      </c>
      <c r="C349" s="1" t="n">
        <v>46030</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58160-2024</t>
        </is>
      </c>
      <c r="B350" s="1" t="n">
        <v>45632.44927083333</v>
      </c>
      <c r="C350" s="1" t="n">
        <v>46030</v>
      </c>
      <c r="D350" t="inlineStr">
        <is>
          <t>GOTLANDS LÄN</t>
        </is>
      </c>
      <c r="E350" t="inlineStr">
        <is>
          <t>GOTLAND</t>
        </is>
      </c>
      <c r="G350" t="n">
        <v>5.6</v>
      </c>
      <c r="H350" t="n">
        <v>0</v>
      </c>
      <c r="I350" t="n">
        <v>0</v>
      </c>
      <c r="J350" t="n">
        <v>0</v>
      </c>
      <c r="K350" t="n">
        <v>0</v>
      </c>
      <c r="L350" t="n">
        <v>0</v>
      </c>
      <c r="M350" t="n">
        <v>0</v>
      </c>
      <c r="N350" t="n">
        <v>0</v>
      </c>
      <c r="O350" t="n">
        <v>0</v>
      </c>
      <c r="P350" t="n">
        <v>0</v>
      </c>
      <c r="Q350" t="n">
        <v>0</v>
      </c>
      <c r="R350" s="2" t="inlineStr"/>
    </row>
    <row r="351" ht="15" customHeight="1">
      <c r="A351" t="inlineStr">
        <is>
          <t>A 26391-2025</t>
        </is>
      </c>
      <c r="B351" s="1" t="n">
        <v>45806</v>
      </c>
      <c r="C351" s="1" t="n">
        <v>46030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20855-2023</t>
        </is>
      </c>
      <c r="B352" s="1" t="n">
        <v>45058.82172453704</v>
      </c>
      <c r="C352" s="1" t="n">
        <v>46030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46836-2025</t>
        </is>
      </c>
      <c r="B353" s="1" t="n">
        <v>45928.31511574074</v>
      </c>
      <c r="C353" s="1" t="n">
        <v>46030</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60709-2023</t>
        </is>
      </c>
      <c r="B354" s="1" t="n">
        <v>45260</v>
      </c>
      <c r="C354" s="1" t="n">
        <v>46030</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1000-2024</t>
        </is>
      </c>
      <c r="B355" s="1" t="n">
        <v>45301.63371527778</v>
      </c>
      <c r="C355" s="1" t="n">
        <v>46030</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1010-2024</t>
        </is>
      </c>
      <c r="B356" s="1" t="n">
        <v>45301</v>
      </c>
      <c r="C356" s="1" t="n">
        <v>46030</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47637-2025</t>
        </is>
      </c>
      <c r="B357" s="1" t="n">
        <v>45931.49753472222</v>
      </c>
      <c r="C357" s="1" t="n">
        <v>46030</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65249-2023</t>
        </is>
      </c>
      <c r="B358" s="1" t="n">
        <v>45290</v>
      </c>
      <c r="C358" s="1" t="n">
        <v>46030</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16109-2025</t>
        </is>
      </c>
      <c r="B359" s="1" t="n">
        <v>45750</v>
      </c>
      <c r="C359" s="1" t="n">
        <v>46030</v>
      </c>
      <c r="D359" t="inlineStr">
        <is>
          <t>GOTLANDS LÄN</t>
        </is>
      </c>
      <c r="E359" t="inlineStr">
        <is>
          <t>GOTLAND</t>
        </is>
      </c>
      <c r="G359" t="n">
        <v>4.9</v>
      </c>
      <c r="H359" t="n">
        <v>0</v>
      </c>
      <c r="I359" t="n">
        <v>0</v>
      </c>
      <c r="J359" t="n">
        <v>0</v>
      </c>
      <c r="K359" t="n">
        <v>0</v>
      </c>
      <c r="L359" t="n">
        <v>0</v>
      </c>
      <c r="M359" t="n">
        <v>0</v>
      </c>
      <c r="N359" t="n">
        <v>0</v>
      </c>
      <c r="O359" t="n">
        <v>0</v>
      </c>
      <c r="P359" t="n">
        <v>0</v>
      </c>
      <c r="Q359" t="n">
        <v>0</v>
      </c>
      <c r="R359" s="2" t="inlineStr"/>
    </row>
    <row r="360" ht="15" customHeight="1">
      <c r="A360" t="inlineStr">
        <is>
          <t>A 32467-2025</t>
        </is>
      </c>
      <c r="B360" s="1" t="n">
        <v>45838.42111111111</v>
      </c>
      <c r="C360" s="1" t="n">
        <v>46030</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30956-2024</t>
        </is>
      </c>
      <c r="B361" s="1" t="n">
        <v>45499.42527777778</v>
      </c>
      <c r="C361" s="1" t="n">
        <v>46030</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12596-2023</t>
        </is>
      </c>
      <c r="B362" s="1" t="n">
        <v>45000.43310185185</v>
      </c>
      <c r="C362" s="1" t="n">
        <v>46030</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8045-2022</t>
        </is>
      </c>
      <c r="B363" s="1" t="n">
        <v>44609</v>
      </c>
      <c r="C363" s="1" t="n">
        <v>46030</v>
      </c>
      <c r="D363" t="inlineStr">
        <is>
          <t>GOTLANDS LÄN</t>
        </is>
      </c>
      <c r="E363" t="inlineStr">
        <is>
          <t>GOTLAND</t>
        </is>
      </c>
      <c r="G363" t="n">
        <v>7</v>
      </c>
      <c r="H363" t="n">
        <v>0</v>
      </c>
      <c r="I363" t="n">
        <v>0</v>
      </c>
      <c r="J363" t="n">
        <v>0</v>
      </c>
      <c r="K363" t="n">
        <v>0</v>
      </c>
      <c r="L363" t="n">
        <v>0</v>
      </c>
      <c r="M363" t="n">
        <v>0</v>
      </c>
      <c r="N363" t="n">
        <v>0</v>
      </c>
      <c r="O363" t="n">
        <v>0</v>
      </c>
      <c r="P363" t="n">
        <v>0</v>
      </c>
      <c r="Q363" t="n">
        <v>0</v>
      </c>
      <c r="R363" s="2" t="inlineStr"/>
    </row>
    <row r="364" ht="15" customHeight="1">
      <c r="A364" t="inlineStr">
        <is>
          <t>A 32379-2025</t>
        </is>
      </c>
      <c r="B364" s="1" t="n">
        <v>45837</v>
      </c>
      <c r="C364" s="1" t="n">
        <v>46030</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32378-2025</t>
        </is>
      </c>
      <c r="B365" s="1" t="n">
        <v>45837</v>
      </c>
      <c r="C365" s="1" t="n">
        <v>46030</v>
      </c>
      <c r="D365" t="inlineStr">
        <is>
          <t>GOTLANDS LÄN</t>
        </is>
      </c>
      <c r="E365" t="inlineStr">
        <is>
          <t>GOTLAND</t>
        </is>
      </c>
      <c r="G365" t="n">
        <v>4.1</v>
      </c>
      <c r="H365" t="n">
        <v>0</v>
      </c>
      <c r="I365" t="n">
        <v>0</v>
      </c>
      <c r="J365" t="n">
        <v>0</v>
      </c>
      <c r="K365" t="n">
        <v>0</v>
      </c>
      <c r="L365" t="n">
        <v>0</v>
      </c>
      <c r="M365" t="n">
        <v>0</v>
      </c>
      <c r="N365" t="n">
        <v>0</v>
      </c>
      <c r="O365" t="n">
        <v>0</v>
      </c>
      <c r="P365" t="n">
        <v>0</v>
      </c>
      <c r="Q365" t="n">
        <v>0</v>
      </c>
      <c r="R365" s="2" t="inlineStr"/>
    </row>
    <row r="366" ht="15" customHeight="1">
      <c r="A366" t="inlineStr">
        <is>
          <t>A 33007-2025</t>
        </is>
      </c>
      <c r="B366" s="1" t="n">
        <v>45840</v>
      </c>
      <c r="C366" s="1" t="n">
        <v>46030</v>
      </c>
      <c r="D366" t="inlineStr">
        <is>
          <t>GOTLANDS LÄN</t>
        </is>
      </c>
      <c r="E366" t="inlineStr">
        <is>
          <t>GOTLAND</t>
        </is>
      </c>
      <c r="G366" t="n">
        <v>4.9</v>
      </c>
      <c r="H366" t="n">
        <v>0</v>
      </c>
      <c r="I366" t="n">
        <v>0</v>
      </c>
      <c r="J366" t="n">
        <v>0</v>
      </c>
      <c r="K366" t="n">
        <v>0</v>
      </c>
      <c r="L366" t="n">
        <v>0</v>
      </c>
      <c r="M366" t="n">
        <v>0</v>
      </c>
      <c r="N366" t="n">
        <v>0</v>
      </c>
      <c r="O366" t="n">
        <v>0</v>
      </c>
      <c r="P366" t="n">
        <v>0</v>
      </c>
      <c r="Q366" t="n">
        <v>0</v>
      </c>
      <c r="R366" s="2" t="inlineStr"/>
    </row>
    <row r="367" ht="15" customHeight="1">
      <c r="A367" t="inlineStr">
        <is>
          <t>A 35550-2025</t>
        </is>
      </c>
      <c r="B367" s="1" t="n">
        <v>45856.49324074074</v>
      </c>
      <c r="C367" s="1" t="n">
        <v>46030</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999-2024</t>
        </is>
      </c>
      <c r="B368" s="1" t="n">
        <v>45301</v>
      </c>
      <c r="C368" s="1" t="n">
        <v>46030</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65901-2021</t>
        </is>
      </c>
      <c r="B369" s="1" t="n">
        <v>44516</v>
      </c>
      <c r="C369" s="1" t="n">
        <v>46030</v>
      </c>
      <c r="D369" t="inlineStr">
        <is>
          <t>GOTLANDS LÄN</t>
        </is>
      </c>
      <c r="E369" t="inlineStr">
        <is>
          <t>GOTLAND</t>
        </is>
      </c>
      <c r="G369" t="n">
        <v>4.9</v>
      </c>
      <c r="H369" t="n">
        <v>0</v>
      </c>
      <c r="I369" t="n">
        <v>0</v>
      </c>
      <c r="J369" t="n">
        <v>0</v>
      </c>
      <c r="K369" t="n">
        <v>0</v>
      </c>
      <c r="L369" t="n">
        <v>0</v>
      </c>
      <c r="M369" t="n">
        <v>0</v>
      </c>
      <c r="N369" t="n">
        <v>0</v>
      </c>
      <c r="O369" t="n">
        <v>0</v>
      </c>
      <c r="P369" t="n">
        <v>0</v>
      </c>
      <c r="Q369" t="n">
        <v>0</v>
      </c>
      <c r="R369" s="2" t="inlineStr"/>
    </row>
    <row r="370" ht="15" customHeight="1">
      <c r="A370" t="inlineStr">
        <is>
          <t>A 47762-2023</t>
        </is>
      </c>
      <c r="B370" s="1" t="n">
        <v>45203.86256944444</v>
      </c>
      <c r="C370" s="1" t="n">
        <v>46030</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47578-2025</t>
        </is>
      </c>
      <c r="B371" s="1" t="n">
        <v>45931</v>
      </c>
      <c r="C371" s="1" t="n">
        <v>46030</v>
      </c>
      <c r="D371" t="inlineStr">
        <is>
          <t>GOTLANDS LÄN</t>
        </is>
      </c>
      <c r="E371" t="inlineStr">
        <is>
          <t>GOTLAND</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40294-2022</t>
        </is>
      </c>
      <c r="B372" s="1" t="n">
        <v>44821</v>
      </c>
      <c r="C372" s="1" t="n">
        <v>46030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27602-2023</t>
        </is>
      </c>
      <c r="B373" s="1" t="n">
        <v>45097</v>
      </c>
      <c r="C373" s="1" t="n">
        <v>46030</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46030</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58780-2024</t>
        </is>
      </c>
      <c r="B375" s="1" t="n">
        <v>45635.84113425926</v>
      </c>
      <c r="C375" s="1" t="n">
        <v>46030</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12322-2025</t>
        </is>
      </c>
      <c r="B376" s="1" t="n">
        <v>45730</v>
      </c>
      <c r="C376" s="1" t="n">
        <v>46030</v>
      </c>
      <c r="D376" t="inlineStr">
        <is>
          <t>GOTLANDS LÄN</t>
        </is>
      </c>
      <c r="E376" t="inlineStr">
        <is>
          <t>GOTLAND</t>
        </is>
      </c>
      <c r="G376" t="n">
        <v>1.4</v>
      </c>
      <c r="H376" t="n">
        <v>0</v>
      </c>
      <c r="I376" t="n">
        <v>0</v>
      </c>
      <c r="J376" t="n">
        <v>0</v>
      </c>
      <c r="K376" t="n">
        <v>0</v>
      </c>
      <c r="L376" t="n">
        <v>0</v>
      </c>
      <c r="M376" t="n">
        <v>0</v>
      </c>
      <c r="N376" t="n">
        <v>0</v>
      </c>
      <c r="O376" t="n">
        <v>0</v>
      </c>
      <c r="P376" t="n">
        <v>0</v>
      </c>
      <c r="Q376" t="n">
        <v>0</v>
      </c>
      <c r="R376" s="2" t="inlineStr"/>
    </row>
    <row r="377" ht="15" customHeight="1">
      <c r="A377" t="inlineStr">
        <is>
          <t>A 49690-2025</t>
        </is>
      </c>
      <c r="B377" s="1" t="n">
        <v>45939.66730324074</v>
      </c>
      <c r="C377" s="1" t="n">
        <v>46030</v>
      </c>
      <c r="D377" t="inlineStr">
        <is>
          <t>GOTLANDS LÄN</t>
        </is>
      </c>
      <c r="E377" t="inlineStr">
        <is>
          <t>GOTLAND</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15413-2025</t>
        </is>
      </c>
      <c r="B378" s="1" t="n">
        <v>45747.451875</v>
      </c>
      <c r="C378" s="1" t="n">
        <v>46030</v>
      </c>
      <c r="D378" t="inlineStr">
        <is>
          <t>GOTLANDS LÄN</t>
        </is>
      </c>
      <c r="E378" t="inlineStr">
        <is>
          <t>GOTLAND</t>
        </is>
      </c>
      <c r="G378" t="n">
        <v>0.6</v>
      </c>
      <c r="H378" t="n">
        <v>0</v>
      </c>
      <c r="I378" t="n">
        <v>0</v>
      </c>
      <c r="J378" t="n">
        <v>0</v>
      </c>
      <c r="K378" t="n">
        <v>0</v>
      </c>
      <c r="L378" t="n">
        <v>0</v>
      </c>
      <c r="M378" t="n">
        <v>0</v>
      </c>
      <c r="N378" t="n">
        <v>0</v>
      </c>
      <c r="O378" t="n">
        <v>0</v>
      </c>
      <c r="P378" t="n">
        <v>0</v>
      </c>
      <c r="Q378" t="n">
        <v>0</v>
      </c>
      <c r="R378" s="2" t="inlineStr"/>
    </row>
    <row r="379" ht="15" customHeight="1">
      <c r="A379" t="inlineStr">
        <is>
          <t>A 24192-2023</t>
        </is>
      </c>
      <c r="B379" s="1" t="n">
        <v>45079</v>
      </c>
      <c r="C379" s="1" t="n">
        <v>46030</v>
      </c>
      <c r="D379" t="inlineStr">
        <is>
          <t>GOTLANDS LÄN</t>
        </is>
      </c>
      <c r="E379" t="inlineStr">
        <is>
          <t>GOTLAND</t>
        </is>
      </c>
      <c r="G379" t="n">
        <v>2.1</v>
      </c>
      <c r="H379" t="n">
        <v>0</v>
      </c>
      <c r="I379" t="n">
        <v>0</v>
      </c>
      <c r="J379" t="n">
        <v>0</v>
      </c>
      <c r="K379" t="n">
        <v>0</v>
      </c>
      <c r="L379" t="n">
        <v>0</v>
      </c>
      <c r="M379" t="n">
        <v>0</v>
      </c>
      <c r="N379" t="n">
        <v>0</v>
      </c>
      <c r="O379" t="n">
        <v>0</v>
      </c>
      <c r="P379" t="n">
        <v>0</v>
      </c>
      <c r="Q379" t="n">
        <v>0</v>
      </c>
      <c r="R379" s="2" t="inlineStr"/>
    </row>
    <row r="380" ht="15" customHeight="1">
      <c r="A380" t="inlineStr">
        <is>
          <t>A 30282-2022</t>
        </is>
      </c>
      <c r="B380" s="1" t="n">
        <v>44760</v>
      </c>
      <c r="C380" s="1" t="n">
        <v>46030</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35096-2025</t>
        </is>
      </c>
      <c r="B381" s="1" t="n">
        <v>45852.54356481481</v>
      </c>
      <c r="C381" s="1" t="n">
        <v>46030</v>
      </c>
      <c r="D381" t="inlineStr">
        <is>
          <t>GOTLANDS LÄN</t>
        </is>
      </c>
      <c r="E381" t="inlineStr">
        <is>
          <t>GOTLAND</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7835-2024</t>
        </is>
      </c>
      <c r="B382" s="1" t="n">
        <v>45349.83138888889</v>
      </c>
      <c r="C382" s="1" t="n">
        <v>46030</v>
      </c>
      <c r="D382" t="inlineStr">
        <is>
          <t>GOTLANDS LÄN</t>
        </is>
      </c>
      <c r="E382" t="inlineStr">
        <is>
          <t>GOTLAND</t>
        </is>
      </c>
      <c r="G382" t="n">
        <v>3.8</v>
      </c>
      <c r="H382" t="n">
        <v>0</v>
      </c>
      <c r="I382" t="n">
        <v>0</v>
      </c>
      <c r="J382" t="n">
        <v>0</v>
      </c>
      <c r="K382" t="n">
        <v>0</v>
      </c>
      <c r="L382" t="n">
        <v>0</v>
      </c>
      <c r="M382" t="n">
        <v>0</v>
      </c>
      <c r="N382" t="n">
        <v>0</v>
      </c>
      <c r="O382" t="n">
        <v>0</v>
      </c>
      <c r="P382" t="n">
        <v>0</v>
      </c>
      <c r="Q382" t="n">
        <v>0</v>
      </c>
      <c r="R382" s="2" t="inlineStr"/>
    </row>
    <row r="383" ht="15" customHeight="1">
      <c r="A383" t="inlineStr">
        <is>
          <t>A 49724-2025</t>
        </is>
      </c>
      <c r="B383" s="1" t="n">
        <v>45939.83730324074</v>
      </c>
      <c r="C383" s="1" t="n">
        <v>46030</v>
      </c>
      <c r="D383" t="inlineStr">
        <is>
          <t>GOTLANDS LÄN</t>
        </is>
      </c>
      <c r="E383" t="inlineStr">
        <is>
          <t>GOTLAND</t>
        </is>
      </c>
      <c r="F383" t="inlineStr">
        <is>
          <t>Kyrkan</t>
        </is>
      </c>
      <c r="G383" t="n">
        <v>3.1</v>
      </c>
      <c r="H383" t="n">
        <v>0</v>
      </c>
      <c r="I383" t="n">
        <v>0</v>
      </c>
      <c r="J383" t="n">
        <v>0</v>
      </c>
      <c r="K383" t="n">
        <v>0</v>
      </c>
      <c r="L383" t="n">
        <v>0</v>
      </c>
      <c r="M383" t="n">
        <v>0</v>
      </c>
      <c r="N383" t="n">
        <v>0</v>
      </c>
      <c r="O383" t="n">
        <v>0</v>
      </c>
      <c r="P383" t="n">
        <v>0</v>
      </c>
      <c r="Q383" t="n">
        <v>0</v>
      </c>
      <c r="R383" s="2" t="inlineStr"/>
    </row>
    <row r="384" ht="15" customHeight="1">
      <c r="A384" t="inlineStr">
        <is>
          <t>A 49730-2025</t>
        </is>
      </c>
      <c r="B384" s="1" t="n">
        <v>45939.87613425926</v>
      </c>
      <c r="C384" s="1" t="n">
        <v>46030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36-2026</t>
        </is>
      </c>
      <c r="B385" s="1" t="n">
        <v>46024.38886574074</v>
      </c>
      <c r="C385" s="1" t="n">
        <v>46030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35123-2025</t>
        </is>
      </c>
      <c r="B386" s="1" t="n">
        <v>45852.614375</v>
      </c>
      <c r="C386" s="1" t="n">
        <v>46030</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10650-2022</t>
        </is>
      </c>
      <c r="B387" s="1" t="n">
        <v>44624.57945601852</v>
      </c>
      <c r="C387" s="1" t="n">
        <v>46030</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35290-2025</t>
        </is>
      </c>
      <c r="B388" s="1" t="n">
        <v>45854.38502314815</v>
      </c>
      <c r="C388" s="1" t="n">
        <v>46030</v>
      </c>
      <c r="D388" t="inlineStr">
        <is>
          <t>GOTLANDS LÄN</t>
        </is>
      </c>
      <c r="E388" t="inlineStr">
        <is>
          <t>GOTLAND</t>
        </is>
      </c>
      <c r="G388" t="n">
        <v>5.4</v>
      </c>
      <c r="H388" t="n">
        <v>0</v>
      </c>
      <c r="I388" t="n">
        <v>0</v>
      </c>
      <c r="J388" t="n">
        <v>0</v>
      </c>
      <c r="K388" t="n">
        <v>0</v>
      </c>
      <c r="L388" t="n">
        <v>0</v>
      </c>
      <c r="M388" t="n">
        <v>0</v>
      </c>
      <c r="N388" t="n">
        <v>0</v>
      </c>
      <c r="O388" t="n">
        <v>0</v>
      </c>
      <c r="P388" t="n">
        <v>0</v>
      </c>
      <c r="Q388" t="n">
        <v>0</v>
      </c>
      <c r="R388" s="2" t="inlineStr"/>
    </row>
    <row r="389" ht="15" customHeight="1">
      <c r="A389" t="inlineStr">
        <is>
          <t>A 50421-2025</t>
        </is>
      </c>
      <c r="B389" s="1" t="n">
        <v>45944.66049768519</v>
      </c>
      <c r="C389" s="1" t="n">
        <v>46030</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26810-2021</t>
        </is>
      </c>
      <c r="B390" s="1" t="n">
        <v>44349.55087962963</v>
      </c>
      <c r="C390" s="1" t="n">
        <v>46030</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30104-2025</t>
        </is>
      </c>
      <c r="B391" s="1" t="n">
        <v>45826.68806712963</v>
      </c>
      <c r="C391" s="1" t="n">
        <v>46030</v>
      </c>
      <c r="D391" t="inlineStr">
        <is>
          <t>GOTLANDS LÄN</t>
        </is>
      </c>
      <c r="E391" t="inlineStr">
        <is>
          <t>GOTLAND</t>
        </is>
      </c>
      <c r="G391" t="n">
        <v>15.4</v>
      </c>
      <c r="H391" t="n">
        <v>0</v>
      </c>
      <c r="I391" t="n">
        <v>0</v>
      </c>
      <c r="J391" t="n">
        <v>0</v>
      </c>
      <c r="K391" t="n">
        <v>0</v>
      </c>
      <c r="L391" t="n">
        <v>0</v>
      </c>
      <c r="M391" t="n">
        <v>0</v>
      </c>
      <c r="N391" t="n">
        <v>0</v>
      </c>
      <c r="O391" t="n">
        <v>0</v>
      </c>
      <c r="P391" t="n">
        <v>0</v>
      </c>
      <c r="Q391" t="n">
        <v>0</v>
      </c>
      <c r="R391" s="2" t="inlineStr"/>
    </row>
    <row r="392" ht="15" customHeight="1">
      <c r="A392" t="inlineStr">
        <is>
          <t>A 32669-2024</t>
        </is>
      </c>
      <c r="B392" s="1" t="n">
        <v>45514</v>
      </c>
      <c r="C392" s="1" t="n">
        <v>46030</v>
      </c>
      <c r="D392" t="inlineStr">
        <is>
          <t>GOTLANDS LÄN</t>
        </is>
      </c>
      <c r="E392" t="inlineStr">
        <is>
          <t>GOTLAND</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50431-2025</t>
        </is>
      </c>
      <c r="B393" s="1" t="n">
        <v>45944.68453703704</v>
      </c>
      <c r="C393" s="1" t="n">
        <v>46030</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35537-2025</t>
        </is>
      </c>
      <c r="B394" s="1" t="n">
        <v>45856</v>
      </c>
      <c r="C394" s="1" t="n">
        <v>46030</v>
      </c>
      <c r="D394" t="inlineStr">
        <is>
          <t>GOTLANDS LÄN</t>
        </is>
      </c>
      <c r="E394" t="inlineStr">
        <is>
          <t>GOTLAND</t>
        </is>
      </c>
      <c r="G394" t="n">
        <v>16.8</v>
      </c>
      <c r="H394" t="n">
        <v>0</v>
      </c>
      <c r="I394" t="n">
        <v>0</v>
      </c>
      <c r="J394" t="n">
        <v>0</v>
      </c>
      <c r="K394" t="n">
        <v>0</v>
      </c>
      <c r="L394" t="n">
        <v>0</v>
      </c>
      <c r="M394" t="n">
        <v>0</v>
      </c>
      <c r="N394" t="n">
        <v>0</v>
      </c>
      <c r="O394" t="n">
        <v>0</v>
      </c>
      <c r="P394" t="n">
        <v>0</v>
      </c>
      <c r="Q394" t="n">
        <v>0</v>
      </c>
      <c r="R394" s="2" t="inlineStr"/>
    </row>
    <row r="395" ht="15" customHeight="1">
      <c r="A395" t="inlineStr">
        <is>
          <t>A 28425-2023</t>
        </is>
      </c>
      <c r="B395" s="1" t="n">
        <v>45102</v>
      </c>
      <c r="C395" s="1" t="n">
        <v>46030</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13037-2025</t>
        </is>
      </c>
      <c r="B396" s="1" t="n">
        <v>45734</v>
      </c>
      <c r="C396" s="1" t="n">
        <v>46030</v>
      </c>
      <c r="D396" t="inlineStr">
        <is>
          <t>GOTLANDS LÄN</t>
        </is>
      </c>
      <c r="E396" t="inlineStr">
        <is>
          <t>GOTLAND</t>
        </is>
      </c>
      <c r="G396" t="n">
        <v>9.5</v>
      </c>
      <c r="H396" t="n">
        <v>0</v>
      </c>
      <c r="I396" t="n">
        <v>0</v>
      </c>
      <c r="J396" t="n">
        <v>0</v>
      </c>
      <c r="K396" t="n">
        <v>0</v>
      </c>
      <c r="L396" t="n">
        <v>0</v>
      </c>
      <c r="M396" t="n">
        <v>0</v>
      </c>
      <c r="N396" t="n">
        <v>0</v>
      </c>
      <c r="O396" t="n">
        <v>0</v>
      </c>
      <c r="P396" t="n">
        <v>0</v>
      </c>
      <c r="Q396" t="n">
        <v>0</v>
      </c>
      <c r="R396" s="2" t="inlineStr"/>
    </row>
    <row r="397" ht="15" customHeight="1">
      <c r="A397" t="inlineStr">
        <is>
          <t>A 59197-2025</t>
        </is>
      </c>
      <c r="B397" s="1" t="n">
        <v>45988.59846064815</v>
      </c>
      <c r="C397" s="1" t="n">
        <v>46030</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30488-2025</t>
        </is>
      </c>
      <c r="B398" s="1" t="n">
        <v>45830</v>
      </c>
      <c r="C398" s="1" t="n">
        <v>46030</v>
      </c>
      <c r="D398" t="inlineStr">
        <is>
          <t>GOTLANDS LÄN</t>
        </is>
      </c>
      <c r="E398" t="inlineStr">
        <is>
          <t>GOTLAND</t>
        </is>
      </c>
      <c r="F398" t="inlineStr">
        <is>
          <t>Kyrkan</t>
        </is>
      </c>
      <c r="G398" t="n">
        <v>3.9</v>
      </c>
      <c r="H398" t="n">
        <v>0</v>
      </c>
      <c r="I398" t="n">
        <v>0</v>
      </c>
      <c r="J398" t="n">
        <v>0</v>
      </c>
      <c r="K398" t="n">
        <v>0</v>
      </c>
      <c r="L398" t="n">
        <v>0</v>
      </c>
      <c r="M398" t="n">
        <v>0</v>
      </c>
      <c r="N398" t="n">
        <v>0</v>
      </c>
      <c r="O398" t="n">
        <v>0</v>
      </c>
      <c r="P398" t="n">
        <v>0</v>
      </c>
      <c r="Q398" t="n">
        <v>0</v>
      </c>
      <c r="R398" s="2" t="inlineStr"/>
    </row>
    <row r="399" ht="15" customHeight="1">
      <c r="A399" t="inlineStr">
        <is>
          <t>A 15216-2025</t>
        </is>
      </c>
      <c r="B399" s="1" t="n">
        <v>45744</v>
      </c>
      <c r="C399" s="1" t="n">
        <v>46030</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15001-2025</t>
        </is>
      </c>
      <c r="B400" s="1" t="n">
        <v>45743</v>
      </c>
      <c r="C400" s="1" t="n">
        <v>46030</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47147-2025</t>
        </is>
      </c>
      <c r="B401" s="1" t="n">
        <v>45929</v>
      </c>
      <c r="C401" s="1" t="n">
        <v>46030</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43790-2024</t>
        </is>
      </c>
      <c r="B402" s="1" t="n">
        <v>45571</v>
      </c>
      <c r="C402" s="1" t="n">
        <v>46030</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17847-2025</t>
        </is>
      </c>
      <c r="B403" s="1" t="n">
        <v>45758</v>
      </c>
      <c r="C403" s="1" t="n">
        <v>46030</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50928-2025</t>
        </is>
      </c>
      <c r="B404" s="1" t="n">
        <v>45946.67896990741</v>
      </c>
      <c r="C404" s="1" t="n">
        <v>46030</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36319-2025</t>
        </is>
      </c>
      <c r="B405" s="1" t="n">
        <v>45868</v>
      </c>
      <c r="C405" s="1" t="n">
        <v>46030</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51262-2025</t>
        </is>
      </c>
      <c r="B406" s="1" t="n">
        <v>45949.49872685185</v>
      </c>
      <c r="C406" s="1" t="n">
        <v>46030</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18742-2025</t>
        </is>
      </c>
      <c r="B407" s="1" t="n">
        <v>45763</v>
      </c>
      <c r="C407" s="1" t="n">
        <v>46030</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35129-2025</t>
        </is>
      </c>
      <c r="B408" s="1" t="n">
        <v>45852.63224537037</v>
      </c>
      <c r="C408" s="1" t="n">
        <v>46030</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46030</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43229-2023</t>
        </is>
      </c>
      <c r="B410" s="1" t="n">
        <v>45183.46704861111</v>
      </c>
      <c r="C410" s="1" t="n">
        <v>46030</v>
      </c>
      <c r="D410" t="inlineStr">
        <is>
          <t>GOTLANDS LÄN</t>
        </is>
      </c>
      <c r="E410" t="inlineStr">
        <is>
          <t>GOTLAND</t>
        </is>
      </c>
      <c r="G410" t="n">
        <v>7.1</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46030</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21142-2025</t>
        </is>
      </c>
      <c r="B412" s="1" t="n">
        <v>45779</v>
      </c>
      <c r="C412" s="1" t="n">
        <v>46030</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6108-2025</t>
        </is>
      </c>
      <c r="B413" s="1" t="n">
        <v>45698.29880787037</v>
      </c>
      <c r="C413" s="1" t="n">
        <v>46030</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41038-2023</t>
        </is>
      </c>
      <c r="B414" s="1" t="n">
        <v>45173.60959490741</v>
      </c>
      <c r="C414" s="1" t="n">
        <v>46030</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17343-2025</t>
        </is>
      </c>
      <c r="B415" s="1" t="n">
        <v>45756.6687037037</v>
      </c>
      <c r="C415" s="1" t="n">
        <v>46030</v>
      </c>
      <c r="D415" t="inlineStr">
        <is>
          <t>GOTLANDS LÄN</t>
        </is>
      </c>
      <c r="E415" t="inlineStr">
        <is>
          <t>GOTLAND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52249-2025</t>
        </is>
      </c>
      <c r="B416" s="1" t="n">
        <v>45953.48637731482</v>
      </c>
      <c r="C416" s="1" t="n">
        <v>46030</v>
      </c>
      <c r="D416" t="inlineStr">
        <is>
          <t>GOTLANDS LÄN</t>
        </is>
      </c>
      <c r="E416" t="inlineStr">
        <is>
          <t>GOTLAND</t>
        </is>
      </c>
      <c r="F416" t="inlineStr">
        <is>
          <t>Övriga Aktiebolag</t>
        </is>
      </c>
      <c r="G416" t="n">
        <v>1</v>
      </c>
      <c r="H416" t="n">
        <v>0</v>
      </c>
      <c r="I416" t="n">
        <v>0</v>
      </c>
      <c r="J416" t="n">
        <v>0</v>
      </c>
      <c r="K416" t="n">
        <v>0</v>
      </c>
      <c r="L416" t="n">
        <v>0</v>
      </c>
      <c r="M416" t="n">
        <v>0</v>
      </c>
      <c r="N416" t="n">
        <v>0</v>
      </c>
      <c r="O416" t="n">
        <v>0</v>
      </c>
      <c r="P416" t="n">
        <v>0</v>
      </c>
      <c r="Q416" t="n">
        <v>0</v>
      </c>
      <c r="R416" s="2" t="inlineStr"/>
    </row>
    <row r="417" ht="15" customHeight="1">
      <c r="A417" t="inlineStr">
        <is>
          <t>A 18938-2025</t>
        </is>
      </c>
      <c r="B417" s="1" t="n">
        <v>45764.49172453704</v>
      </c>
      <c r="C417" s="1" t="n">
        <v>46030</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20307-2025</t>
        </is>
      </c>
      <c r="B418" s="1" t="n">
        <v>45774.95546296296</v>
      </c>
      <c r="C418" s="1" t="n">
        <v>46030</v>
      </c>
      <c r="D418" t="inlineStr">
        <is>
          <t>GOTLANDS LÄN</t>
        </is>
      </c>
      <c r="E418" t="inlineStr">
        <is>
          <t>GOTLAND</t>
        </is>
      </c>
      <c r="G418" t="n">
        <v>6.8</v>
      </c>
      <c r="H418" t="n">
        <v>0</v>
      </c>
      <c r="I418" t="n">
        <v>0</v>
      </c>
      <c r="J418" t="n">
        <v>0</v>
      </c>
      <c r="K418" t="n">
        <v>0</v>
      </c>
      <c r="L418" t="n">
        <v>0</v>
      </c>
      <c r="M418" t="n">
        <v>0</v>
      </c>
      <c r="N418" t="n">
        <v>0</v>
      </c>
      <c r="O418" t="n">
        <v>0</v>
      </c>
      <c r="P418" t="n">
        <v>0</v>
      </c>
      <c r="Q418" t="n">
        <v>0</v>
      </c>
      <c r="R418" s="2" t="inlineStr"/>
    </row>
    <row r="419" ht="15" customHeight="1">
      <c r="A419" t="inlineStr">
        <is>
          <t>A 52637-2025</t>
        </is>
      </c>
      <c r="B419" s="1" t="n">
        <v>45954.75099537037</v>
      </c>
      <c r="C419" s="1" t="n">
        <v>46030</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18993-2025</t>
        </is>
      </c>
      <c r="B420" s="1" t="n">
        <v>45764</v>
      </c>
      <c r="C420" s="1" t="n">
        <v>46030</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30135-2025</t>
        </is>
      </c>
      <c r="B421" s="1" t="n">
        <v>45826</v>
      </c>
      <c r="C421" s="1" t="n">
        <v>46030</v>
      </c>
      <c r="D421" t="inlineStr">
        <is>
          <t>GOTLANDS LÄN</t>
        </is>
      </c>
      <c r="E421" t="inlineStr">
        <is>
          <t>GOTLAND</t>
        </is>
      </c>
      <c r="G421" t="n">
        <v>2.7</v>
      </c>
      <c r="H421" t="n">
        <v>0</v>
      </c>
      <c r="I421" t="n">
        <v>0</v>
      </c>
      <c r="J421" t="n">
        <v>0</v>
      </c>
      <c r="K421" t="n">
        <v>0</v>
      </c>
      <c r="L421" t="n">
        <v>0</v>
      </c>
      <c r="M421" t="n">
        <v>0</v>
      </c>
      <c r="N421" t="n">
        <v>0</v>
      </c>
      <c r="O421" t="n">
        <v>0</v>
      </c>
      <c r="P421" t="n">
        <v>0</v>
      </c>
      <c r="Q421" t="n">
        <v>0</v>
      </c>
      <c r="R421" s="2" t="inlineStr"/>
    </row>
    <row r="422" ht="15" customHeight="1">
      <c r="A422" t="inlineStr">
        <is>
          <t>A 24966-2023</t>
        </is>
      </c>
      <c r="B422" s="1" t="n">
        <v>45085</v>
      </c>
      <c r="C422" s="1" t="n">
        <v>46030</v>
      </c>
      <c r="D422" t="inlineStr">
        <is>
          <t>GOTLANDS LÄN</t>
        </is>
      </c>
      <c r="E422" t="inlineStr">
        <is>
          <t>GOTLAND</t>
        </is>
      </c>
      <c r="G422" t="n">
        <v>7</v>
      </c>
      <c r="H422" t="n">
        <v>0</v>
      </c>
      <c r="I422" t="n">
        <v>0</v>
      </c>
      <c r="J422" t="n">
        <v>0</v>
      </c>
      <c r="K422" t="n">
        <v>0</v>
      </c>
      <c r="L422" t="n">
        <v>0</v>
      </c>
      <c r="M422" t="n">
        <v>0</v>
      </c>
      <c r="N422" t="n">
        <v>0</v>
      </c>
      <c r="O422" t="n">
        <v>0</v>
      </c>
      <c r="P422" t="n">
        <v>0</v>
      </c>
      <c r="Q422" t="n">
        <v>0</v>
      </c>
      <c r="R422" s="2" t="inlineStr"/>
    </row>
    <row r="423" ht="15" customHeight="1">
      <c r="A423" t="inlineStr">
        <is>
          <t>A 57652-2023</t>
        </is>
      </c>
      <c r="B423" s="1" t="n">
        <v>45246</v>
      </c>
      <c r="C423" s="1" t="n">
        <v>46030</v>
      </c>
      <c r="D423" t="inlineStr">
        <is>
          <t>GOTLANDS LÄN</t>
        </is>
      </c>
      <c r="E423" t="inlineStr">
        <is>
          <t>GOTLAND</t>
        </is>
      </c>
      <c r="G423" t="n">
        <v>7.2</v>
      </c>
      <c r="H423" t="n">
        <v>0</v>
      </c>
      <c r="I423" t="n">
        <v>0</v>
      </c>
      <c r="J423" t="n">
        <v>0</v>
      </c>
      <c r="K423" t="n">
        <v>0</v>
      </c>
      <c r="L423" t="n">
        <v>0</v>
      </c>
      <c r="M423" t="n">
        <v>0</v>
      </c>
      <c r="N423" t="n">
        <v>0</v>
      </c>
      <c r="O423" t="n">
        <v>0</v>
      </c>
      <c r="P423" t="n">
        <v>0</v>
      </c>
      <c r="Q423" t="n">
        <v>0</v>
      </c>
      <c r="R423" s="2" t="inlineStr"/>
    </row>
    <row r="424" ht="15" customHeight="1">
      <c r="A424" t="inlineStr">
        <is>
          <t>A 46189-2022</t>
        </is>
      </c>
      <c r="B424" s="1" t="n">
        <v>44847</v>
      </c>
      <c r="C424" s="1" t="n">
        <v>46030</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57522-2022</t>
        </is>
      </c>
      <c r="B425" s="1" t="n">
        <v>44896</v>
      </c>
      <c r="C425" s="1" t="n">
        <v>46030</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14797-2024</t>
        </is>
      </c>
      <c r="B426" s="1" t="n">
        <v>45397.87030092593</v>
      </c>
      <c r="C426" s="1" t="n">
        <v>46030</v>
      </c>
      <c r="D426" t="inlineStr">
        <is>
          <t>GOTLANDS LÄN</t>
        </is>
      </c>
      <c r="E426" t="inlineStr">
        <is>
          <t>GOTLAND</t>
        </is>
      </c>
      <c r="G426" t="n">
        <v>8.1</v>
      </c>
      <c r="H426" t="n">
        <v>0</v>
      </c>
      <c r="I426" t="n">
        <v>0</v>
      </c>
      <c r="J426" t="n">
        <v>0</v>
      </c>
      <c r="K426" t="n">
        <v>0</v>
      </c>
      <c r="L426" t="n">
        <v>0</v>
      </c>
      <c r="M426" t="n">
        <v>0</v>
      </c>
      <c r="N426" t="n">
        <v>0</v>
      </c>
      <c r="O426" t="n">
        <v>0</v>
      </c>
      <c r="P426" t="n">
        <v>0</v>
      </c>
      <c r="Q426" t="n">
        <v>0</v>
      </c>
      <c r="R426" s="2" t="inlineStr"/>
    </row>
    <row r="427" ht="15" customHeight="1">
      <c r="A427" t="inlineStr">
        <is>
          <t>A 12599-2025</t>
        </is>
      </c>
      <c r="B427" s="1" t="n">
        <v>45733.29546296296</v>
      </c>
      <c r="C427" s="1" t="n">
        <v>46030</v>
      </c>
      <c r="D427" t="inlineStr">
        <is>
          <t>GOTLANDS LÄN</t>
        </is>
      </c>
      <c r="E427" t="inlineStr">
        <is>
          <t>GOTLAND</t>
        </is>
      </c>
      <c r="G427" t="n">
        <v>4.7</v>
      </c>
      <c r="H427" t="n">
        <v>0</v>
      </c>
      <c r="I427" t="n">
        <v>0</v>
      </c>
      <c r="J427" t="n">
        <v>0</v>
      </c>
      <c r="K427" t="n">
        <v>0</v>
      </c>
      <c r="L427" t="n">
        <v>0</v>
      </c>
      <c r="M427" t="n">
        <v>0</v>
      </c>
      <c r="N427" t="n">
        <v>0</v>
      </c>
      <c r="O427" t="n">
        <v>0</v>
      </c>
      <c r="P427" t="n">
        <v>0</v>
      </c>
      <c r="Q427" t="n">
        <v>0</v>
      </c>
      <c r="R427" s="2" t="inlineStr"/>
    </row>
    <row r="428" ht="15" customHeight="1">
      <c r="A428" t="inlineStr">
        <is>
          <t>A 7837-2024</t>
        </is>
      </c>
      <c r="B428" s="1" t="n">
        <v>45349.83787037037</v>
      </c>
      <c r="C428" s="1" t="n">
        <v>46030</v>
      </c>
      <c r="D428" t="inlineStr">
        <is>
          <t>GOTLANDS LÄN</t>
        </is>
      </c>
      <c r="E428" t="inlineStr">
        <is>
          <t>GOTLAND</t>
        </is>
      </c>
      <c r="G428" t="n">
        <v>5</v>
      </c>
      <c r="H428" t="n">
        <v>0</v>
      </c>
      <c r="I428" t="n">
        <v>0</v>
      </c>
      <c r="J428" t="n">
        <v>0</v>
      </c>
      <c r="K428" t="n">
        <v>0</v>
      </c>
      <c r="L428" t="n">
        <v>0</v>
      </c>
      <c r="M428" t="n">
        <v>0</v>
      </c>
      <c r="N428" t="n">
        <v>0</v>
      </c>
      <c r="O428" t="n">
        <v>0</v>
      </c>
      <c r="P428" t="n">
        <v>0</v>
      </c>
      <c r="Q428" t="n">
        <v>0</v>
      </c>
      <c r="R428" s="2" t="inlineStr"/>
    </row>
    <row r="429" ht="15" customHeight="1">
      <c r="A429" t="inlineStr">
        <is>
          <t>A 53577-2025</t>
        </is>
      </c>
      <c r="B429" s="1" t="n">
        <v>45960.42224537037</v>
      </c>
      <c r="C429" s="1" t="n">
        <v>46030</v>
      </c>
      <c r="D429" t="inlineStr">
        <is>
          <t>GOTLANDS LÄN</t>
        </is>
      </c>
      <c r="E429" t="inlineStr">
        <is>
          <t>GOTLAND</t>
        </is>
      </c>
      <c r="F429" t="inlineStr">
        <is>
          <t>Övriga Aktiebolag</t>
        </is>
      </c>
      <c r="G429" t="n">
        <v>3.3</v>
      </c>
      <c r="H429" t="n">
        <v>0</v>
      </c>
      <c r="I429" t="n">
        <v>0</v>
      </c>
      <c r="J429" t="n">
        <v>0</v>
      </c>
      <c r="K429" t="n">
        <v>0</v>
      </c>
      <c r="L429" t="n">
        <v>0</v>
      </c>
      <c r="M429" t="n">
        <v>0</v>
      </c>
      <c r="N429" t="n">
        <v>0</v>
      </c>
      <c r="O429" t="n">
        <v>0</v>
      </c>
      <c r="P429" t="n">
        <v>0</v>
      </c>
      <c r="Q429" t="n">
        <v>0</v>
      </c>
      <c r="R429" s="2" t="inlineStr"/>
    </row>
    <row r="430" ht="15" customHeight="1">
      <c r="A430" t="inlineStr">
        <is>
          <t>A 1394-2023</t>
        </is>
      </c>
      <c r="B430" s="1" t="n">
        <v>44936.72997685185</v>
      </c>
      <c r="C430" s="1" t="n">
        <v>46030</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2676-2023</t>
        </is>
      </c>
      <c r="B431" s="1" t="n">
        <v>44944</v>
      </c>
      <c r="C431" s="1" t="n">
        <v>46030</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4387-2023</t>
        </is>
      </c>
      <c r="B432" s="1" t="n">
        <v>44955.73359953704</v>
      </c>
      <c r="C432" s="1" t="n">
        <v>46030</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60384-2025</t>
        </is>
      </c>
      <c r="B433" s="1" t="n">
        <v>45995.37947916667</v>
      </c>
      <c r="C433" s="1" t="n">
        <v>46030</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49411-2023</t>
        </is>
      </c>
      <c r="B434" s="1" t="n">
        <v>45205</v>
      </c>
      <c r="C434" s="1" t="n">
        <v>46030</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53569-2025</t>
        </is>
      </c>
      <c r="B435" s="1" t="n">
        <v>45960.41155092593</v>
      </c>
      <c r="C435" s="1" t="n">
        <v>46030</v>
      </c>
      <c r="D435" t="inlineStr">
        <is>
          <t>GOTLANDS LÄN</t>
        </is>
      </c>
      <c r="E435" t="inlineStr">
        <is>
          <t>GOTLAND</t>
        </is>
      </c>
      <c r="F435" t="inlineStr">
        <is>
          <t>Övriga Aktiebolag</t>
        </is>
      </c>
      <c r="G435" t="n">
        <v>11.3</v>
      </c>
      <c r="H435" t="n">
        <v>0</v>
      </c>
      <c r="I435" t="n">
        <v>0</v>
      </c>
      <c r="J435" t="n">
        <v>0</v>
      </c>
      <c r="K435" t="n">
        <v>0</v>
      </c>
      <c r="L435" t="n">
        <v>0</v>
      </c>
      <c r="M435" t="n">
        <v>0</v>
      </c>
      <c r="N435" t="n">
        <v>0</v>
      </c>
      <c r="O435" t="n">
        <v>0</v>
      </c>
      <c r="P435" t="n">
        <v>0</v>
      </c>
      <c r="Q435" t="n">
        <v>0</v>
      </c>
      <c r="R435" s="2" t="inlineStr"/>
    </row>
    <row r="436" ht="15" customHeight="1">
      <c r="A436" t="inlineStr">
        <is>
          <t>A 53587-2025</t>
        </is>
      </c>
      <c r="B436" s="1" t="n">
        <v>45960.43681712963</v>
      </c>
      <c r="C436" s="1" t="n">
        <v>46030</v>
      </c>
      <c r="D436" t="inlineStr">
        <is>
          <t>GOTLANDS LÄN</t>
        </is>
      </c>
      <c r="E436" t="inlineStr">
        <is>
          <t>GOTLAND</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37728-2024</t>
        </is>
      </c>
      <c r="B437" s="1" t="n">
        <v>45541</v>
      </c>
      <c r="C437" s="1" t="n">
        <v>46030</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2241-2025</t>
        </is>
      </c>
      <c r="B438" s="1" t="n">
        <v>45673.48710648148</v>
      </c>
      <c r="C438" s="1" t="n">
        <v>46030</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54584-2025</t>
        </is>
      </c>
      <c r="B439" s="1" t="n">
        <v>45965.71788194445</v>
      </c>
      <c r="C439" s="1" t="n">
        <v>46030</v>
      </c>
      <c r="D439" t="inlineStr">
        <is>
          <t>GOTLANDS LÄN</t>
        </is>
      </c>
      <c r="E439" t="inlineStr">
        <is>
          <t>GOTLAND</t>
        </is>
      </c>
      <c r="G439" t="n">
        <v>3.5</v>
      </c>
      <c r="H439" t="n">
        <v>0</v>
      </c>
      <c r="I439" t="n">
        <v>0</v>
      </c>
      <c r="J439" t="n">
        <v>0</v>
      </c>
      <c r="K439" t="n">
        <v>0</v>
      </c>
      <c r="L439" t="n">
        <v>0</v>
      </c>
      <c r="M439" t="n">
        <v>0</v>
      </c>
      <c r="N439" t="n">
        <v>0</v>
      </c>
      <c r="O439" t="n">
        <v>0</v>
      </c>
      <c r="P439" t="n">
        <v>0</v>
      </c>
      <c r="Q439" t="n">
        <v>0</v>
      </c>
      <c r="R439" s="2" t="inlineStr"/>
    </row>
    <row r="440" ht="15" customHeight="1">
      <c r="A440" t="inlineStr">
        <is>
          <t>A 53561-2025</t>
        </is>
      </c>
      <c r="B440" s="1" t="n">
        <v>45960.4059375</v>
      </c>
      <c r="C440" s="1" t="n">
        <v>46030</v>
      </c>
      <c r="D440" t="inlineStr">
        <is>
          <t>GOTLANDS LÄN</t>
        </is>
      </c>
      <c r="E440" t="inlineStr">
        <is>
          <t>GOTLAND</t>
        </is>
      </c>
      <c r="F440" t="inlineStr">
        <is>
          <t>Övriga Aktiebolag</t>
        </is>
      </c>
      <c r="G440" t="n">
        <v>2.4</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46030</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62103-2025</t>
        </is>
      </c>
      <c r="B442" s="1" t="n">
        <v>46006.41638888889</v>
      </c>
      <c r="C442" s="1" t="n">
        <v>46030</v>
      </c>
      <c r="D442" t="inlineStr">
        <is>
          <t>GOTLANDS LÄN</t>
        </is>
      </c>
      <c r="E442" t="inlineStr">
        <is>
          <t>GOTLAND</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62066-2025</t>
        </is>
      </c>
      <c r="B443" s="1" t="n">
        <v>46006.34738425926</v>
      </c>
      <c r="C443" s="1" t="n">
        <v>46030</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14635-2023</t>
        </is>
      </c>
      <c r="B444" s="1" t="n">
        <v>45013.69365740741</v>
      </c>
      <c r="C444" s="1" t="n">
        <v>46030</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63763-2023</t>
        </is>
      </c>
      <c r="B445" s="1" t="n">
        <v>45278.33944444444</v>
      </c>
      <c r="C445" s="1" t="n">
        <v>46030</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7635-2025</t>
        </is>
      </c>
      <c r="B446" s="1" t="n">
        <v>45705</v>
      </c>
      <c r="C446" s="1" t="n">
        <v>46030</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7636-2025</t>
        </is>
      </c>
      <c r="B447" s="1" t="n">
        <v>45705.7687962963</v>
      </c>
      <c r="C447" s="1" t="n">
        <v>46030</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7639-2025</t>
        </is>
      </c>
      <c r="B448" s="1" t="n">
        <v>45705.77465277778</v>
      </c>
      <c r="C448" s="1" t="n">
        <v>46030</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61682-2024</t>
        </is>
      </c>
      <c r="B449" s="1" t="n">
        <v>45647.48824074074</v>
      </c>
      <c r="C449" s="1" t="n">
        <v>46030</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15434-2024</t>
        </is>
      </c>
      <c r="B450" s="1" t="n">
        <v>45401.38836805556</v>
      </c>
      <c r="C450" s="1" t="n">
        <v>46030</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7034-2023</t>
        </is>
      </c>
      <c r="B451" s="1" t="n">
        <v>44968.32108796296</v>
      </c>
      <c r="C451" s="1" t="n">
        <v>46030</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7042-2023</t>
        </is>
      </c>
      <c r="B452" s="1" t="n">
        <v>44968</v>
      </c>
      <c r="C452" s="1" t="n">
        <v>46030</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2180-2025</t>
        </is>
      </c>
      <c r="B453" s="1" t="n">
        <v>45673</v>
      </c>
      <c r="C453" s="1" t="n">
        <v>46030</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63002-2025</t>
        </is>
      </c>
      <c r="B454" s="1" t="n">
        <v>46009.56564814815</v>
      </c>
      <c r="C454" s="1" t="n">
        <v>46030</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54074-2022</t>
        </is>
      </c>
      <c r="B455" s="1" t="n">
        <v>44881</v>
      </c>
      <c r="C455" s="1" t="n">
        <v>46030</v>
      </c>
      <c r="D455" t="inlineStr">
        <is>
          <t>GOTLANDS LÄN</t>
        </is>
      </c>
      <c r="E455" t="inlineStr">
        <is>
          <t>GOTLAND</t>
        </is>
      </c>
      <c r="G455" t="n">
        <v>0.9</v>
      </c>
      <c r="H455" t="n">
        <v>0</v>
      </c>
      <c r="I455" t="n">
        <v>0</v>
      </c>
      <c r="J455" t="n">
        <v>0</v>
      </c>
      <c r="K455" t="n">
        <v>0</v>
      </c>
      <c r="L455" t="n">
        <v>0</v>
      </c>
      <c r="M455" t="n">
        <v>0</v>
      </c>
      <c r="N455" t="n">
        <v>0</v>
      </c>
      <c r="O455" t="n">
        <v>0</v>
      </c>
      <c r="P455" t="n">
        <v>0</v>
      </c>
      <c r="Q455" t="n">
        <v>0</v>
      </c>
      <c r="R455" s="2" t="inlineStr"/>
    </row>
    <row r="456" ht="15" customHeight="1">
      <c r="A456" t="inlineStr">
        <is>
          <t>A 61694-2023</t>
        </is>
      </c>
      <c r="B456" s="1" t="n">
        <v>45264</v>
      </c>
      <c r="C456" s="1" t="n">
        <v>46030</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64208-2021</t>
        </is>
      </c>
      <c r="B457" s="1" t="n">
        <v>44510</v>
      </c>
      <c r="C457" s="1" t="n">
        <v>46030</v>
      </c>
      <c r="D457" t="inlineStr">
        <is>
          <t>GOTLANDS LÄN</t>
        </is>
      </c>
      <c r="E457" t="inlineStr">
        <is>
          <t>GOTLAND</t>
        </is>
      </c>
      <c r="G457" t="n">
        <v>4.7</v>
      </c>
      <c r="H457" t="n">
        <v>0</v>
      </c>
      <c r="I457" t="n">
        <v>0</v>
      </c>
      <c r="J457" t="n">
        <v>0</v>
      </c>
      <c r="K457" t="n">
        <v>0</v>
      </c>
      <c r="L457" t="n">
        <v>0</v>
      </c>
      <c r="M457" t="n">
        <v>0</v>
      </c>
      <c r="N457" t="n">
        <v>0</v>
      </c>
      <c r="O457" t="n">
        <v>0</v>
      </c>
      <c r="P457" t="n">
        <v>0</v>
      </c>
      <c r="Q457" t="n">
        <v>0</v>
      </c>
      <c r="R457" s="2" t="inlineStr"/>
    </row>
    <row r="458" ht="15" customHeight="1">
      <c r="A458" t="inlineStr">
        <is>
          <t>A 54268-2022</t>
        </is>
      </c>
      <c r="B458" s="1" t="n">
        <v>44882</v>
      </c>
      <c r="C458" s="1" t="n">
        <v>46030</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1446-2025</t>
        </is>
      </c>
      <c r="B459" s="1" t="n">
        <v>45669.86035879629</v>
      </c>
      <c r="C459" s="1" t="n">
        <v>46030</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1462-2025</t>
        </is>
      </c>
      <c r="B460" s="1" t="n">
        <v>45670.36319444444</v>
      </c>
      <c r="C460" s="1" t="n">
        <v>46030</v>
      </c>
      <c r="D460" t="inlineStr">
        <is>
          <t>GOTLANDS LÄN</t>
        </is>
      </c>
      <c r="E460" t="inlineStr">
        <is>
          <t>GOTLAND</t>
        </is>
      </c>
      <c r="G460" t="n">
        <v>2.8</v>
      </c>
      <c r="H460" t="n">
        <v>0</v>
      </c>
      <c r="I460" t="n">
        <v>0</v>
      </c>
      <c r="J460" t="n">
        <v>0</v>
      </c>
      <c r="K460" t="n">
        <v>0</v>
      </c>
      <c r="L460" t="n">
        <v>0</v>
      </c>
      <c r="M460" t="n">
        <v>0</v>
      </c>
      <c r="N460" t="n">
        <v>0</v>
      </c>
      <c r="O460" t="n">
        <v>0</v>
      </c>
      <c r="P460" t="n">
        <v>0</v>
      </c>
      <c r="Q460" t="n">
        <v>0</v>
      </c>
      <c r="R460" s="2" t="inlineStr"/>
    </row>
    <row r="461" ht="15" customHeight="1">
      <c r="A461" t="inlineStr">
        <is>
          <t>A 57685-2022</t>
        </is>
      </c>
      <c r="B461" s="1" t="n">
        <v>44897.4777662037</v>
      </c>
      <c r="C461" s="1" t="n">
        <v>46030</v>
      </c>
      <c r="D461" t="inlineStr">
        <is>
          <t>GOTLANDS LÄN</t>
        </is>
      </c>
      <c r="E461" t="inlineStr">
        <is>
          <t>GOTLAND</t>
        </is>
      </c>
      <c r="G461" t="n">
        <v>3.7</v>
      </c>
      <c r="H461" t="n">
        <v>0</v>
      </c>
      <c r="I461" t="n">
        <v>0</v>
      </c>
      <c r="J461" t="n">
        <v>0</v>
      </c>
      <c r="K461" t="n">
        <v>0</v>
      </c>
      <c r="L461" t="n">
        <v>0</v>
      </c>
      <c r="M461" t="n">
        <v>0</v>
      </c>
      <c r="N461" t="n">
        <v>0</v>
      </c>
      <c r="O461" t="n">
        <v>0</v>
      </c>
      <c r="P461" t="n">
        <v>0</v>
      </c>
      <c r="Q461" t="n">
        <v>0</v>
      </c>
      <c r="R461" s="2" t="inlineStr"/>
    </row>
    <row r="462" ht="15" customHeight="1">
      <c r="A462" t="inlineStr">
        <is>
          <t>A 811-2023</t>
        </is>
      </c>
      <c r="B462" s="1" t="n">
        <v>44931</v>
      </c>
      <c r="C462" s="1" t="n">
        <v>46030</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5905-2024</t>
        </is>
      </c>
      <c r="B463" s="1" t="n">
        <v>45335.88993055555</v>
      </c>
      <c r="C463" s="1" t="n">
        <v>46030</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3431-2025</t>
        </is>
      </c>
      <c r="B464" s="1" t="n">
        <v>45680.42935185185</v>
      </c>
      <c r="C464" s="1" t="n">
        <v>46030</v>
      </c>
      <c r="D464" t="inlineStr">
        <is>
          <t>GOTLANDS LÄN</t>
        </is>
      </c>
      <c r="E464" t="inlineStr">
        <is>
          <t>GOTLAND</t>
        </is>
      </c>
      <c r="G464" t="n">
        <v>4.8</v>
      </c>
      <c r="H464" t="n">
        <v>0</v>
      </c>
      <c r="I464" t="n">
        <v>0</v>
      </c>
      <c r="J464" t="n">
        <v>0</v>
      </c>
      <c r="K464" t="n">
        <v>0</v>
      </c>
      <c r="L464" t="n">
        <v>0</v>
      </c>
      <c r="M464" t="n">
        <v>0</v>
      </c>
      <c r="N464" t="n">
        <v>0</v>
      </c>
      <c r="O464" t="n">
        <v>0</v>
      </c>
      <c r="P464" t="n">
        <v>0</v>
      </c>
      <c r="Q464" t="n">
        <v>0</v>
      </c>
      <c r="R464" s="2" t="inlineStr"/>
    </row>
    <row r="465" ht="15" customHeight="1">
      <c r="A465" t="inlineStr">
        <is>
          <t>A 34407-2023</t>
        </is>
      </c>
      <c r="B465" s="1" t="n">
        <v>45132</v>
      </c>
      <c r="C465" s="1" t="n">
        <v>46030</v>
      </c>
      <c r="D465" t="inlineStr">
        <is>
          <t>GOTLANDS LÄN</t>
        </is>
      </c>
      <c r="E465" t="inlineStr">
        <is>
          <t>GOTLAND</t>
        </is>
      </c>
      <c r="G465" t="n">
        <v>4.4</v>
      </c>
      <c r="H465" t="n">
        <v>0</v>
      </c>
      <c r="I465" t="n">
        <v>0</v>
      </c>
      <c r="J465" t="n">
        <v>0</v>
      </c>
      <c r="K465" t="n">
        <v>0</v>
      </c>
      <c r="L465" t="n">
        <v>0</v>
      </c>
      <c r="M465" t="n">
        <v>0</v>
      </c>
      <c r="N465" t="n">
        <v>0</v>
      </c>
      <c r="O465" t="n">
        <v>0</v>
      </c>
      <c r="P465" t="n">
        <v>0</v>
      </c>
      <c r="Q465" t="n">
        <v>0</v>
      </c>
      <c r="R465" s="2" t="inlineStr"/>
    </row>
    <row r="466" ht="15" customHeight="1">
      <c r="A466" t="inlineStr">
        <is>
          <t>A 30892-2024</t>
        </is>
      </c>
      <c r="B466" s="1" t="n">
        <v>45491</v>
      </c>
      <c r="C466" s="1" t="n">
        <v>46030</v>
      </c>
      <c r="D466" t="inlineStr">
        <is>
          <t>GOTLANDS LÄN</t>
        </is>
      </c>
      <c r="E466" t="inlineStr">
        <is>
          <t>GOTLAND</t>
        </is>
      </c>
      <c r="G466" t="n">
        <v>6.1</v>
      </c>
      <c r="H466" t="n">
        <v>0</v>
      </c>
      <c r="I466" t="n">
        <v>0</v>
      </c>
      <c r="J466" t="n">
        <v>0</v>
      </c>
      <c r="K466" t="n">
        <v>0</v>
      </c>
      <c r="L466" t="n">
        <v>0</v>
      </c>
      <c r="M466" t="n">
        <v>0</v>
      </c>
      <c r="N466" t="n">
        <v>0</v>
      </c>
      <c r="O466" t="n">
        <v>0</v>
      </c>
      <c r="P466" t="n">
        <v>0</v>
      </c>
      <c r="Q466" t="n">
        <v>0</v>
      </c>
      <c r="R466" s="2" t="inlineStr"/>
    </row>
    <row r="467" ht="15" customHeight="1">
      <c r="A467" t="inlineStr">
        <is>
          <t>A 32958-2021</t>
        </is>
      </c>
      <c r="B467" s="1" t="n">
        <v>44376</v>
      </c>
      <c r="C467" s="1" t="n">
        <v>46030</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7858-2025</t>
        </is>
      </c>
      <c r="B468" s="1" t="n">
        <v>45706.68633101852</v>
      </c>
      <c r="C468" s="1" t="n">
        <v>46030</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46545-2024</t>
        </is>
      </c>
      <c r="B469" s="1" t="n">
        <v>45582.65831018519</v>
      </c>
      <c r="C469" s="1" t="n">
        <v>46030</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999-2023</t>
        </is>
      </c>
      <c r="B470" s="1" t="n">
        <v>44935</v>
      </c>
      <c r="C470" s="1" t="n">
        <v>46030</v>
      </c>
      <c r="D470" t="inlineStr">
        <is>
          <t>GOTLANDS LÄN</t>
        </is>
      </c>
      <c r="E470" t="inlineStr">
        <is>
          <t>GOTLAND</t>
        </is>
      </c>
      <c r="G470" t="n">
        <v>4.7</v>
      </c>
      <c r="H470" t="n">
        <v>0</v>
      </c>
      <c r="I470" t="n">
        <v>0</v>
      </c>
      <c r="J470" t="n">
        <v>0</v>
      </c>
      <c r="K470" t="n">
        <v>0</v>
      </c>
      <c r="L470" t="n">
        <v>0</v>
      </c>
      <c r="M470" t="n">
        <v>0</v>
      </c>
      <c r="N470" t="n">
        <v>0</v>
      </c>
      <c r="O470" t="n">
        <v>0</v>
      </c>
      <c r="P470" t="n">
        <v>0</v>
      </c>
      <c r="Q470" t="n">
        <v>0</v>
      </c>
      <c r="R470" s="2" t="inlineStr"/>
    </row>
    <row r="471" ht="15" customHeight="1">
      <c r="A471" t="inlineStr">
        <is>
          <t>A 1364-2025</t>
        </is>
      </c>
      <c r="B471" s="1" t="n">
        <v>45667.63929398148</v>
      </c>
      <c r="C471" s="1" t="n">
        <v>46030</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2125-2025</t>
        </is>
      </c>
      <c r="B472" s="1" t="n">
        <v>45672.64940972222</v>
      </c>
      <c r="C472" s="1" t="n">
        <v>46030</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14141-2024</t>
        </is>
      </c>
      <c r="B473" s="1" t="n">
        <v>45392.85193287037</v>
      </c>
      <c r="C473" s="1" t="n">
        <v>46030</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12155-2023</t>
        </is>
      </c>
      <c r="B474" s="1" t="n">
        <v>44998.49106481481</v>
      </c>
      <c r="C474" s="1" t="n">
        <v>46030</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46030</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46030</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46030</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46030</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1066-2024</t>
        </is>
      </c>
      <c r="B479" s="1" t="n">
        <v>45302.285</v>
      </c>
      <c r="C479" s="1" t="n">
        <v>46030</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37202-2024</t>
        </is>
      </c>
      <c r="B480" s="1" t="n">
        <v>45539.67310185185</v>
      </c>
      <c r="C480" s="1" t="n">
        <v>46030</v>
      </c>
      <c r="D480" t="inlineStr">
        <is>
          <t>GOTLANDS LÄN</t>
        </is>
      </c>
      <c r="E480" t="inlineStr">
        <is>
          <t>GOTLAND</t>
        </is>
      </c>
      <c r="G480" t="n">
        <v>0.3</v>
      </c>
      <c r="H480" t="n">
        <v>0</v>
      </c>
      <c r="I480" t="n">
        <v>0</v>
      </c>
      <c r="J480" t="n">
        <v>0</v>
      </c>
      <c r="K480" t="n">
        <v>0</v>
      </c>
      <c r="L480" t="n">
        <v>0</v>
      </c>
      <c r="M480" t="n">
        <v>0</v>
      </c>
      <c r="N480" t="n">
        <v>0</v>
      </c>
      <c r="O480" t="n">
        <v>0</v>
      </c>
      <c r="P480" t="n">
        <v>0</v>
      </c>
      <c r="Q480" t="n">
        <v>0</v>
      </c>
      <c r="R480" s="2" t="inlineStr"/>
    </row>
    <row r="481" ht="15" customHeight="1">
      <c r="A481" t="inlineStr">
        <is>
          <t>A 30815-2023</t>
        </is>
      </c>
      <c r="B481" s="1" t="n">
        <v>45112</v>
      </c>
      <c r="C481" s="1" t="n">
        <v>46030</v>
      </c>
      <c r="D481" t="inlineStr">
        <is>
          <t>GOTLANDS LÄN</t>
        </is>
      </c>
      <c r="E481" t="inlineStr">
        <is>
          <t>GOTLAND</t>
        </is>
      </c>
      <c r="G481" t="n">
        <v>6</v>
      </c>
      <c r="H481" t="n">
        <v>0</v>
      </c>
      <c r="I481" t="n">
        <v>0</v>
      </c>
      <c r="J481" t="n">
        <v>0</v>
      </c>
      <c r="K481" t="n">
        <v>0</v>
      </c>
      <c r="L481" t="n">
        <v>0</v>
      </c>
      <c r="M481" t="n">
        <v>0</v>
      </c>
      <c r="N481" t="n">
        <v>0</v>
      </c>
      <c r="O481" t="n">
        <v>0</v>
      </c>
      <c r="P481" t="n">
        <v>0</v>
      </c>
      <c r="Q481" t="n">
        <v>0</v>
      </c>
      <c r="R481" s="2" t="inlineStr"/>
    </row>
    <row r="482" ht="15" customHeight="1">
      <c r="A482" t="inlineStr">
        <is>
          <t>A 46400-2023</t>
        </is>
      </c>
      <c r="B482" s="1" t="n">
        <v>45197.49290509259</v>
      </c>
      <c r="C482" s="1" t="n">
        <v>46030</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10492-2023</t>
        </is>
      </c>
      <c r="B483" s="1" t="n">
        <v>44987</v>
      </c>
      <c r="C483" s="1" t="n">
        <v>46030</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44919-2022</t>
        </is>
      </c>
      <c r="B484" s="1" t="n">
        <v>44841</v>
      </c>
      <c r="C484" s="1" t="n">
        <v>46030</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16501-2023</t>
        </is>
      </c>
      <c r="B485" s="1" t="n">
        <v>45029</v>
      </c>
      <c r="C485" s="1" t="n">
        <v>46030</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46030</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458-2023</t>
        </is>
      </c>
      <c r="B487" s="1" t="n">
        <v>44929</v>
      </c>
      <c r="C487" s="1" t="n">
        <v>46030</v>
      </c>
      <c r="D487" t="inlineStr">
        <is>
          <t>GOTLANDS LÄN</t>
        </is>
      </c>
      <c r="E487" t="inlineStr">
        <is>
          <t>GOTLAND</t>
        </is>
      </c>
      <c r="G487" t="n">
        <v>3.6</v>
      </c>
      <c r="H487" t="n">
        <v>0</v>
      </c>
      <c r="I487" t="n">
        <v>0</v>
      </c>
      <c r="J487" t="n">
        <v>0</v>
      </c>
      <c r="K487" t="n">
        <v>0</v>
      </c>
      <c r="L487" t="n">
        <v>0</v>
      </c>
      <c r="M487" t="n">
        <v>0</v>
      </c>
      <c r="N487" t="n">
        <v>0</v>
      </c>
      <c r="O487" t="n">
        <v>0</v>
      </c>
      <c r="P487" t="n">
        <v>0</v>
      </c>
      <c r="Q487" t="n">
        <v>0</v>
      </c>
      <c r="R487" s="2" t="inlineStr"/>
    </row>
    <row r="488" ht="15" customHeight="1">
      <c r="A488" t="inlineStr">
        <is>
          <t>A 1291-2023</t>
        </is>
      </c>
      <c r="B488" s="1" t="n">
        <v>44936.47561342592</v>
      </c>
      <c r="C488" s="1" t="n">
        <v>46030</v>
      </c>
      <c r="D488" t="inlineStr">
        <is>
          <t>GOTLANDS LÄN</t>
        </is>
      </c>
      <c r="E488" t="inlineStr">
        <is>
          <t>GOTLAND</t>
        </is>
      </c>
      <c r="G488" t="n">
        <v>7.4</v>
      </c>
      <c r="H488" t="n">
        <v>0</v>
      </c>
      <c r="I488" t="n">
        <v>0</v>
      </c>
      <c r="J488" t="n">
        <v>0</v>
      </c>
      <c r="K488" t="n">
        <v>0</v>
      </c>
      <c r="L488" t="n">
        <v>0</v>
      </c>
      <c r="M488" t="n">
        <v>0</v>
      </c>
      <c r="N488" t="n">
        <v>0</v>
      </c>
      <c r="O488" t="n">
        <v>0</v>
      </c>
      <c r="P488" t="n">
        <v>0</v>
      </c>
      <c r="Q488" t="n">
        <v>0</v>
      </c>
      <c r="R488" s="2" t="inlineStr"/>
    </row>
    <row r="489" ht="15" customHeight="1">
      <c r="A489" t="inlineStr">
        <is>
          <t>A 32330-2024</t>
        </is>
      </c>
      <c r="B489" s="1" t="n">
        <v>45512</v>
      </c>
      <c r="C489" s="1" t="n">
        <v>46030</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5891-2025</t>
        </is>
      </c>
      <c r="B490" s="1" t="n">
        <v>45695.38327546296</v>
      </c>
      <c r="C490" s="1" t="n">
        <v>46030</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14804-2021</t>
        </is>
      </c>
      <c r="B491" s="1" t="n">
        <v>44280</v>
      </c>
      <c r="C491" s="1" t="n">
        <v>46030</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2719-2023</t>
        </is>
      </c>
      <c r="B492" s="1" t="n">
        <v>44944.55361111111</v>
      </c>
      <c r="C492" s="1" t="n">
        <v>46030</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46030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49314-2024</t>
        </is>
      </c>
      <c r="B494" s="1" t="n">
        <v>45595.55893518519</v>
      </c>
      <c r="C494" s="1" t="n">
        <v>46030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9875-2025</t>
        </is>
      </c>
      <c r="B495" s="1" t="n">
        <v>45716</v>
      </c>
      <c r="C495" s="1" t="n">
        <v>46030</v>
      </c>
      <c r="D495" t="inlineStr">
        <is>
          <t>GOTLANDS LÄN</t>
        </is>
      </c>
      <c r="E495" t="inlineStr">
        <is>
          <t>GOTLAND</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44755.8713425926</v>
      </c>
      <c r="C496" s="1" t="n">
        <v>46030</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16361-2024</t>
        </is>
      </c>
      <c r="B497" s="1" t="n">
        <v>45407</v>
      </c>
      <c r="C497" s="1" t="n">
        <v>46030</v>
      </c>
      <c r="D497" t="inlineStr">
        <is>
          <t>GOTLANDS LÄN</t>
        </is>
      </c>
      <c r="E497" t="inlineStr">
        <is>
          <t>GOTLAND</t>
        </is>
      </c>
      <c r="G497" t="n">
        <v>6</v>
      </c>
      <c r="H497" t="n">
        <v>0</v>
      </c>
      <c r="I497" t="n">
        <v>0</v>
      </c>
      <c r="J497" t="n">
        <v>0</v>
      </c>
      <c r="K497" t="n">
        <v>0</v>
      </c>
      <c r="L497" t="n">
        <v>0</v>
      </c>
      <c r="M497" t="n">
        <v>0</v>
      </c>
      <c r="N497" t="n">
        <v>0</v>
      </c>
      <c r="O497" t="n">
        <v>0</v>
      </c>
      <c r="P497" t="n">
        <v>0</v>
      </c>
      <c r="Q497" t="n">
        <v>0</v>
      </c>
      <c r="R497" s="2" t="inlineStr"/>
    </row>
    <row r="498" ht="15" customHeight="1">
      <c r="A498" t="inlineStr">
        <is>
          <t>A 43081-2022</t>
        </is>
      </c>
      <c r="B498" s="1" t="n">
        <v>44833</v>
      </c>
      <c r="C498" s="1" t="n">
        <v>46030</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1175-2025</t>
        </is>
      </c>
      <c r="B499" s="1" t="n">
        <v>45667.34449074074</v>
      </c>
      <c r="C499" s="1" t="n">
        <v>46030</v>
      </c>
      <c r="D499" t="inlineStr">
        <is>
          <t>GOTLANDS LÄN</t>
        </is>
      </c>
      <c r="E499" t="inlineStr">
        <is>
          <t>GOTLAND</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42201-2023</t>
        </is>
      </c>
      <c r="B500" s="1" t="n">
        <v>45179</v>
      </c>
      <c r="C500" s="1" t="n">
        <v>46030</v>
      </c>
      <c r="D500" t="inlineStr">
        <is>
          <t>GOTLANDS LÄN</t>
        </is>
      </c>
      <c r="E500" t="inlineStr">
        <is>
          <t>GOTLAND</t>
        </is>
      </c>
      <c r="G500" t="n">
        <v>11.9</v>
      </c>
      <c r="H500" t="n">
        <v>0</v>
      </c>
      <c r="I500" t="n">
        <v>0</v>
      </c>
      <c r="J500" t="n">
        <v>0</v>
      </c>
      <c r="K500" t="n">
        <v>0</v>
      </c>
      <c r="L500" t="n">
        <v>0</v>
      </c>
      <c r="M500" t="n">
        <v>0</v>
      </c>
      <c r="N500" t="n">
        <v>0</v>
      </c>
      <c r="O500" t="n">
        <v>0</v>
      </c>
      <c r="P500" t="n">
        <v>0</v>
      </c>
      <c r="Q500" t="n">
        <v>0</v>
      </c>
      <c r="R500" s="2" t="inlineStr"/>
    </row>
    <row r="501" ht="15" customHeight="1">
      <c r="A501" t="inlineStr">
        <is>
          <t>A 3150-2025</t>
        </is>
      </c>
      <c r="B501" s="1" t="n">
        <v>45679.28974537037</v>
      </c>
      <c r="C501" s="1" t="n">
        <v>46030</v>
      </c>
      <c r="D501" t="inlineStr">
        <is>
          <t>GOTLANDS LÄN</t>
        </is>
      </c>
      <c r="E501" t="inlineStr">
        <is>
          <t>GOTLAND</t>
        </is>
      </c>
      <c r="G501" t="n">
        <v>2.5</v>
      </c>
      <c r="H501" t="n">
        <v>0</v>
      </c>
      <c r="I501" t="n">
        <v>0</v>
      </c>
      <c r="J501" t="n">
        <v>0</v>
      </c>
      <c r="K501" t="n">
        <v>0</v>
      </c>
      <c r="L501" t="n">
        <v>0</v>
      </c>
      <c r="M501" t="n">
        <v>0</v>
      </c>
      <c r="N501" t="n">
        <v>0</v>
      </c>
      <c r="O501" t="n">
        <v>0</v>
      </c>
      <c r="P501" t="n">
        <v>0</v>
      </c>
      <c r="Q501" t="n">
        <v>0</v>
      </c>
      <c r="R501" s="2" t="inlineStr"/>
    </row>
    <row r="502" ht="15" customHeight="1">
      <c r="A502" t="inlineStr">
        <is>
          <t>A 42041-2024</t>
        </is>
      </c>
      <c r="B502" s="1" t="n">
        <v>45561</v>
      </c>
      <c r="C502" s="1" t="n">
        <v>46030</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15436-2025</t>
        </is>
      </c>
      <c r="B503" s="1" t="n">
        <v>45747.47462962963</v>
      </c>
      <c r="C503" s="1" t="n">
        <v>46030</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44705.38832175926</v>
      </c>
      <c r="C504" s="1" t="n">
        <v>46030</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44682.82622685185</v>
      </c>
      <c r="C505" s="1" t="n">
        <v>46030</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63516-2023</t>
        </is>
      </c>
      <c r="B506" s="1" t="n">
        <v>45274</v>
      </c>
      <c r="C506" s="1" t="n">
        <v>46030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53935-2024</t>
        </is>
      </c>
      <c r="B507" s="1" t="n">
        <v>45615</v>
      </c>
      <c r="C507" s="1" t="n">
        <v>46030</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69112-2021</t>
        </is>
      </c>
      <c r="B508" s="1" t="n">
        <v>44530</v>
      </c>
      <c r="C508" s="1" t="n">
        <v>46030</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46030</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23516-2023</t>
        </is>
      </c>
      <c r="B510" s="1" t="n">
        <v>45076.93391203704</v>
      </c>
      <c r="C510" s="1" t="n">
        <v>46030</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43231-2023</t>
        </is>
      </c>
      <c r="B511" s="1" t="n">
        <v>45183.47025462963</v>
      </c>
      <c r="C511" s="1" t="n">
        <v>46030</v>
      </c>
      <c r="D511" t="inlineStr">
        <is>
          <t>GOTLANDS LÄN</t>
        </is>
      </c>
      <c r="E511" t="inlineStr">
        <is>
          <t>GOTLAND</t>
        </is>
      </c>
      <c r="G511" t="n">
        <v>3.6</v>
      </c>
      <c r="H511" t="n">
        <v>0</v>
      </c>
      <c r="I511" t="n">
        <v>0</v>
      </c>
      <c r="J511" t="n">
        <v>0</v>
      </c>
      <c r="K511" t="n">
        <v>0</v>
      </c>
      <c r="L511" t="n">
        <v>0</v>
      </c>
      <c r="M511" t="n">
        <v>0</v>
      </c>
      <c r="N511" t="n">
        <v>0</v>
      </c>
      <c r="O511" t="n">
        <v>0</v>
      </c>
      <c r="P511" t="n">
        <v>0</v>
      </c>
      <c r="Q511" t="n">
        <v>0</v>
      </c>
      <c r="R511" s="2" t="inlineStr"/>
    </row>
    <row r="512" ht="15" customHeight="1">
      <c r="A512" t="inlineStr">
        <is>
          <t>A 58230-2024</t>
        </is>
      </c>
      <c r="B512" s="1" t="n">
        <v>45632.51625</v>
      </c>
      <c r="C512" s="1" t="n">
        <v>46030</v>
      </c>
      <c r="D512" t="inlineStr">
        <is>
          <t>GOTLANDS LÄN</t>
        </is>
      </c>
      <c r="E512" t="inlineStr">
        <is>
          <t>GOTLAND</t>
        </is>
      </c>
      <c r="G512" t="n">
        <v>7.3</v>
      </c>
      <c r="H512" t="n">
        <v>0</v>
      </c>
      <c r="I512" t="n">
        <v>0</v>
      </c>
      <c r="J512" t="n">
        <v>0</v>
      </c>
      <c r="K512" t="n">
        <v>0</v>
      </c>
      <c r="L512" t="n">
        <v>0</v>
      </c>
      <c r="M512" t="n">
        <v>0</v>
      </c>
      <c r="N512" t="n">
        <v>0</v>
      </c>
      <c r="O512" t="n">
        <v>0</v>
      </c>
      <c r="P512" t="n">
        <v>0</v>
      </c>
      <c r="Q512" t="n">
        <v>0</v>
      </c>
      <c r="R512" s="2" t="inlineStr"/>
    </row>
    <row r="513" ht="15" customHeight="1">
      <c r="A513" t="inlineStr">
        <is>
          <t>A 64555-2023</t>
        </is>
      </c>
      <c r="B513" s="1" t="n">
        <v>45281</v>
      </c>
      <c r="C513" s="1" t="n">
        <v>46030</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44929.87238425926</v>
      </c>
      <c r="C514" s="1" t="n">
        <v>46030</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459-2023</t>
        </is>
      </c>
      <c r="B515" s="1" t="n">
        <v>44929.87423611111</v>
      </c>
      <c r="C515" s="1" t="n">
        <v>46030</v>
      </c>
      <c r="D515" t="inlineStr">
        <is>
          <t>GOTLANDS LÄN</t>
        </is>
      </c>
      <c r="E515" t="inlineStr">
        <is>
          <t>GOTLAND</t>
        </is>
      </c>
      <c r="G515" t="n">
        <v>4.2</v>
      </c>
      <c r="H515" t="n">
        <v>0</v>
      </c>
      <c r="I515" t="n">
        <v>0</v>
      </c>
      <c r="J515" t="n">
        <v>0</v>
      </c>
      <c r="K515" t="n">
        <v>0</v>
      </c>
      <c r="L515" t="n">
        <v>0</v>
      </c>
      <c r="M515" t="n">
        <v>0</v>
      </c>
      <c r="N515" t="n">
        <v>0</v>
      </c>
      <c r="O515" t="n">
        <v>0</v>
      </c>
      <c r="P515" t="n">
        <v>0</v>
      </c>
      <c r="Q515" t="n">
        <v>0</v>
      </c>
      <c r="R515" s="2" t="inlineStr"/>
    </row>
    <row r="516" ht="15" customHeight="1">
      <c r="A516" t="inlineStr">
        <is>
          <t>A 876-2024</t>
        </is>
      </c>
      <c r="B516" s="1" t="n">
        <v>45301</v>
      </c>
      <c r="C516" s="1" t="n">
        <v>46030</v>
      </c>
      <c r="D516" t="inlineStr">
        <is>
          <t>GOTLANDS LÄN</t>
        </is>
      </c>
      <c r="E516" t="inlineStr">
        <is>
          <t>GOTLAND</t>
        </is>
      </c>
      <c r="G516" t="n">
        <v>5.3</v>
      </c>
      <c r="H516" t="n">
        <v>0</v>
      </c>
      <c r="I516" t="n">
        <v>0</v>
      </c>
      <c r="J516" t="n">
        <v>0</v>
      </c>
      <c r="K516" t="n">
        <v>0</v>
      </c>
      <c r="L516" t="n">
        <v>0</v>
      </c>
      <c r="M516" t="n">
        <v>0</v>
      </c>
      <c r="N516" t="n">
        <v>0</v>
      </c>
      <c r="O516" t="n">
        <v>0</v>
      </c>
      <c r="P516" t="n">
        <v>0</v>
      </c>
      <c r="Q516" t="n">
        <v>0</v>
      </c>
      <c r="R516" s="2" t="inlineStr"/>
    </row>
    <row r="517" ht="15" customHeight="1">
      <c r="A517" t="inlineStr">
        <is>
          <t>A 26891-2024</t>
        </is>
      </c>
      <c r="B517" s="1" t="n">
        <v>45470.65540509259</v>
      </c>
      <c r="C517" s="1" t="n">
        <v>46030</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14536-2021</t>
        </is>
      </c>
      <c r="B518" s="1" t="n">
        <v>44279.66168981481</v>
      </c>
      <c r="C518" s="1" t="n">
        <v>46030</v>
      </c>
      <c r="D518" t="inlineStr">
        <is>
          <t>GOTLANDS LÄN</t>
        </is>
      </c>
      <c r="E518" t="inlineStr">
        <is>
          <t>GOTLAND</t>
        </is>
      </c>
      <c r="G518" t="n">
        <v>8.5</v>
      </c>
      <c r="H518" t="n">
        <v>0</v>
      </c>
      <c r="I518" t="n">
        <v>0</v>
      </c>
      <c r="J518" t="n">
        <v>0</v>
      </c>
      <c r="K518" t="n">
        <v>0</v>
      </c>
      <c r="L518" t="n">
        <v>0</v>
      </c>
      <c r="M518" t="n">
        <v>0</v>
      </c>
      <c r="N518" t="n">
        <v>0</v>
      </c>
      <c r="O518" t="n">
        <v>0</v>
      </c>
      <c r="P518" t="n">
        <v>0</v>
      </c>
      <c r="Q518" t="n">
        <v>0</v>
      </c>
      <c r="R518" s="2" t="inlineStr"/>
    </row>
    <row r="519" ht="15" customHeight="1">
      <c r="A519" t="inlineStr">
        <is>
          <t>A 5923-2023</t>
        </is>
      </c>
      <c r="B519" s="1" t="n">
        <v>44963.69503472222</v>
      </c>
      <c r="C519" s="1" t="n">
        <v>46030</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50482-2024</t>
        </is>
      </c>
      <c r="B520" s="1" t="n">
        <v>45601.48114583334</v>
      </c>
      <c r="C520" s="1" t="n">
        <v>46030</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5943-2024</t>
        </is>
      </c>
      <c r="B521" s="1" t="n">
        <v>45336</v>
      </c>
      <c r="C521" s="1" t="n">
        <v>46030</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38234-2023</t>
        </is>
      </c>
      <c r="B522" s="1" t="n">
        <v>45161.56663194444</v>
      </c>
      <c r="C522" s="1" t="n">
        <v>46030</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1273-2023</t>
        </is>
      </c>
      <c r="B523" s="1" t="n">
        <v>44936</v>
      </c>
      <c r="C523" s="1" t="n">
        <v>46030</v>
      </c>
      <c r="D523" t="inlineStr">
        <is>
          <t>GOTLANDS LÄN</t>
        </is>
      </c>
      <c r="E523" t="inlineStr">
        <is>
          <t>GOTLAND</t>
        </is>
      </c>
      <c r="G523" t="n">
        <v>4.5</v>
      </c>
      <c r="H523" t="n">
        <v>0</v>
      </c>
      <c r="I523" t="n">
        <v>0</v>
      </c>
      <c r="J523" t="n">
        <v>0</v>
      </c>
      <c r="K523" t="n">
        <v>0</v>
      </c>
      <c r="L523" t="n">
        <v>0</v>
      </c>
      <c r="M523" t="n">
        <v>0</v>
      </c>
      <c r="N523" t="n">
        <v>0</v>
      </c>
      <c r="O523" t="n">
        <v>0</v>
      </c>
      <c r="P523" t="n">
        <v>0</v>
      </c>
      <c r="Q523" t="n">
        <v>0</v>
      </c>
      <c r="R523" s="2" t="inlineStr"/>
    </row>
    <row r="524" ht="15" customHeight="1">
      <c r="A524" t="inlineStr">
        <is>
          <t>A 17724-2024</t>
        </is>
      </c>
      <c r="B524" s="1" t="n">
        <v>45418.55096064815</v>
      </c>
      <c r="C524" s="1" t="n">
        <v>46030</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23978-2023</t>
        </is>
      </c>
      <c r="B525" s="1" t="n">
        <v>45078</v>
      </c>
      <c r="C525" s="1" t="n">
        <v>46030</v>
      </c>
      <c r="D525" t="inlineStr">
        <is>
          <t>GOTLANDS LÄN</t>
        </is>
      </c>
      <c r="E525" t="inlineStr">
        <is>
          <t>GOTLAND</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49884-2023</t>
        </is>
      </c>
      <c r="B526" s="1" t="n">
        <v>45213</v>
      </c>
      <c r="C526" s="1" t="n">
        <v>46030</v>
      </c>
      <c r="D526" t="inlineStr">
        <is>
          <t>GOTLANDS LÄN</t>
        </is>
      </c>
      <c r="E526" t="inlineStr">
        <is>
          <t>GOTLAND</t>
        </is>
      </c>
      <c r="G526" t="n">
        <v>8.9</v>
      </c>
      <c r="H526" t="n">
        <v>0</v>
      </c>
      <c r="I526" t="n">
        <v>0</v>
      </c>
      <c r="J526" t="n">
        <v>0</v>
      </c>
      <c r="K526" t="n">
        <v>0</v>
      </c>
      <c r="L526" t="n">
        <v>0</v>
      </c>
      <c r="M526" t="n">
        <v>0</v>
      </c>
      <c r="N526" t="n">
        <v>0</v>
      </c>
      <c r="O526" t="n">
        <v>0</v>
      </c>
      <c r="P526" t="n">
        <v>0</v>
      </c>
      <c r="Q526" t="n">
        <v>0</v>
      </c>
      <c r="R526" s="2" t="inlineStr"/>
    </row>
    <row r="527" ht="15" customHeight="1">
      <c r="A527" t="inlineStr">
        <is>
          <t>A 12846-2025</t>
        </is>
      </c>
      <c r="B527" s="1" t="n">
        <v>45733.65049768519</v>
      </c>
      <c r="C527" s="1" t="n">
        <v>46030</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43200-2023</t>
        </is>
      </c>
      <c r="B528" s="1" t="n">
        <v>45183</v>
      </c>
      <c r="C528" s="1" t="n">
        <v>46030</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3935-2025</t>
        </is>
      </c>
      <c r="B529" s="1" t="n">
        <v>45684.46070601852</v>
      </c>
      <c r="C529" s="1" t="n">
        <v>46030</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21792-2024</t>
        </is>
      </c>
      <c r="B530" s="1" t="n">
        <v>45442.64326388889</v>
      </c>
      <c r="C530" s="1" t="n">
        <v>46030</v>
      </c>
      <c r="D530" t="inlineStr">
        <is>
          <t>GOTLANDS LÄN</t>
        </is>
      </c>
      <c r="E530" t="inlineStr">
        <is>
          <t>GOTLAND</t>
        </is>
      </c>
      <c r="G530" t="n">
        <v>1</v>
      </c>
      <c r="H530" t="n">
        <v>0</v>
      </c>
      <c r="I530" t="n">
        <v>0</v>
      </c>
      <c r="J530" t="n">
        <v>0</v>
      </c>
      <c r="K530" t="n">
        <v>0</v>
      </c>
      <c r="L530" t="n">
        <v>0</v>
      </c>
      <c r="M530" t="n">
        <v>0</v>
      </c>
      <c r="N530" t="n">
        <v>0</v>
      </c>
      <c r="O530" t="n">
        <v>0</v>
      </c>
      <c r="P530" t="n">
        <v>0</v>
      </c>
      <c r="Q530" t="n">
        <v>0</v>
      </c>
      <c r="R530" s="2" t="inlineStr"/>
    </row>
    <row r="531" ht="15" customHeight="1">
      <c r="A531" t="inlineStr">
        <is>
          <t>A 48843-2024</t>
        </is>
      </c>
      <c r="B531" s="1" t="n">
        <v>45593</v>
      </c>
      <c r="C531" s="1" t="n">
        <v>46030</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10653-2023</t>
        </is>
      </c>
      <c r="B532" s="1" t="n">
        <v>44988.48859953704</v>
      </c>
      <c r="C532" s="1" t="n">
        <v>46030</v>
      </c>
      <c r="D532" t="inlineStr">
        <is>
          <t>GOTLANDS LÄN</t>
        </is>
      </c>
      <c r="E532" t="inlineStr">
        <is>
          <t>GOTLAND</t>
        </is>
      </c>
      <c r="F532" t="inlineStr">
        <is>
          <t>Kyrkan</t>
        </is>
      </c>
      <c r="G532" t="n">
        <v>3</v>
      </c>
      <c r="H532" t="n">
        <v>0</v>
      </c>
      <c r="I532" t="n">
        <v>0</v>
      </c>
      <c r="J532" t="n">
        <v>0</v>
      </c>
      <c r="K532" t="n">
        <v>0</v>
      </c>
      <c r="L532" t="n">
        <v>0</v>
      </c>
      <c r="M532" t="n">
        <v>0</v>
      </c>
      <c r="N532" t="n">
        <v>0</v>
      </c>
      <c r="O532" t="n">
        <v>0</v>
      </c>
      <c r="P532" t="n">
        <v>0</v>
      </c>
      <c r="Q532" t="n">
        <v>0</v>
      </c>
      <c r="R532" s="2" t="inlineStr"/>
    </row>
    <row r="533" ht="15" customHeight="1">
      <c r="A533" t="inlineStr">
        <is>
          <t>A 35512-2023</t>
        </is>
      </c>
      <c r="B533" s="1" t="n">
        <v>45147.25623842593</v>
      </c>
      <c r="C533" s="1" t="n">
        <v>46030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11874-2024</t>
        </is>
      </c>
      <c r="B534" s="1" t="n">
        <v>45376.46956018519</v>
      </c>
      <c r="C534" s="1" t="n">
        <v>46030</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20225-2025</t>
        </is>
      </c>
      <c r="B535" s="1" t="n">
        <v>45772.65802083333</v>
      </c>
      <c r="C535" s="1" t="n">
        <v>46030</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1677-2023</t>
        </is>
      </c>
      <c r="B536" s="1" t="n">
        <v>44938</v>
      </c>
      <c r="C536" s="1" t="n">
        <v>46030</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64831-2023</t>
        </is>
      </c>
      <c r="B537" s="1" t="n">
        <v>45282.44924768519</v>
      </c>
      <c r="C537" s="1" t="n">
        <v>46030</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8036-2022</t>
        </is>
      </c>
      <c r="B538" s="1" t="n">
        <v>44609.44362268518</v>
      </c>
      <c r="C538" s="1" t="n">
        <v>46030</v>
      </c>
      <c r="D538" t="inlineStr">
        <is>
          <t>GOTLANDS LÄN</t>
        </is>
      </c>
      <c r="E538" t="inlineStr">
        <is>
          <t>GOTLAND</t>
        </is>
      </c>
      <c r="G538" t="n">
        <v>6.1</v>
      </c>
      <c r="H538" t="n">
        <v>0</v>
      </c>
      <c r="I538" t="n">
        <v>0</v>
      </c>
      <c r="J538" t="n">
        <v>0</v>
      </c>
      <c r="K538" t="n">
        <v>0</v>
      </c>
      <c r="L538" t="n">
        <v>0</v>
      </c>
      <c r="M538" t="n">
        <v>0</v>
      </c>
      <c r="N538" t="n">
        <v>0</v>
      </c>
      <c r="O538" t="n">
        <v>0</v>
      </c>
      <c r="P538" t="n">
        <v>0</v>
      </c>
      <c r="Q538" t="n">
        <v>0</v>
      </c>
      <c r="R538" s="2" t="inlineStr"/>
    </row>
    <row r="539" ht="15" customHeight="1">
      <c r="A539" t="inlineStr">
        <is>
          <t>A 46375-2024</t>
        </is>
      </c>
      <c r="B539" s="1" t="n">
        <v>45582</v>
      </c>
      <c r="C539" s="1" t="n">
        <v>46030</v>
      </c>
      <c r="D539" t="inlineStr">
        <is>
          <t>GOTLANDS LÄN</t>
        </is>
      </c>
      <c r="E539" t="inlineStr">
        <is>
          <t>GOTLAND</t>
        </is>
      </c>
      <c r="G539" t="n">
        <v>3</v>
      </c>
      <c r="H539" t="n">
        <v>0</v>
      </c>
      <c r="I539" t="n">
        <v>0</v>
      </c>
      <c r="J539" t="n">
        <v>0</v>
      </c>
      <c r="K539" t="n">
        <v>0</v>
      </c>
      <c r="L539" t="n">
        <v>0</v>
      </c>
      <c r="M539" t="n">
        <v>0</v>
      </c>
      <c r="N539" t="n">
        <v>0</v>
      </c>
      <c r="O539" t="n">
        <v>0</v>
      </c>
      <c r="P539" t="n">
        <v>0</v>
      </c>
      <c r="Q539" t="n">
        <v>0</v>
      </c>
      <c r="R539" s="2" t="inlineStr"/>
    </row>
    <row r="540" ht="15" customHeight="1">
      <c r="A540" t="inlineStr">
        <is>
          <t>A 62915-2021</t>
        </is>
      </c>
      <c r="B540" s="1" t="n">
        <v>44504</v>
      </c>
      <c r="C540" s="1" t="n">
        <v>46030</v>
      </c>
      <c r="D540" t="inlineStr">
        <is>
          <t>GOTLANDS LÄN</t>
        </is>
      </c>
      <c r="E540" t="inlineStr">
        <is>
          <t>GOTLAND</t>
        </is>
      </c>
      <c r="G540" t="n">
        <v>1.1</v>
      </c>
      <c r="H540" t="n">
        <v>0</v>
      </c>
      <c r="I540" t="n">
        <v>0</v>
      </c>
      <c r="J540" t="n">
        <v>0</v>
      </c>
      <c r="K540" t="n">
        <v>0</v>
      </c>
      <c r="L540" t="n">
        <v>0</v>
      </c>
      <c r="M540" t="n">
        <v>0</v>
      </c>
      <c r="N540" t="n">
        <v>0</v>
      </c>
      <c r="O540" t="n">
        <v>0</v>
      </c>
      <c r="P540" t="n">
        <v>0</v>
      </c>
      <c r="Q540" t="n">
        <v>0</v>
      </c>
      <c r="R540" s="2" t="inlineStr"/>
    </row>
    <row r="541" ht="15" customHeight="1">
      <c r="A541" t="inlineStr">
        <is>
          <t>A 7638-2025</t>
        </is>
      </c>
      <c r="B541" s="1" t="n">
        <v>45705.77306712963</v>
      </c>
      <c r="C541" s="1" t="n">
        <v>46030</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4377-2023</t>
        </is>
      </c>
      <c r="B542" s="1" t="n">
        <v>44955.5502662037</v>
      </c>
      <c r="C542" s="1" t="n">
        <v>46030</v>
      </c>
      <c r="D542" t="inlineStr">
        <is>
          <t>GOTLANDS LÄN</t>
        </is>
      </c>
      <c r="E542" t="inlineStr">
        <is>
          <t>GOTLAND</t>
        </is>
      </c>
      <c r="F542" t="inlineStr">
        <is>
          <t>Kyrkan</t>
        </is>
      </c>
      <c r="G542" t="n">
        <v>0.6</v>
      </c>
      <c r="H542" t="n">
        <v>0</v>
      </c>
      <c r="I542" t="n">
        <v>0</v>
      </c>
      <c r="J542" t="n">
        <v>0</v>
      </c>
      <c r="K542" t="n">
        <v>0</v>
      </c>
      <c r="L542" t="n">
        <v>0</v>
      </c>
      <c r="M542" t="n">
        <v>0</v>
      </c>
      <c r="N542" t="n">
        <v>0</v>
      </c>
      <c r="O542" t="n">
        <v>0</v>
      </c>
      <c r="P542" t="n">
        <v>0</v>
      </c>
      <c r="Q542" t="n">
        <v>0</v>
      </c>
      <c r="R542" s="2" t="inlineStr"/>
    </row>
    <row r="543" ht="15" customHeight="1">
      <c r="A543" t="inlineStr">
        <is>
          <t>A 43901-2023</t>
        </is>
      </c>
      <c r="B543" s="1" t="n">
        <v>45187</v>
      </c>
      <c r="C543" s="1" t="n">
        <v>46030</v>
      </c>
      <c r="D543" t="inlineStr">
        <is>
          <t>GOTLANDS LÄN</t>
        </is>
      </c>
      <c r="E543" t="inlineStr">
        <is>
          <t>GOTLAND</t>
        </is>
      </c>
      <c r="G543" t="n">
        <v>5.4</v>
      </c>
      <c r="H543" t="n">
        <v>0</v>
      </c>
      <c r="I543" t="n">
        <v>0</v>
      </c>
      <c r="J543" t="n">
        <v>0</v>
      </c>
      <c r="K543" t="n">
        <v>0</v>
      </c>
      <c r="L543" t="n">
        <v>0</v>
      </c>
      <c r="M543" t="n">
        <v>0</v>
      </c>
      <c r="N543" t="n">
        <v>0</v>
      </c>
      <c r="O543" t="n">
        <v>0</v>
      </c>
      <c r="P543" t="n">
        <v>0</v>
      </c>
      <c r="Q543" t="n">
        <v>0</v>
      </c>
      <c r="R543" s="2" t="inlineStr"/>
    </row>
    <row r="544" ht="15" customHeight="1">
      <c r="A544" t="inlineStr">
        <is>
          <t>A 17532-2024</t>
        </is>
      </c>
      <c r="B544" s="1" t="n">
        <v>45415</v>
      </c>
      <c r="C544" s="1" t="n">
        <v>46030</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45692-2023</t>
        </is>
      </c>
      <c r="B545" s="1" t="n">
        <v>45195</v>
      </c>
      <c r="C545" s="1" t="n">
        <v>46030</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37222-2021</t>
        </is>
      </c>
      <c r="B546" s="1" t="n">
        <v>44396</v>
      </c>
      <c r="C546" s="1" t="n">
        <v>46030</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46396-2023</t>
        </is>
      </c>
      <c r="B547" s="1" t="n">
        <v>45197</v>
      </c>
      <c r="C547" s="1" t="n">
        <v>46030</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58388-2022</t>
        </is>
      </c>
      <c r="B548" s="1" t="n">
        <v>44894</v>
      </c>
      <c r="C548" s="1" t="n">
        <v>46030</v>
      </c>
      <c r="D548" t="inlineStr">
        <is>
          <t>GOTLANDS LÄN</t>
        </is>
      </c>
      <c r="E548" t="inlineStr">
        <is>
          <t>GOTLAND</t>
        </is>
      </c>
      <c r="F548" t="inlineStr">
        <is>
          <t>Övriga statliga verk och myndigheter</t>
        </is>
      </c>
      <c r="G548" t="n">
        <v>3.1</v>
      </c>
      <c r="H548" t="n">
        <v>0</v>
      </c>
      <c r="I548" t="n">
        <v>0</v>
      </c>
      <c r="J548" t="n">
        <v>0</v>
      </c>
      <c r="K548" t="n">
        <v>0</v>
      </c>
      <c r="L548" t="n">
        <v>0</v>
      </c>
      <c r="M548" t="n">
        <v>0</v>
      </c>
      <c r="N548" t="n">
        <v>0</v>
      </c>
      <c r="O548" t="n">
        <v>0</v>
      </c>
      <c r="P548" t="n">
        <v>0</v>
      </c>
      <c r="Q548" t="n">
        <v>0</v>
      </c>
      <c r="R548" s="2" t="inlineStr"/>
    </row>
    <row r="549" ht="15" customHeight="1">
      <c r="A549" t="inlineStr">
        <is>
          <t>A 53934-2024</t>
        </is>
      </c>
      <c r="B549" s="1" t="n">
        <v>45615</v>
      </c>
      <c r="C549" s="1" t="n">
        <v>46030</v>
      </c>
      <c r="D549" t="inlineStr">
        <is>
          <t>GOTLANDS LÄN</t>
        </is>
      </c>
      <c r="E549" t="inlineStr">
        <is>
          <t>GOTLAND</t>
        </is>
      </c>
      <c r="G549" t="n">
        <v>5</v>
      </c>
      <c r="H549" t="n">
        <v>0</v>
      </c>
      <c r="I549" t="n">
        <v>0</v>
      </c>
      <c r="J549" t="n">
        <v>0</v>
      </c>
      <c r="K549" t="n">
        <v>0</v>
      </c>
      <c r="L549" t="n">
        <v>0</v>
      </c>
      <c r="M549" t="n">
        <v>0</v>
      </c>
      <c r="N549" t="n">
        <v>0</v>
      </c>
      <c r="O549" t="n">
        <v>0</v>
      </c>
      <c r="P549" t="n">
        <v>0</v>
      </c>
      <c r="Q549" t="n">
        <v>0</v>
      </c>
      <c r="R549" s="2" t="inlineStr"/>
    </row>
    <row r="550" ht="15" customHeight="1">
      <c r="A550" t="inlineStr">
        <is>
          <t>A 58132-2023</t>
        </is>
      </c>
      <c r="B550" s="1" t="n">
        <v>45250</v>
      </c>
      <c r="C550" s="1" t="n">
        <v>46030</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22899-2023</t>
        </is>
      </c>
      <c r="B551" s="1" t="n">
        <v>45072</v>
      </c>
      <c r="C551" s="1" t="n">
        <v>46030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28285-2024</t>
        </is>
      </c>
      <c r="B552" s="1" t="n">
        <v>45477</v>
      </c>
      <c r="C552" s="1" t="n">
        <v>46030</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51963-2024</t>
        </is>
      </c>
      <c r="B553" s="1" t="n">
        <v>45607.64833333333</v>
      </c>
      <c r="C553" s="1" t="n">
        <v>46030</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1734-2025</t>
        </is>
      </c>
      <c r="B554" s="1" t="n">
        <v>45671.3840625</v>
      </c>
      <c r="C554" s="1" t="n">
        <v>46030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30365-2024</t>
        </is>
      </c>
      <c r="B555" s="1" t="n">
        <v>45491.3716087963</v>
      </c>
      <c r="C555" s="1" t="n">
        <v>46030</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46030</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46030</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46030</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10655-2023</t>
        </is>
      </c>
      <c r="B559" s="1" t="n">
        <v>44988.49543981482</v>
      </c>
      <c r="C559" s="1" t="n">
        <v>46030</v>
      </c>
      <c r="D559" t="inlineStr">
        <is>
          <t>GOTLANDS LÄN</t>
        </is>
      </c>
      <c r="E559" t="inlineStr">
        <is>
          <t>GOTLAND</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44649-2021</t>
        </is>
      </c>
      <c r="B560" s="1" t="n">
        <v>44437</v>
      </c>
      <c r="C560" s="1" t="n">
        <v>46030</v>
      </c>
      <c r="D560" t="inlineStr">
        <is>
          <t>GOTLANDS LÄN</t>
        </is>
      </c>
      <c r="E560" t="inlineStr">
        <is>
          <t>GOTLAND</t>
        </is>
      </c>
      <c r="G560" t="n">
        <v>8.1</v>
      </c>
      <c r="H560" t="n">
        <v>0</v>
      </c>
      <c r="I560" t="n">
        <v>0</v>
      </c>
      <c r="J560" t="n">
        <v>0</v>
      </c>
      <c r="K560" t="n">
        <v>0</v>
      </c>
      <c r="L560" t="n">
        <v>0</v>
      </c>
      <c r="M560" t="n">
        <v>0</v>
      </c>
      <c r="N560" t="n">
        <v>0</v>
      </c>
      <c r="O560" t="n">
        <v>0</v>
      </c>
      <c r="P560" t="n">
        <v>0</v>
      </c>
      <c r="Q560" t="n">
        <v>0</v>
      </c>
      <c r="R560" s="2" t="inlineStr"/>
    </row>
    <row r="561" ht="15" customHeight="1">
      <c r="A561" t="inlineStr">
        <is>
          <t>A 8484-2025</t>
        </is>
      </c>
      <c r="B561" s="1" t="n">
        <v>45709</v>
      </c>
      <c r="C561" s="1" t="n">
        <v>46030</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49962-2023</t>
        </is>
      </c>
      <c r="B562" s="1" t="n">
        <v>45215.38775462963</v>
      </c>
      <c r="C562" s="1" t="n">
        <v>46030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50744-2024</t>
        </is>
      </c>
      <c r="B563" s="1" t="n">
        <v>45602.4187037037</v>
      </c>
      <c r="C563" s="1" t="n">
        <v>46030</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45244-2024</t>
        </is>
      </c>
      <c r="B564" s="1" t="n">
        <v>45576</v>
      </c>
      <c r="C564" s="1" t="n">
        <v>46030</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38787-2023</t>
        </is>
      </c>
      <c r="B565" s="1" t="n">
        <v>45163</v>
      </c>
      <c r="C565" s="1" t="n">
        <v>46030</v>
      </c>
      <c r="D565" t="inlineStr">
        <is>
          <t>GOTLANDS LÄN</t>
        </is>
      </c>
      <c r="E565" t="inlineStr">
        <is>
          <t>GOTLAND</t>
        </is>
      </c>
      <c r="G565" t="n">
        <v>0.4</v>
      </c>
      <c r="H565" t="n">
        <v>0</v>
      </c>
      <c r="I565" t="n">
        <v>0</v>
      </c>
      <c r="J565" t="n">
        <v>0</v>
      </c>
      <c r="K565" t="n">
        <v>0</v>
      </c>
      <c r="L565" t="n">
        <v>0</v>
      </c>
      <c r="M565" t="n">
        <v>0</v>
      </c>
      <c r="N565" t="n">
        <v>0</v>
      </c>
      <c r="O565" t="n">
        <v>0</v>
      </c>
      <c r="P565" t="n">
        <v>0</v>
      </c>
      <c r="Q565" t="n">
        <v>0</v>
      </c>
      <c r="R565" s="2" t="inlineStr"/>
    </row>
    <row r="566" ht="15" customHeight="1">
      <c r="A566" t="inlineStr">
        <is>
          <t>A 2714-2023</t>
        </is>
      </c>
      <c r="B566" s="1" t="n">
        <v>44944.54896990741</v>
      </c>
      <c r="C566" s="1" t="n">
        <v>46030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22897-2023</t>
        </is>
      </c>
      <c r="B567" s="1" t="n">
        <v>45072.55239583334</v>
      </c>
      <c r="C567" s="1" t="n">
        <v>46030</v>
      </c>
      <c r="D567" t="inlineStr">
        <is>
          <t>GOTLANDS LÄN</t>
        </is>
      </c>
      <c r="E567" t="inlineStr">
        <is>
          <t>GOTLAND</t>
        </is>
      </c>
      <c r="G567" t="n">
        <v>1.1</v>
      </c>
      <c r="H567" t="n">
        <v>0</v>
      </c>
      <c r="I567" t="n">
        <v>0</v>
      </c>
      <c r="J567" t="n">
        <v>0</v>
      </c>
      <c r="K567" t="n">
        <v>0</v>
      </c>
      <c r="L567" t="n">
        <v>0</v>
      </c>
      <c r="M567" t="n">
        <v>0</v>
      </c>
      <c r="N567" t="n">
        <v>0</v>
      </c>
      <c r="O567" t="n">
        <v>0</v>
      </c>
      <c r="P567" t="n">
        <v>0</v>
      </c>
      <c r="Q567" t="n">
        <v>0</v>
      </c>
      <c r="R567" s="2" t="inlineStr"/>
    </row>
    <row r="568" ht="15" customHeight="1">
      <c r="A568" t="inlineStr">
        <is>
          <t>A 4568-2025</t>
        </is>
      </c>
      <c r="B568" s="1" t="n">
        <v>45687</v>
      </c>
      <c r="C568" s="1" t="n">
        <v>46030</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1681-2023</t>
        </is>
      </c>
      <c r="B569" s="1" t="n">
        <v>44938.39715277778</v>
      </c>
      <c r="C569" s="1" t="n">
        <v>46030</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42338-2023</t>
        </is>
      </c>
      <c r="B570" s="1" t="n">
        <v>45180</v>
      </c>
      <c r="C570" s="1" t="n">
        <v>46030</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18918-2025</t>
        </is>
      </c>
      <c r="B571" s="1" t="n">
        <v>45764</v>
      </c>
      <c r="C571" s="1" t="n">
        <v>46030</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11013-2024</t>
        </is>
      </c>
      <c r="B572" s="1" t="n">
        <v>45370</v>
      </c>
      <c r="C572" s="1" t="n">
        <v>46030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45084-2024</t>
        </is>
      </c>
      <c r="B573" s="1" t="n">
        <v>45575</v>
      </c>
      <c r="C573" s="1" t="n">
        <v>46030</v>
      </c>
      <c r="D573" t="inlineStr">
        <is>
          <t>GOTLANDS LÄN</t>
        </is>
      </c>
      <c r="E573" t="inlineStr">
        <is>
          <t>GOTLAND</t>
        </is>
      </c>
      <c r="G573" t="n">
        <v>6.8</v>
      </c>
      <c r="H573" t="n">
        <v>0</v>
      </c>
      <c r="I573" t="n">
        <v>0</v>
      </c>
      <c r="J573" t="n">
        <v>0</v>
      </c>
      <c r="K573" t="n">
        <v>0</v>
      </c>
      <c r="L573" t="n">
        <v>0</v>
      </c>
      <c r="M573" t="n">
        <v>0</v>
      </c>
      <c r="N573" t="n">
        <v>0</v>
      </c>
      <c r="O573" t="n">
        <v>0</v>
      </c>
      <c r="P573" t="n">
        <v>0</v>
      </c>
      <c r="Q573" t="n">
        <v>0</v>
      </c>
      <c r="R573" s="2" t="inlineStr"/>
    </row>
    <row r="574" ht="15" customHeight="1">
      <c r="A574" t="inlineStr">
        <is>
          <t>A 20356-2022</t>
        </is>
      </c>
      <c r="B574" s="1" t="n">
        <v>44699</v>
      </c>
      <c r="C574" s="1" t="n">
        <v>46030</v>
      </c>
      <c r="D574" t="inlineStr">
        <is>
          <t>GOTLANDS LÄN</t>
        </is>
      </c>
      <c r="E574" t="inlineStr">
        <is>
          <t>GOTLAND</t>
        </is>
      </c>
      <c r="F574" t="inlineStr">
        <is>
          <t>Övriga Aktiebolag</t>
        </is>
      </c>
      <c r="G574" t="n">
        <v>4.4</v>
      </c>
      <c r="H574" t="n">
        <v>0</v>
      </c>
      <c r="I574" t="n">
        <v>0</v>
      </c>
      <c r="J574" t="n">
        <v>0</v>
      </c>
      <c r="K574" t="n">
        <v>0</v>
      </c>
      <c r="L574" t="n">
        <v>0</v>
      </c>
      <c r="M574" t="n">
        <v>0</v>
      </c>
      <c r="N574" t="n">
        <v>0</v>
      </c>
      <c r="O574" t="n">
        <v>0</v>
      </c>
      <c r="P574" t="n">
        <v>0</v>
      </c>
      <c r="Q574" t="n">
        <v>0</v>
      </c>
      <c r="R574" s="2" t="inlineStr"/>
    </row>
    <row r="575" ht="15" customHeight="1">
      <c r="A575" t="inlineStr">
        <is>
          <t>A 4868-2024</t>
        </is>
      </c>
      <c r="B575" s="1" t="n">
        <v>45329</v>
      </c>
      <c r="C575" s="1" t="n">
        <v>46030</v>
      </c>
      <c r="D575" t="inlineStr">
        <is>
          <t>GOTLANDS LÄN</t>
        </is>
      </c>
      <c r="E575" t="inlineStr">
        <is>
          <t>GOTLAND</t>
        </is>
      </c>
      <c r="G575" t="n">
        <v>7.1</v>
      </c>
      <c r="H575" t="n">
        <v>0</v>
      </c>
      <c r="I575" t="n">
        <v>0</v>
      </c>
      <c r="J575" t="n">
        <v>0</v>
      </c>
      <c r="K575" t="n">
        <v>0</v>
      </c>
      <c r="L575" t="n">
        <v>0</v>
      </c>
      <c r="M575" t="n">
        <v>0</v>
      </c>
      <c r="N575" t="n">
        <v>0</v>
      </c>
      <c r="O575" t="n">
        <v>0</v>
      </c>
      <c r="P575" t="n">
        <v>0</v>
      </c>
      <c r="Q575" t="n">
        <v>0</v>
      </c>
      <c r="R575" s="2" t="inlineStr"/>
    </row>
    <row r="576" ht="15" customHeight="1">
      <c r="A576" t="inlineStr">
        <is>
          <t>A 9613-2025</t>
        </is>
      </c>
      <c r="B576" s="1" t="n">
        <v>45715</v>
      </c>
      <c r="C576" s="1" t="n">
        <v>46030</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5386-2023</t>
        </is>
      </c>
      <c r="B577" s="1" t="n">
        <v>44959</v>
      </c>
      <c r="C577" s="1" t="n">
        <v>46030</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58211-2024</t>
        </is>
      </c>
      <c r="B578" s="1" t="n">
        <v>45632.49292824074</v>
      </c>
      <c r="C578" s="1" t="n">
        <v>46030</v>
      </c>
      <c r="D578" t="inlineStr">
        <is>
          <t>GOTLANDS LÄN</t>
        </is>
      </c>
      <c r="E578" t="inlineStr">
        <is>
          <t>GOTLAND</t>
        </is>
      </c>
      <c r="G578" t="n">
        <v>5.4</v>
      </c>
      <c r="H578" t="n">
        <v>0</v>
      </c>
      <c r="I578" t="n">
        <v>0</v>
      </c>
      <c r="J578" t="n">
        <v>0</v>
      </c>
      <c r="K578" t="n">
        <v>0</v>
      </c>
      <c r="L578" t="n">
        <v>0</v>
      </c>
      <c r="M578" t="n">
        <v>0</v>
      </c>
      <c r="N578" t="n">
        <v>0</v>
      </c>
      <c r="O578" t="n">
        <v>0</v>
      </c>
      <c r="P578" t="n">
        <v>0</v>
      </c>
      <c r="Q578" t="n">
        <v>0</v>
      </c>
      <c r="R578" s="2" t="inlineStr"/>
    </row>
    <row r="579" ht="15" customHeight="1">
      <c r="A579" t="inlineStr">
        <is>
          <t>A 11634-2024</t>
        </is>
      </c>
      <c r="B579" s="1" t="n">
        <v>45373</v>
      </c>
      <c r="C579" s="1" t="n">
        <v>46030</v>
      </c>
      <c r="D579" t="inlineStr">
        <is>
          <t>GOTLANDS LÄN</t>
        </is>
      </c>
      <c r="E579" t="inlineStr">
        <is>
          <t>GOTLAND</t>
        </is>
      </c>
      <c r="G579" t="n">
        <v>3</v>
      </c>
      <c r="H579" t="n">
        <v>0</v>
      </c>
      <c r="I579" t="n">
        <v>0</v>
      </c>
      <c r="J579" t="n">
        <v>0</v>
      </c>
      <c r="K579" t="n">
        <v>0</v>
      </c>
      <c r="L579" t="n">
        <v>0</v>
      </c>
      <c r="M579" t="n">
        <v>0</v>
      </c>
      <c r="N579" t="n">
        <v>0</v>
      </c>
      <c r="O579" t="n">
        <v>0</v>
      </c>
      <c r="P579" t="n">
        <v>0</v>
      </c>
      <c r="Q579" t="n">
        <v>0</v>
      </c>
      <c r="R579" s="2" t="inlineStr"/>
    </row>
    <row r="580" ht="15" customHeight="1">
      <c r="A580" t="inlineStr">
        <is>
          <t>A 5884-2025</t>
        </is>
      </c>
      <c r="B580" s="1" t="n">
        <v>45695.37482638889</v>
      </c>
      <c r="C580" s="1" t="n">
        <v>46030</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5897-2025</t>
        </is>
      </c>
      <c r="B581" s="1" t="n">
        <v>45695.39273148148</v>
      </c>
      <c r="C581" s="1" t="n">
        <v>46030</v>
      </c>
      <c r="D581" t="inlineStr">
        <is>
          <t>GOTLANDS LÄN</t>
        </is>
      </c>
      <c r="E581" t="inlineStr">
        <is>
          <t>GOTLAND</t>
        </is>
      </c>
      <c r="G581" t="n">
        <v>3.7</v>
      </c>
      <c r="H581" t="n">
        <v>0</v>
      </c>
      <c r="I581" t="n">
        <v>0</v>
      </c>
      <c r="J581" t="n">
        <v>0</v>
      </c>
      <c r="K581" t="n">
        <v>0</v>
      </c>
      <c r="L581" t="n">
        <v>0</v>
      </c>
      <c r="M581" t="n">
        <v>0</v>
      </c>
      <c r="N581" t="n">
        <v>0</v>
      </c>
      <c r="O581" t="n">
        <v>0</v>
      </c>
      <c r="P581" t="n">
        <v>0</v>
      </c>
      <c r="Q581" t="n">
        <v>0</v>
      </c>
      <c r="R581" s="2" t="inlineStr"/>
    </row>
    <row r="582" ht="15" customHeight="1">
      <c r="A582" t="inlineStr">
        <is>
          <t>A 5909-2025</t>
        </is>
      </c>
      <c r="B582" s="1" t="n">
        <v>45695.40634259259</v>
      </c>
      <c r="C582" s="1" t="n">
        <v>46030</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60086-2022</t>
        </is>
      </c>
      <c r="B583" s="1" t="n">
        <v>44909</v>
      </c>
      <c r="C583" s="1" t="n">
        <v>46030</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46030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25866-2022</t>
        </is>
      </c>
      <c r="B585" s="1" t="n">
        <v>44733</v>
      </c>
      <c r="C585" s="1" t="n">
        <v>46030</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9887-2025</t>
        </is>
      </c>
      <c r="B586" s="1" t="n">
        <v>45716</v>
      </c>
      <c r="C586" s="1" t="n">
        <v>46030</v>
      </c>
      <c r="D586" t="inlineStr">
        <is>
          <t>GOTLANDS LÄN</t>
        </is>
      </c>
      <c r="E586" t="inlineStr">
        <is>
          <t>GOTLAND</t>
        </is>
      </c>
      <c r="G586" t="n">
        <v>7.5</v>
      </c>
      <c r="H586" t="n">
        <v>0</v>
      </c>
      <c r="I586" t="n">
        <v>0</v>
      </c>
      <c r="J586" t="n">
        <v>0</v>
      </c>
      <c r="K586" t="n">
        <v>0</v>
      </c>
      <c r="L586" t="n">
        <v>0</v>
      </c>
      <c r="M586" t="n">
        <v>0</v>
      </c>
      <c r="N586" t="n">
        <v>0</v>
      </c>
      <c r="O586" t="n">
        <v>0</v>
      </c>
      <c r="P586" t="n">
        <v>0</v>
      </c>
      <c r="Q586" t="n">
        <v>0</v>
      </c>
      <c r="R586" s="2" t="inlineStr"/>
    </row>
    <row r="587" ht="15" customHeight="1">
      <c r="A587" t="inlineStr">
        <is>
          <t>A 12209-2024</t>
        </is>
      </c>
      <c r="B587" s="1" t="n">
        <v>45378</v>
      </c>
      <c r="C587" s="1" t="n">
        <v>46030</v>
      </c>
      <c r="D587" t="inlineStr">
        <is>
          <t>GOTLANDS LÄN</t>
        </is>
      </c>
      <c r="E587" t="inlineStr">
        <is>
          <t>GOTLAND</t>
        </is>
      </c>
      <c r="G587" t="n">
        <v>5.3</v>
      </c>
      <c r="H587" t="n">
        <v>0</v>
      </c>
      <c r="I587" t="n">
        <v>0</v>
      </c>
      <c r="J587" t="n">
        <v>0</v>
      </c>
      <c r="K587" t="n">
        <v>0</v>
      </c>
      <c r="L587" t="n">
        <v>0</v>
      </c>
      <c r="M587" t="n">
        <v>0</v>
      </c>
      <c r="N587" t="n">
        <v>0</v>
      </c>
      <c r="O587" t="n">
        <v>0</v>
      </c>
      <c r="P587" t="n">
        <v>0</v>
      </c>
      <c r="Q587" t="n">
        <v>0</v>
      </c>
      <c r="R587" s="2" t="inlineStr"/>
    </row>
    <row r="588" ht="15" customHeight="1">
      <c r="A588" t="inlineStr">
        <is>
          <t>A 12210-2024</t>
        </is>
      </c>
      <c r="B588" s="1" t="n">
        <v>45378</v>
      </c>
      <c r="C588" s="1" t="n">
        <v>46030</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59986-2022</t>
        </is>
      </c>
      <c r="B589" s="1" t="n">
        <v>44909</v>
      </c>
      <c r="C589" s="1" t="n">
        <v>46030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31802-2024</t>
        </is>
      </c>
      <c r="B590" s="1" t="n">
        <v>45509</v>
      </c>
      <c r="C590" s="1" t="n">
        <v>46030</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20993-2023</t>
        </is>
      </c>
      <c r="B591" s="1" t="n">
        <v>45056</v>
      </c>
      <c r="C591" s="1" t="n">
        <v>46030</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15042-2025</t>
        </is>
      </c>
      <c r="B592" s="1" t="n">
        <v>45743</v>
      </c>
      <c r="C592" s="1" t="n">
        <v>46030</v>
      </c>
      <c r="D592" t="inlineStr">
        <is>
          <t>GOTLANDS LÄN</t>
        </is>
      </c>
      <c r="E592" t="inlineStr">
        <is>
          <t>GOTLAND</t>
        </is>
      </c>
      <c r="G592" t="n">
        <v>8.5</v>
      </c>
      <c r="H592" t="n">
        <v>0</v>
      </c>
      <c r="I592" t="n">
        <v>0</v>
      </c>
      <c r="J592" t="n">
        <v>0</v>
      </c>
      <c r="K592" t="n">
        <v>0</v>
      </c>
      <c r="L592" t="n">
        <v>0</v>
      </c>
      <c r="M592" t="n">
        <v>0</v>
      </c>
      <c r="N592" t="n">
        <v>0</v>
      </c>
      <c r="O592" t="n">
        <v>0</v>
      </c>
      <c r="P592" t="n">
        <v>0</v>
      </c>
      <c r="Q592" t="n">
        <v>0</v>
      </c>
      <c r="R592" s="2" t="inlineStr"/>
    </row>
    <row r="593" ht="15" customHeight="1">
      <c r="A593" t="inlineStr">
        <is>
          <t>A 12327-2025</t>
        </is>
      </c>
      <c r="B593" s="1" t="n">
        <v>45730</v>
      </c>
      <c r="C593" s="1" t="n">
        <v>46030</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4420-2025</t>
        </is>
      </c>
      <c r="B594" s="1" t="n">
        <v>45686.47157407407</v>
      </c>
      <c r="C594" s="1" t="n">
        <v>46030</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14427-2024</t>
        </is>
      </c>
      <c r="B595" s="1" t="n">
        <v>45394</v>
      </c>
      <c r="C595" s="1" t="n">
        <v>46030</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49257-2024</t>
        </is>
      </c>
      <c r="B596" s="1" t="n">
        <v>45595.47627314815</v>
      </c>
      <c r="C596" s="1" t="n">
        <v>46030</v>
      </c>
      <c r="D596" t="inlineStr">
        <is>
          <t>GOTLANDS LÄN</t>
        </is>
      </c>
      <c r="E596" t="inlineStr">
        <is>
          <t>GOTLAND</t>
        </is>
      </c>
      <c r="G596" t="n">
        <v>6.3</v>
      </c>
      <c r="H596" t="n">
        <v>0</v>
      </c>
      <c r="I596" t="n">
        <v>0</v>
      </c>
      <c r="J596" t="n">
        <v>0</v>
      </c>
      <c r="K596" t="n">
        <v>0</v>
      </c>
      <c r="L596" t="n">
        <v>0</v>
      </c>
      <c r="M596" t="n">
        <v>0</v>
      </c>
      <c r="N596" t="n">
        <v>0</v>
      </c>
      <c r="O596" t="n">
        <v>0</v>
      </c>
      <c r="P596" t="n">
        <v>0</v>
      </c>
      <c r="Q596" t="n">
        <v>0</v>
      </c>
      <c r="R596" s="2" t="inlineStr"/>
    </row>
    <row r="597" ht="15" customHeight="1">
      <c r="A597" t="inlineStr">
        <is>
          <t>A 49315-2024</t>
        </is>
      </c>
      <c r="B597" s="1" t="n">
        <v>45595</v>
      </c>
      <c r="C597" s="1" t="n">
        <v>46030</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27596-2023</t>
        </is>
      </c>
      <c r="B598" s="1" t="n">
        <v>45097</v>
      </c>
      <c r="C598" s="1" t="n">
        <v>46030</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56115-2023</t>
        </is>
      </c>
      <c r="B599" s="1" t="n">
        <v>45236</v>
      </c>
      <c r="C599" s="1" t="n">
        <v>46030</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64969-2023</t>
        </is>
      </c>
      <c r="B600" s="1" t="n">
        <v>45284.54009259259</v>
      </c>
      <c r="C600" s="1" t="n">
        <v>46030</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33853-2024</t>
        </is>
      </c>
      <c r="B601" s="1" t="n">
        <v>45520.64298611111</v>
      </c>
      <c r="C601" s="1" t="n">
        <v>46030</v>
      </c>
      <c r="D601" t="inlineStr">
        <is>
          <t>GOTLANDS LÄN</t>
        </is>
      </c>
      <c r="E601" t="inlineStr">
        <is>
          <t>GOTLAND</t>
        </is>
      </c>
      <c r="G601" t="n">
        <v>3.9</v>
      </c>
      <c r="H601" t="n">
        <v>0</v>
      </c>
      <c r="I601" t="n">
        <v>0</v>
      </c>
      <c r="J601" t="n">
        <v>0</v>
      </c>
      <c r="K601" t="n">
        <v>0</v>
      </c>
      <c r="L601" t="n">
        <v>0</v>
      </c>
      <c r="M601" t="n">
        <v>0</v>
      </c>
      <c r="N601" t="n">
        <v>0</v>
      </c>
      <c r="O601" t="n">
        <v>0</v>
      </c>
      <c r="P601" t="n">
        <v>0</v>
      </c>
      <c r="Q601" t="n">
        <v>0</v>
      </c>
      <c r="R601" s="2" t="inlineStr"/>
    </row>
    <row r="602" ht="15" customHeight="1">
      <c r="A602" t="inlineStr">
        <is>
          <t>A 18223-2025</t>
        </is>
      </c>
      <c r="B602" s="1" t="n">
        <v>45761</v>
      </c>
      <c r="C602" s="1" t="n">
        <v>46030</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46949-2024</t>
        </is>
      </c>
      <c r="B603" s="1" t="n">
        <v>45585</v>
      </c>
      <c r="C603" s="1" t="n">
        <v>46030</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24001-2021</t>
        </is>
      </c>
      <c r="B604" s="1" t="n">
        <v>44335</v>
      </c>
      <c r="C604" s="1" t="n">
        <v>46030</v>
      </c>
      <c r="D604" t="inlineStr">
        <is>
          <t>GOTLANDS LÄN</t>
        </is>
      </c>
      <c r="E604" t="inlineStr">
        <is>
          <t>GOTLAND</t>
        </is>
      </c>
      <c r="G604" t="n">
        <v>3.4</v>
      </c>
      <c r="H604" t="n">
        <v>0</v>
      </c>
      <c r="I604" t="n">
        <v>0</v>
      </c>
      <c r="J604" t="n">
        <v>0</v>
      </c>
      <c r="K604" t="n">
        <v>0</v>
      </c>
      <c r="L604" t="n">
        <v>0</v>
      </c>
      <c r="M604" t="n">
        <v>0</v>
      </c>
      <c r="N604" t="n">
        <v>0</v>
      </c>
      <c r="O604" t="n">
        <v>0</v>
      </c>
      <c r="P604" t="n">
        <v>0</v>
      </c>
      <c r="Q604" t="n">
        <v>0</v>
      </c>
      <c r="R604" s="2" t="inlineStr"/>
    </row>
    <row r="605" ht="15" customHeight="1">
      <c r="A605" t="inlineStr">
        <is>
          <t>A 39479-2022</t>
        </is>
      </c>
      <c r="B605" s="1" t="n">
        <v>44818</v>
      </c>
      <c r="C605" s="1" t="n">
        <v>46030</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39496-2022</t>
        </is>
      </c>
      <c r="B606" s="1" t="n">
        <v>44818</v>
      </c>
      <c r="C606" s="1" t="n">
        <v>46030</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ht="15" customHeight="1">
      <c r="A607" t="inlineStr">
        <is>
          <t>A 46389-2021</t>
        </is>
      </c>
      <c r="B607" s="1" t="n">
        <v>44443</v>
      </c>
      <c r="C607" s="1" t="n">
        <v>46030</v>
      </c>
      <c r="D607" t="inlineStr">
        <is>
          <t>GOTLANDS LÄN</t>
        </is>
      </c>
      <c r="E607" t="inlineStr">
        <is>
          <t>GOTLAND</t>
        </is>
      </c>
      <c r="F607" t="inlineStr">
        <is>
          <t>Kyrkan</t>
        </is>
      </c>
      <c r="G607" t="n">
        <v>2.1</v>
      </c>
      <c r="H607" t="n">
        <v>0</v>
      </c>
      <c r="I607" t="n">
        <v>0</v>
      </c>
      <c r="J607" t="n">
        <v>0</v>
      </c>
      <c r="K607" t="n">
        <v>0</v>
      </c>
      <c r="L607" t="n">
        <v>0</v>
      </c>
      <c r="M607" t="n">
        <v>0</v>
      </c>
      <c r="N607" t="n">
        <v>0</v>
      </c>
      <c r="O607" t="n">
        <v>0</v>
      </c>
      <c r="P607" t="n">
        <v>0</v>
      </c>
      <c r="Q607" t="n">
        <v>0</v>
      </c>
      <c r="R607" s="2" t="inlineStr"/>
    </row>
    <row r="608" ht="15" customHeight="1">
      <c r="A608" t="inlineStr">
        <is>
          <t>A 44949-2023</t>
        </is>
      </c>
      <c r="B608" s="1" t="n">
        <v>45190.69520833333</v>
      </c>
      <c r="C608" s="1" t="n">
        <v>46030</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17682-2024</t>
        </is>
      </c>
      <c r="B609" s="1" t="n">
        <v>45418.42966435185</v>
      </c>
      <c r="C609" s="1" t="n">
        <v>46030</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61897-2024</t>
        </is>
      </c>
      <c r="B610" s="1" t="n">
        <v>45652.75685185185</v>
      </c>
      <c r="C610" s="1" t="n">
        <v>46030</v>
      </c>
      <c r="D610" t="inlineStr">
        <is>
          <t>GOTLANDS LÄN</t>
        </is>
      </c>
      <c r="E610" t="inlineStr">
        <is>
          <t>GOTLAND</t>
        </is>
      </c>
      <c r="G610" t="n">
        <v>6.4</v>
      </c>
      <c r="H610" t="n">
        <v>0</v>
      </c>
      <c r="I610" t="n">
        <v>0</v>
      </c>
      <c r="J610" t="n">
        <v>0</v>
      </c>
      <c r="K610" t="n">
        <v>0</v>
      </c>
      <c r="L610" t="n">
        <v>0</v>
      </c>
      <c r="M610" t="n">
        <v>0</v>
      </c>
      <c r="N610" t="n">
        <v>0</v>
      </c>
      <c r="O610" t="n">
        <v>0</v>
      </c>
      <c r="P610" t="n">
        <v>0</v>
      </c>
      <c r="Q610" t="n">
        <v>0</v>
      </c>
      <c r="R610" s="2" t="inlineStr"/>
    </row>
    <row r="611" ht="15" customHeight="1">
      <c r="A611" t="inlineStr">
        <is>
          <t>A 12032-2025</t>
        </is>
      </c>
      <c r="B611" s="1" t="n">
        <v>45728.64472222222</v>
      </c>
      <c r="C611" s="1" t="n">
        <v>46030</v>
      </c>
      <c r="D611" t="inlineStr">
        <is>
          <t>GOTLANDS LÄN</t>
        </is>
      </c>
      <c r="E611" t="inlineStr">
        <is>
          <t>GOTLAND</t>
        </is>
      </c>
      <c r="G611" t="n">
        <v>1.4</v>
      </c>
      <c r="H611" t="n">
        <v>0</v>
      </c>
      <c r="I611" t="n">
        <v>0</v>
      </c>
      <c r="J611" t="n">
        <v>0</v>
      </c>
      <c r="K611" t="n">
        <v>0</v>
      </c>
      <c r="L611" t="n">
        <v>0</v>
      </c>
      <c r="M611" t="n">
        <v>0</v>
      </c>
      <c r="N611" t="n">
        <v>0</v>
      </c>
      <c r="O611" t="n">
        <v>0</v>
      </c>
      <c r="P611" t="n">
        <v>0</v>
      </c>
      <c r="Q611" t="n">
        <v>0</v>
      </c>
      <c r="R611" s="2" t="inlineStr"/>
    </row>
    <row r="612" ht="15" customHeight="1">
      <c r="A612" t="inlineStr">
        <is>
          <t>A 15595-2024</t>
        </is>
      </c>
      <c r="B612" s="1" t="n">
        <v>45401.81480324074</v>
      </c>
      <c r="C612" s="1" t="n">
        <v>46030</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21164-2024</t>
        </is>
      </c>
      <c r="B613" s="1" t="n">
        <v>45440</v>
      </c>
      <c r="C613" s="1" t="n">
        <v>46030</v>
      </c>
      <c r="D613" t="inlineStr">
        <is>
          <t>GOTLANDS LÄN</t>
        </is>
      </c>
      <c r="E613" t="inlineStr">
        <is>
          <t>GOTLAND</t>
        </is>
      </c>
      <c r="G613" t="n">
        <v>6.3</v>
      </c>
      <c r="H613" t="n">
        <v>0</v>
      </c>
      <c r="I613" t="n">
        <v>0</v>
      </c>
      <c r="J613" t="n">
        <v>0</v>
      </c>
      <c r="K613" t="n">
        <v>0</v>
      </c>
      <c r="L613" t="n">
        <v>0</v>
      </c>
      <c r="M613" t="n">
        <v>0</v>
      </c>
      <c r="N613" t="n">
        <v>0</v>
      </c>
      <c r="O613" t="n">
        <v>0</v>
      </c>
      <c r="P613" t="n">
        <v>0</v>
      </c>
      <c r="Q613" t="n">
        <v>0</v>
      </c>
      <c r="R613" s="2" t="inlineStr"/>
    </row>
    <row r="614" ht="15" customHeight="1">
      <c r="A614" t="inlineStr">
        <is>
          <t>A 17541-2024</t>
        </is>
      </c>
      <c r="B614" s="1" t="n">
        <v>45415</v>
      </c>
      <c r="C614" s="1" t="n">
        <v>46030</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883-2025</t>
        </is>
      </c>
      <c r="B615" s="1" t="n">
        <v>45665</v>
      </c>
      <c r="C615" s="1" t="n">
        <v>46030</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13910-2025</t>
        </is>
      </c>
      <c r="B616" s="1" t="n">
        <v>45737</v>
      </c>
      <c r="C616" s="1" t="n">
        <v>46030</v>
      </c>
      <c r="D616" t="inlineStr">
        <is>
          <t>GOTLANDS LÄN</t>
        </is>
      </c>
      <c r="E616" t="inlineStr">
        <is>
          <t>GOTLAND</t>
        </is>
      </c>
      <c r="F616" t="inlineStr">
        <is>
          <t>Kommuner</t>
        </is>
      </c>
      <c r="G616" t="n">
        <v>3.2</v>
      </c>
      <c r="H616" t="n">
        <v>0</v>
      </c>
      <c r="I616" t="n">
        <v>0</v>
      </c>
      <c r="J616" t="n">
        <v>0</v>
      </c>
      <c r="K616" t="n">
        <v>0</v>
      </c>
      <c r="L616" t="n">
        <v>0</v>
      </c>
      <c r="M616" t="n">
        <v>0</v>
      </c>
      <c r="N616" t="n">
        <v>0</v>
      </c>
      <c r="O616" t="n">
        <v>0</v>
      </c>
      <c r="P616" t="n">
        <v>0</v>
      </c>
      <c r="Q616" t="n">
        <v>0</v>
      </c>
      <c r="R616" s="2" t="inlineStr"/>
    </row>
    <row r="617" ht="15" customHeight="1">
      <c r="A617" t="inlineStr">
        <is>
          <t>A 20794-2025</t>
        </is>
      </c>
      <c r="B617" s="1" t="n">
        <v>45776</v>
      </c>
      <c r="C617" s="1" t="n">
        <v>46030</v>
      </c>
      <c r="D617" t="inlineStr">
        <is>
          <t>GOTLANDS LÄN</t>
        </is>
      </c>
      <c r="E617" t="inlineStr">
        <is>
          <t>GOTLAND</t>
        </is>
      </c>
      <c r="G617" t="n">
        <v>6</v>
      </c>
      <c r="H617" t="n">
        <v>0</v>
      </c>
      <c r="I617" t="n">
        <v>0</v>
      </c>
      <c r="J617" t="n">
        <v>0</v>
      </c>
      <c r="K617" t="n">
        <v>0</v>
      </c>
      <c r="L617" t="n">
        <v>0</v>
      </c>
      <c r="M617" t="n">
        <v>0</v>
      </c>
      <c r="N617" t="n">
        <v>0</v>
      </c>
      <c r="O617" t="n">
        <v>0</v>
      </c>
      <c r="P617" t="n">
        <v>0</v>
      </c>
      <c r="Q617" t="n">
        <v>0</v>
      </c>
      <c r="R617" s="2" t="inlineStr"/>
    </row>
    <row r="618" ht="15" customHeight="1">
      <c r="A618" t="inlineStr">
        <is>
          <t>A 20805-2025</t>
        </is>
      </c>
      <c r="B618" s="1" t="n">
        <v>45776</v>
      </c>
      <c r="C618" s="1" t="n">
        <v>46030</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21389-2025</t>
        </is>
      </c>
      <c r="B619" s="1" t="n">
        <v>45782</v>
      </c>
      <c r="C619" s="1" t="n">
        <v>46030</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c r="A620" t="inlineStr">
        <is>
          <t>A 21651-2025</t>
        </is>
      </c>
      <c r="B620" s="1" t="n">
        <v>45783</v>
      </c>
      <c r="C620" s="1" t="n">
        <v>46030</v>
      </c>
      <c r="D620" t="inlineStr">
        <is>
          <t>GOTLANDS LÄN</t>
        </is>
      </c>
      <c r="E620" t="inlineStr">
        <is>
          <t>GOTLAND</t>
        </is>
      </c>
      <c r="G620" t="n">
        <v>4.2</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2026-01-08T10:45:06Z</dcterms:created>
  <dcterms:modified xmlns:dcterms="http://purl.org/dc/terms/" xmlns:xsi="http://www.w3.org/2001/XMLSchema-instance" xsi:type="dcterms:W3CDTF">2026-01-08T10:45:06Z</dcterms:modified>
</cp:coreProperties>
</file>