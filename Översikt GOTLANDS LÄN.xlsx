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45934</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45722.48222222222</v>
      </c>
      <c r="C6" s="1" t="n">
        <v>45934</v>
      </c>
      <c r="D6" t="inlineStr">
        <is>
          <t>GOTLANDS LÄN</t>
        </is>
      </c>
      <c r="E6" t="inlineStr">
        <is>
          <t>GOTLAND</t>
        </is>
      </c>
      <c r="G6" t="n">
        <v>6.1</v>
      </c>
      <c r="H6" t="n">
        <v>11</v>
      </c>
      <c r="I6" t="n">
        <v>13</v>
      </c>
      <c r="J6" t="n">
        <v>10</v>
      </c>
      <c r="K6" t="n">
        <v>6</v>
      </c>
      <c r="L6" t="n">
        <v>1</v>
      </c>
      <c r="M6" t="n">
        <v>0</v>
      </c>
      <c r="N6" t="n">
        <v>0</v>
      </c>
      <c r="O6" t="n">
        <v>17</v>
      </c>
      <c r="P6" t="n">
        <v>7</v>
      </c>
      <c r="Q6" t="n">
        <v>35</v>
      </c>
      <c r="R6" s="2" t="inlineStr">
        <is>
          <t>Ask
Bullspindling
Duvspindling
Gul lammticka
Gulsträngad fagerspindling
Knärot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45934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45934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45934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33728-2025</t>
        </is>
      </c>
      <c r="B10" s="1" t="n">
        <v>45842.29344907407</v>
      </c>
      <c r="C10" s="1" t="n">
        <v>45934</v>
      </c>
      <c r="D10" t="inlineStr">
        <is>
          <t>GOTLANDS LÄN</t>
        </is>
      </c>
      <c r="E10" t="inlineStr">
        <is>
          <t>GOTLAND</t>
        </is>
      </c>
      <c r="G10" t="n">
        <v>9.5</v>
      </c>
      <c r="H10" t="n">
        <v>3</v>
      </c>
      <c r="I10" t="n">
        <v>11</v>
      </c>
      <c r="J10" t="n">
        <v>11</v>
      </c>
      <c r="K10" t="n">
        <v>6</v>
      </c>
      <c r="L10" t="n">
        <v>2</v>
      </c>
      <c r="M10" t="n">
        <v>0</v>
      </c>
      <c r="N10" t="n">
        <v>0</v>
      </c>
      <c r="O10" t="n">
        <v>19</v>
      </c>
      <c r="P10" t="n">
        <v>8</v>
      </c>
      <c r="Q10" t="n">
        <v>30</v>
      </c>
      <c r="R10" s="2" t="inlineStr">
        <is>
          <t>Ask
Sienamusseron
Gotlandsmåra
Läderdoftande fingersvamp
Mörkfjällig olivspindling
Narrspindling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Skarp dropptaggsvamp
Skogsknipprot
Strimspindling
Svavelriska
Tjockfotad fingersvamp
Trådticka</t>
        </is>
      </c>
      <c r="S10">
        <f>HYPERLINK("https://klasma.github.io/Logging_0980/artfynd/A 33728-2025 artfynd.xlsx", "A 33728-2025")</f>
        <v/>
      </c>
      <c r="T10">
        <f>HYPERLINK("https://klasma.github.io/Logging_0980/kartor/A 33728-2025 karta.png", "A 33728-2025")</f>
        <v/>
      </c>
      <c r="V10">
        <f>HYPERLINK("https://klasma.github.io/Logging_0980/klagomål/A 33728-2025 FSC-klagomål.docx", "A 33728-2025")</f>
        <v/>
      </c>
      <c r="W10">
        <f>HYPERLINK("https://klasma.github.io/Logging_0980/klagomålsmail/A 33728-2025 FSC-klagomål mail.docx", "A 33728-2025")</f>
        <v/>
      </c>
      <c r="X10">
        <f>HYPERLINK("https://klasma.github.io/Logging_0980/tillsyn/A 33728-2025 tillsynsbegäran.docx", "A 33728-2025")</f>
        <v/>
      </c>
      <c r="Y10">
        <f>HYPERLINK("https://klasma.github.io/Logging_0980/tillsynsmail/A 33728-2025 tillsynsbegäran mail.docx", "A 33728-2025")</f>
        <v/>
      </c>
      <c r="Z10">
        <f>HYPERLINK("https://klasma.github.io/Logging_0980/fåglar/A 33728-2025 prioriterade fågelarter.docx", "A 33728-2025")</f>
        <v/>
      </c>
    </row>
    <row r="11" ht="15" customHeight="1">
      <c r="A11" t="inlineStr">
        <is>
          <t>A 61664-2023</t>
        </is>
      </c>
      <c r="B11" s="1" t="n">
        <v>45265</v>
      </c>
      <c r="C11" s="1" t="n">
        <v>45934</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45934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45934</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45934</v>
      </c>
      <c r="D14" t="inlineStr">
        <is>
          <t>GOTLANDS LÄN</t>
        </is>
      </c>
      <c r="E14" t="inlineStr">
        <is>
          <t>GOTLAND</t>
        </is>
      </c>
      <c r="G14" t="n">
        <v>15.8</v>
      </c>
      <c r="H14" t="n">
        <v>3</v>
      </c>
      <c r="I14" t="n">
        <v>10</v>
      </c>
      <c r="J14" t="n">
        <v>6</v>
      </c>
      <c r="K14" t="n">
        <v>12</v>
      </c>
      <c r="L14" t="n">
        <v>0</v>
      </c>
      <c r="M14" t="n">
        <v>0</v>
      </c>
      <c r="N14" t="n">
        <v>0</v>
      </c>
      <c r="O14" t="n">
        <v>18</v>
      </c>
      <c r="P14" t="n">
        <v>12</v>
      </c>
      <c r="Q14" t="n">
        <v>29</v>
      </c>
      <c r="R14"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45934</v>
      </c>
      <c r="D15" t="inlineStr">
        <is>
          <t>GOTLANDS LÄN</t>
        </is>
      </c>
      <c r="E15" t="inlineStr">
        <is>
          <t>GOTLAND</t>
        </is>
      </c>
      <c r="G15" t="n">
        <v>10.4</v>
      </c>
      <c r="H15" t="n">
        <v>3</v>
      </c>
      <c r="I15" t="n">
        <v>12</v>
      </c>
      <c r="J15" t="n">
        <v>3</v>
      </c>
      <c r="K15" t="n">
        <v>8</v>
      </c>
      <c r="L15" t="n">
        <v>1</v>
      </c>
      <c r="M15" t="n">
        <v>0</v>
      </c>
      <c r="N15" t="n">
        <v>0</v>
      </c>
      <c r="O15" t="n">
        <v>13</v>
      </c>
      <c r="P15" t="n">
        <v>9</v>
      </c>
      <c r="Q15" t="n">
        <v>26</v>
      </c>
      <c r="R15"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922-2023</t>
        </is>
      </c>
      <c r="B16" s="1" t="n">
        <v>44932</v>
      </c>
      <c r="C16" s="1" t="n">
        <v>45934</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40235-2025</t>
        </is>
      </c>
      <c r="B17" s="1" t="n">
        <v>45894.74005787037</v>
      </c>
      <c r="C17" s="1" t="n">
        <v>45934</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569-2023</t>
        </is>
      </c>
      <c r="B18" s="1" t="n">
        <v>44930</v>
      </c>
      <c r="C18" s="1" t="n">
        <v>45934</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45934</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45934</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8645-2025</t>
        </is>
      </c>
      <c r="B21" s="1" t="n">
        <v>45712</v>
      </c>
      <c r="C21" s="1" t="n">
        <v>45934</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45934</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45934</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45934</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45934</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61697-2023</t>
        </is>
      </c>
      <c r="B26" s="1" t="n">
        <v>45265</v>
      </c>
      <c r="C26" s="1" t="n">
        <v>45934</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17762-2024</t>
        </is>
      </c>
      <c r="B27" s="1" t="n">
        <v>45418</v>
      </c>
      <c r="C27" s="1" t="n">
        <v>45934</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15629-2024</t>
        </is>
      </c>
      <c r="B28" s="1" t="n">
        <v>45402.78372685185</v>
      </c>
      <c r="C28" s="1" t="n">
        <v>45934</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45934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6153-2024</t>
        </is>
      </c>
      <c r="B30" s="1" t="n">
        <v>45337</v>
      </c>
      <c r="C30" s="1" t="n">
        <v>45934</v>
      </c>
      <c r="D30" t="inlineStr">
        <is>
          <t>GOTLANDS LÄN</t>
        </is>
      </c>
      <c r="E30" t="inlineStr">
        <is>
          <t>GOTLAND</t>
        </is>
      </c>
      <c r="G30" t="n">
        <v>14.2</v>
      </c>
      <c r="H30" t="n">
        <v>0</v>
      </c>
      <c r="I30" t="n">
        <v>5</v>
      </c>
      <c r="J30" t="n">
        <v>1</v>
      </c>
      <c r="K30" t="n">
        <v>7</v>
      </c>
      <c r="L30" t="n">
        <v>2</v>
      </c>
      <c r="M30" t="n">
        <v>0</v>
      </c>
      <c r="N30" t="n">
        <v>0</v>
      </c>
      <c r="O30" t="n">
        <v>10</v>
      </c>
      <c r="P30" t="n">
        <v>9</v>
      </c>
      <c r="Q30" t="n">
        <v>15</v>
      </c>
      <c r="R30" s="2" t="inlineStr">
        <is>
          <t>Ask
Svartnande fingersvamp
Gul lammticka
Gulsträngad fagerspindling
Läderdoftande fingersvamp
Mörkfjällig olivspindling
Narrspindling
Svartgrön spindling
Violettfläckig spindling
Odörspindling
Anisspindling
Blå slemspindling
Kryddspindling
Mindre märgborre
Olivspindling</t>
        </is>
      </c>
      <c r="S30">
        <f>HYPERLINK("https://klasma.github.io/Logging_0980/artfynd/A 6153-2024 artfynd.xlsx", "A 6153-2024")</f>
        <v/>
      </c>
      <c r="T30">
        <f>HYPERLINK("https://klasma.github.io/Logging_0980/kartor/A 6153-2024 karta.png", "A 6153-2024")</f>
        <v/>
      </c>
      <c r="V30">
        <f>HYPERLINK("https://klasma.github.io/Logging_0980/klagomål/A 6153-2024 FSC-klagomål.docx", "A 6153-2024")</f>
        <v/>
      </c>
      <c r="W30">
        <f>HYPERLINK("https://klasma.github.io/Logging_0980/klagomålsmail/A 6153-2024 FSC-klagomål mail.docx", "A 6153-2024")</f>
        <v/>
      </c>
      <c r="X30">
        <f>HYPERLINK("https://klasma.github.io/Logging_0980/tillsyn/A 6153-2024 tillsynsbegäran.docx", "A 6153-2024")</f>
        <v/>
      </c>
      <c r="Y30">
        <f>HYPERLINK("https://klasma.github.io/Logging_0980/tillsynsmail/A 6153-2024 tillsynsbegäran mail.docx", "A 6153-2024")</f>
        <v/>
      </c>
    </row>
    <row r="31" ht="15" customHeight="1">
      <c r="A31" t="inlineStr">
        <is>
          <t>A 2222-2024</t>
        </is>
      </c>
      <c r="B31" s="1" t="n">
        <v>45309</v>
      </c>
      <c r="C31" s="1" t="n">
        <v>45934</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24309-2025</t>
        </is>
      </c>
      <c r="B32" s="1" t="n">
        <v>45797</v>
      </c>
      <c r="C32" s="1" t="n">
        <v>45934</v>
      </c>
      <c r="D32" t="inlineStr">
        <is>
          <t>GOTLANDS LÄN</t>
        </is>
      </c>
      <c r="E32" t="inlineStr">
        <is>
          <t>GOTLAND</t>
        </is>
      </c>
      <c r="F32" t="inlineStr">
        <is>
          <t>Kyrkan</t>
        </is>
      </c>
      <c r="G32" t="n">
        <v>7.8</v>
      </c>
      <c r="H32" t="n">
        <v>11</v>
      </c>
      <c r="I32" t="n">
        <v>6</v>
      </c>
      <c r="J32" t="n">
        <v>3</v>
      </c>
      <c r="K32" t="n">
        <v>1</v>
      </c>
      <c r="L32" t="n">
        <v>1</v>
      </c>
      <c r="M32" t="n">
        <v>0</v>
      </c>
      <c r="N32" t="n">
        <v>0</v>
      </c>
      <c r="O32" t="n">
        <v>5</v>
      </c>
      <c r="P32" t="n">
        <v>2</v>
      </c>
      <c r="Q32" t="n">
        <v>14</v>
      </c>
      <c r="R32" s="2" t="inlineStr">
        <is>
          <t>Grönfink
Garderönn
Dårgräsfjäril
Spillkråka
Svinrot
Grönpyrola
Purpurknipprot
Skogsknipprot
Strävlosta
Tvåblad
Vit skogslilja
Halsbandsflugsnappare
Nattviol
Blåsippa</t>
        </is>
      </c>
      <c r="S32">
        <f>HYPERLINK("https://klasma.github.io/Logging_0980/artfynd/A 24309-2025 artfynd.xlsx", "A 24309-2025")</f>
        <v/>
      </c>
      <c r="T32">
        <f>HYPERLINK("https://klasma.github.io/Logging_0980/kartor/A 24309-2025 karta.png", "A 24309-2025")</f>
        <v/>
      </c>
      <c r="V32">
        <f>HYPERLINK("https://klasma.github.io/Logging_0980/klagomål/A 24309-2025 FSC-klagomål.docx", "A 24309-2025")</f>
        <v/>
      </c>
      <c r="W32">
        <f>HYPERLINK("https://klasma.github.io/Logging_0980/klagomålsmail/A 24309-2025 FSC-klagomål mail.docx", "A 24309-2025")</f>
        <v/>
      </c>
      <c r="X32">
        <f>HYPERLINK("https://klasma.github.io/Logging_0980/tillsyn/A 24309-2025 tillsynsbegäran.docx", "A 24309-2025")</f>
        <v/>
      </c>
      <c r="Y32">
        <f>HYPERLINK("https://klasma.github.io/Logging_0980/tillsynsmail/A 24309-2025 tillsynsbegäran mail.docx", "A 24309-2025")</f>
        <v/>
      </c>
      <c r="Z32">
        <f>HYPERLINK("https://klasma.github.io/Logging_0980/fåglar/A 24309-2025 prioriterade fågelarter.docx", "A 24309-2025")</f>
        <v/>
      </c>
    </row>
    <row r="33" ht="15" customHeight="1">
      <c r="A33" t="inlineStr">
        <is>
          <t>A 25779-2022</t>
        </is>
      </c>
      <c r="B33" s="1" t="n">
        <v>44733</v>
      </c>
      <c r="C33" s="1" t="n">
        <v>45934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445-2023</t>
        </is>
      </c>
      <c r="B34" s="1" t="n">
        <v>44929</v>
      </c>
      <c r="C34" s="1" t="n">
        <v>45934</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45934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45934</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45934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45934</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45934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45934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45934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45934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30542-2025</t>
        </is>
      </c>
      <c r="B43" s="1" t="n">
        <v>45831</v>
      </c>
      <c r="C43" s="1" t="n">
        <v>45934</v>
      </c>
      <c r="D43" t="inlineStr">
        <is>
          <t>GOTLANDS LÄN</t>
        </is>
      </c>
      <c r="E43" t="inlineStr">
        <is>
          <t>GOTLAND</t>
        </is>
      </c>
      <c r="G43" t="n">
        <v>8.300000000000001</v>
      </c>
      <c r="H43" t="n">
        <v>5</v>
      </c>
      <c r="I43" t="n">
        <v>3</v>
      </c>
      <c r="J43" t="n">
        <v>6</v>
      </c>
      <c r="K43" t="n">
        <v>0</v>
      </c>
      <c r="L43" t="n">
        <v>1</v>
      </c>
      <c r="M43" t="n">
        <v>0</v>
      </c>
      <c r="N43" t="n">
        <v>0</v>
      </c>
      <c r="O43" t="n">
        <v>7</v>
      </c>
      <c r="P43" t="n">
        <v>1</v>
      </c>
      <c r="Q43" t="n">
        <v>12</v>
      </c>
      <c r="R43" s="2" t="inlineStr">
        <is>
          <t>Ask
Backtimjan
Dårgräsfjäril
Jordtistel
Solvända
Svinrot
Ängsstarr
Blåmossa
Skogsknipprot
Tvåblad
Brudsporre
Fläcknycklar</t>
        </is>
      </c>
      <c r="S43">
        <f>HYPERLINK("https://klasma.github.io/Logging_0980/artfynd/A 30542-2025 artfynd.xlsx", "A 30542-2025")</f>
        <v/>
      </c>
      <c r="T43">
        <f>HYPERLINK("https://klasma.github.io/Logging_0980/kartor/A 30542-2025 karta.png", "A 30542-2025")</f>
        <v/>
      </c>
      <c r="V43">
        <f>HYPERLINK("https://klasma.github.io/Logging_0980/klagomål/A 30542-2025 FSC-klagomål.docx", "A 30542-2025")</f>
        <v/>
      </c>
      <c r="W43">
        <f>HYPERLINK("https://klasma.github.io/Logging_0980/klagomålsmail/A 30542-2025 FSC-klagomål mail.docx", "A 30542-2025")</f>
        <v/>
      </c>
      <c r="X43">
        <f>HYPERLINK("https://klasma.github.io/Logging_0980/tillsyn/A 30542-2025 tillsynsbegäran.docx", "A 30542-2025")</f>
        <v/>
      </c>
      <c r="Y43">
        <f>HYPERLINK("https://klasma.github.io/Logging_0980/tillsynsmail/A 30542-2025 tillsynsbegäran mail.docx", "A 30542-2025")</f>
        <v/>
      </c>
    </row>
    <row r="44" ht="15" customHeight="1">
      <c r="A44" t="inlineStr">
        <is>
          <t>A 6052-2024</t>
        </is>
      </c>
      <c r="B44" s="1" t="n">
        <v>45336</v>
      </c>
      <c r="C44" s="1" t="n">
        <v>45934</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45934</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45934</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33153-2024</t>
        </is>
      </c>
      <c r="B47" s="1" t="n">
        <v>45518</v>
      </c>
      <c r="C47" s="1" t="n">
        <v>45934</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584-2023</t>
        </is>
      </c>
      <c r="B48" s="1" t="n">
        <v>44930</v>
      </c>
      <c r="C48" s="1" t="n">
        <v>45934</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1719-2025</t>
        </is>
      </c>
      <c r="B49" s="1" t="n">
        <v>45671</v>
      </c>
      <c r="C49" s="1" t="n">
        <v>45934</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45934</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45934</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14354-2024</t>
        </is>
      </c>
      <c r="B52" s="1" t="n">
        <v>45393</v>
      </c>
      <c r="C52" s="1" t="n">
        <v>45934</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45934</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45934</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7039-2023</t>
        </is>
      </c>
      <c r="B55" s="1" t="n">
        <v>44968</v>
      </c>
      <c r="C55" s="1" t="n">
        <v>45934</v>
      </c>
      <c r="D55" t="inlineStr">
        <is>
          <t>GOTLANDS LÄN</t>
        </is>
      </c>
      <c r="E55" t="inlineStr">
        <is>
          <t>GOTLAND</t>
        </is>
      </c>
      <c r="G55" t="n">
        <v>2.9</v>
      </c>
      <c r="H55" t="n">
        <v>1</v>
      </c>
      <c r="I55" t="n">
        <v>3</v>
      </c>
      <c r="J55" t="n">
        <v>1</v>
      </c>
      <c r="K55" t="n">
        <v>1</v>
      </c>
      <c r="L55" t="n">
        <v>1</v>
      </c>
      <c r="M55" t="n">
        <v>1</v>
      </c>
      <c r="N55" t="n">
        <v>0</v>
      </c>
      <c r="O55" t="n">
        <v>5</v>
      </c>
      <c r="P55" t="n">
        <v>3</v>
      </c>
      <c r="Q55" t="n">
        <v>8</v>
      </c>
      <c r="R55" s="2" t="inlineStr">
        <is>
          <t>Stor blanklav
Ädellav
Mörk kraterlav
Dårgräsfjäril
Frostig asplav
Havstulpanlav
Klippfrullania
Stubbspretmossa</t>
        </is>
      </c>
      <c r="S55">
        <f>HYPERLINK("https://klasma.github.io/Logging_0980/artfynd/A 7039-2023 artfynd.xlsx", "A 7039-2023")</f>
        <v/>
      </c>
      <c r="T55">
        <f>HYPERLINK("https://klasma.github.io/Logging_0980/kartor/A 7039-2023 karta.png", "A 7039-2023")</f>
        <v/>
      </c>
      <c r="V55">
        <f>HYPERLINK("https://klasma.github.io/Logging_0980/klagomål/A 7039-2023 FSC-klagomål.docx", "A 7039-2023")</f>
        <v/>
      </c>
      <c r="W55">
        <f>HYPERLINK("https://klasma.github.io/Logging_0980/klagomålsmail/A 7039-2023 FSC-klagomål mail.docx", "A 7039-2023")</f>
        <v/>
      </c>
      <c r="X55">
        <f>HYPERLINK("https://klasma.github.io/Logging_0980/tillsyn/A 7039-2023 tillsynsbegäran.docx", "A 7039-2023")</f>
        <v/>
      </c>
      <c r="Y55">
        <f>HYPERLINK("https://klasma.github.io/Logging_0980/tillsynsmail/A 7039-2023 tillsynsbegäran mail.docx", "A 7039-2023")</f>
        <v/>
      </c>
    </row>
    <row r="56" ht="15" customHeight="1">
      <c r="A56" t="inlineStr">
        <is>
          <t>A 1769-2022</t>
        </is>
      </c>
      <c r="B56" s="1" t="n">
        <v>44574</v>
      </c>
      <c r="C56" s="1" t="n">
        <v>45934</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45934</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45934</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6960-2025</t>
        </is>
      </c>
      <c r="B59" s="1" t="n">
        <v>45701.49409722222</v>
      </c>
      <c r="C59" s="1" t="n">
        <v>45934</v>
      </c>
      <c r="D59" t="inlineStr">
        <is>
          <t>GOTLANDS LÄN</t>
        </is>
      </c>
      <c r="E59" t="inlineStr">
        <is>
          <t>GOTLAND</t>
        </is>
      </c>
      <c r="G59" t="n">
        <v>4</v>
      </c>
      <c r="H59" t="n">
        <v>4</v>
      </c>
      <c r="I59" t="n">
        <v>1</v>
      </c>
      <c r="J59" t="n">
        <v>4</v>
      </c>
      <c r="K59" t="n">
        <v>0</v>
      </c>
      <c r="L59" t="n">
        <v>0</v>
      </c>
      <c r="M59" t="n">
        <v>0</v>
      </c>
      <c r="N59" t="n">
        <v>0</v>
      </c>
      <c r="O59" t="n">
        <v>4</v>
      </c>
      <c r="P59" t="n">
        <v>0</v>
      </c>
      <c r="Q59" t="n">
        <v>7</v>
      </c>
      <c r="R59" s="2" t="inlineStr">
        <is>
          <t>Majviva
Spillkråka
Svinrot
Ängsstarr
Skogsknipprot
Dactylorhiza incarnata subsp. incarnata
Nattviol</t>
        </is>
      </c>
      <c r="S59">
        <f>HYPERLINK("https://klasma.github.io/Logging_0980/artfynd/A 6960-2025 artfynd.xlsx", "A 6960-2025")</f>
        <v/>
      </c>
      <c r="T59">
        <f>HYPERLINK("https://klasma.github.io/Logging_0980/kartor/A 6960-2025 karta.png", "A 6960-2025")</f>
        <v/>
      </c>
      <c r="U59">
        <f>HYPERLINK("https://klasma.github.io/Logging_0980/knärot/A 6960-2025 karta knärot.png", "A 6960-2025")</f>
        <v/>
      </c>
      <c r="V59">
        <f>HYPERLINK("https://klasma.github.io/Logging_0980/klagomål/A 6960-2025 FSC-klagomål.docx", "A 6960-2025")</f>
        <v/>
      </c>
      <c r="W59">
        <f>HYPERLINK("https://klasma.github.io/Logging_0980/klagomålsmail/A 6960-2025 FSC-klagomål mail.docx", "A 6960-2025")</f>
        <v/>
      </c>
      <c r="X59">
        <f>HYPERLINK("https://klasma.github.io/Logging_0980/tillsyn/A 6960-2025 tillsynsbegäran.docx", "A 6960-2025")</f>
        <v/>
      </c>
      <c r="Y59">
        <f>HYPERLINK("https://klasma.github.io/Logging_0980/tillsynsmail/A 6960-2025 tillsynsbegäran mail.docx", "A 6960-2025")</f>
        <v/>
      </c>
      <c r="Z59">
        <f>HYPERLINK("https://klasma.github.io/Logging_0980/fåglar/A 6960-2025 prioriterade fågelarter.docx", "A 6960-2025")</f>
        <v/>
      </c>
    </row>
    <row r="60" ht="15" customHeight="1">
      <c r="A60" t="inlineStr">
        <is>
          <t>A 45248-2024</t>
        </is>
      </c>
      <c r="B60" s="1" t="n">
        <v>45576</v>
      </c>
      <c r="C60" s="1" t="n">
        <v>45934</v>
      </c>
      <c r="D60" t="inlineStr">
        <is>
          <t>GOTLANDS LÄN</t>
        </is>
      </c>
      <c r="E60" t="inlineStr">
        <is>
          <t>GOTLAND</t>
        </is>
      </c>
      <c r="G60" t="n">
        <v>9.4</v>
      </c>
      <c r="H60" t="n">
        <v>0</v>
      </c>
      <c r="I60" t="n">
        <v>3</v>
      </c>
      <c r="J60" t="n">
        <v>1</v>
      </c>
      <c r="K60" t="n">
        <v>1</v>
      </c>
      <c r="L60" t="n">
        <v>1</v>
      </c>
      <c r="M60" t="n">
        <v>1</v>
      </c>
      <c r="N60" t="n">
        <v>0</v>
      </c>
      <c r="O60" t="n">
        <v>4</v>
      </c>
      <c r="P60" t="n">
        <v>3</v>
      </c>
      <c r="Q60" t="n">
        <v>7</v>
      </c>
      <c r="R60" s="2" t="inlineStr">
        <is>
          <t>Lundalm
Ask
Mjölspindling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18541-2024</t>
        </is>
      </c>
      <c r="B61" s="1" t="n">
        <v>45425</v>
      </c>
      <c r="C61" s="1" t="n">
        <v>45934</v>
      </c>
      <c r="D61" t="inlineStr">
        <is>
          <t>GOTLANDS LÄN</t>
        </is>
      </c>
      <c r="E61" t="inlineStr">
        <is>
          <t>GOTLAND</t>
        </is>
      </c>
      <c r="F61" t="inlineStr">
        <is>
          <t>Övriga statliga verk och myndigheter</t>
        </is>
      </c>
      <c r="G61" t="n">
        <v>2.2</v>
      </c>
      <c r="H61" t="n">
        <v>6</v>
      </c>
      <c r="I61" t="n">
        <v>1</v>
      </c>
      <c r="J61" t="n">
        <v>2</v>
      </c>
      <c r="K61" t="n">
        <v>1</v>
      </c>
      <c r="L61" t="n">
        <v>0</v>
      </c>
      <c r="M61" t="n">
        <v>0</v>
      </c>
      <c r="N61" t="n">
        <v>0</v>
      </c>
      <c r="O61" t="n">
        <v>3</v>
      </c>
      <c r="P61" t="n">
        <v>1</v>
      </c>
      <c r="Q61" t="n">
        <v>7</v>
      </c>
      <c r="R61" s="2" t="inlineStr">
        <is>
          <t>Garderönn
Dårgräsfjäril
Svinrot
Nästrot
Kungsfågel
Skogsduva
Fläcknycklar</t>
        </is>
      </c>
      <c r="S61">
        <f>HYPERLINK("https://klasma.github.io/Logging_0980/artfynd/A 18541-2024 artfynd.xlsx", "A 18541-2024")</f>
        <v/>
      </c>
      <c r="T61">
        <f>HYPERLINK("https://klasma.github.io/Logging_0980/kartor/A 18541-2024 karta.png", "A 18541-2024")</f>
        <v/>
      </c>
      <c r="V61">
        <f>HYPERLINK("https://klasma.github.io/Logging_0980/klagomål/A 18541-2024 FSC-klagomål.docx", "A 18541-2024")</f>
        <v/>
      </c>
      <c r="W61">
        <f>HYPERLINK("https://klasma.github.io/Logging_0980/klagomålsmail/A 18541-2024 FSC-klagomål mail.docx", "A 18541-2024")</f>
        <v/>
      </c>
      <c r="X61">
        <f>HYPERLINK("https://klasma.github.io/Logging_0980/tillsyn/A 18541-2024 tillsynsbegäran.docx", "A 18541-2024")</f>
        <v/>
      </c>
      <c r="Y61">
        <f>HYPERLINK("https://klasma.github.io/Logging_0980/tillsynsmail/A 18541-2024 tillsynsbegäran mail.docx", "A 18541-2024")</f>
        <v/>
      </c>
      <c r="Z61">
        <f>HYPERLINK("https://klasma.github.io/Logging_0980/fåglar/A 18541-2024 prioriterade fågelarter.docx", "A 18541-2024")</f>
        <v/>
      </c>
    </row>
    <row r="62" ht="15" customHeight="1">
      <c r="A62" t="inlineStr">
        <is>
          <t>A 4984-2025</t>
        </is>
      </c>
      <c r="B62" s="1" t="n">
        <v>45691.29891203704</v>
      </c>
      <c r="C62" s="1" t="n">
        <v>45934</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45934</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27280-2023</t>
        </is>
      </c>
      <c r="B64" s="1" t="n">
        <v>45096</v>
      </c>
      <c r="C64" s="1" t="n">
        <v>45934</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25205-2021</t>
        </is>
      </c>
      <c r="B65" s="1" t="n">
        <v>44342</v>
      </c>
      <c r="C65" s="1" t="n">
        <v>45934</v>
      </c>
      <c r="D65" t="inlineStr">
        <is>
          <t>GOTLANDS LÄN</t>
        </is>
      </c>
      <c r="E65" t="inlineStr">
        <is>
          <t>GOTLAND</t>
        </is>
      </c>
      <c r="G65" t="n">
        <v>2.8</v>
      </c>
      <c r="H65" t="n">
        <v>0</v>
      </c>
      <c r="I65" t="n">
        <v>4</v>
      </c>
      <c r="J65" t="n">
        <v>0</v>
      </c>
      <c r="K65" t="n">
        <v>1</v>
      </c>
      <c r="L65" t="n">
        <v>1</v>
      </c>
      <c r="M65" t="n">
        <v>0</v>
      </c>
      <c r="N65" t="n">
        <v>0</v>
      </c>
      <c r="O65" t="n">
        <v>2</v>
      </c>
      <c r="P65" t="n">
        <v>2</v>
      </c>
      <c r="Q65" t="n">
        <v>6</v>
      </c>
      <c r="R65" s="2" t="inlineStr">
        <is>
          <t>Ädellav
Mörk kraterlav
Hasselticka
Lönnlav
Rikfruktig blemlav
Slät lönnlav</t>
        </is>
      </c>
      <c r="S65">
        <f>HYPERLINK("https://klasma.github.io/Logging_0980/artfynd/A 25205-2021 artfynd.xlsx", "A 25205-2021")</f>
        <v/>
      </c>
      <c r="T65">
        <f>HYPERLINK("https://klasma.github.io/Logging_0980/kartor/A 25205-2021 karta.png", "A 25205-2021")</f>
        <v/>
      </c>
      <c r="V65">
        <f>HYPERLINK("https://klasma.github.io/Logging_0980/klagomål/A 25205-2021 FSC-klagomål.docx", "A 25205-2021")</f>
        <v/>
      </c>
      <c r="W65">
        <f>HYPERLINK("https://klasma.github.io/Logging_0980/klagomålsmail/A 25205-2021 FSC-klagomål mail.docx", "A 25205-2021")</f>
        <v/>
      </c>
      <c r="X65">
        <f>HYPERLINK("https://klasma.github.io/Logging_0980/tillsyn/A 25205-2021 tillsynsbegäran.docx", "A 25205-2021")</f>
        <v/>
      </c>
      <c r="Y65">
        <f>HYPERLINK("https://klasma.github.io/Logging_0980/tillsynsmail/A 25205-2021 tillsynsbegäran mail.docx", "A 25205-2021")</f>
        <v/>
      </c>
    </row>
    <row r="66" ht="15" customHeight="1">
      <c r="A66" t="inlineStr">
        <is>
          <t>A 2085-2023</t>
        </is>
      </c>
      <c r="B66" s="1" t="n">
        <v>44939</v>
      </c>
      <c r="C66" s="1" t="n">
        <v>45934</v>
      </c>
      <c r="D66" t="inlineStr">
        <is>
          <t>GOTLANDS LÄN</t>
        </is>
      </c>
      <c r="E66" t="inlineStr">
        <is>
          <t>GOTLAND</t>
        </is>
      </c>
      <c r="G66" t="n">
        <v>0.9</v>
      </c>
      <c r="H66" t="n">
        <v>2</v>
      </c>
      <c r="I66" t="n">
        <v>5</v>
      </c>
      <c r="J66" t="n">
        <v>0</v>
      </c>
      <c r="K66" t="n">
        <v>0</v>
      </c>
      <c r="L66" t="n">
        <v>0</v>
      </c>
      <c r="M66" t="n">
        <v>0</v>
      </c>
      <c r="N66" t="n">
        <v>0</v>
      </c>
      <c r="O66" t="n">
        <v>0</v>
      </c>
      <c r="P66" t="n">
        <v>0</v>
      </c>
      <c r="Q66" t="n">
        <v>6</v>
      </c>
      <c r="R66" s="2" t="inlineStr">
        <is>
          <t>Blå slemspindling
Blåmossa
Kattfotslav
Skogsknipprot
Vågbandad barkbock
Skogsduva</t>
        </is>
      </c>
      <c r="S66">
        <f>HYPERLINK("https://klasma.github.io/Logging_0980/artfynd/A 2085-2023 artfynd.xlsx", "A 2085-2023")</f>
        <v/>
      </c>
      <c r="T66">
        <f>HYPERLINK("https://klasma.github.io/Logging_0980/kartor/A 2085-2023 karta.png", "A 2085-2023")</f>
        <v/>
      </c>
      <c r="V66">
        <f>HYPERLINK("https://klasma.github.io/Logging_0980/klagomål/A 2085-2023 FSC-klagomål.docx", "A 2085-2023")</f>
        <v/>
      </c>
      <c r="W66">
        <f>HYPERLINK("https://klasma.github.io/Logging_0980/klagomålsmail/A 2085-2023 FSC-klagomål mail.docx", "A 2085-2023")</f>
        <v/>
      </c>
      <c r="X66">
        <f>HYPERLINK("https://klasma.github.io/Logging_0980/tillsyn/A 2085-2023 tillsynsbegäran.docx", "A 2085-2023")</f>
        <v/>
      </c>
      <c r="Y66">
        <f>HYPERLINK("https://klasma.github.io/Logging_0980/tillsynsmail/A 2085-2023 tillsynsbegäran mail.docx", "A 2085-2023")</f>
        <v/>
      </c>
      <c r="Z66">
        <f>HYPERLINK("https://klasma.github.io/Logging_0980/fåglar/A 2085-2023 prioriterade fågelarter.docx", "A 2085-2023")</f>
        <v/>
      </c>
    </row>
    <row r="67" ht="15" customHeight="1">
      <c r="A67" t="inlineStr">
        <is>
          <t>A 65819-2020</t>
        </is>
      </c>
      <c r="B67" s="1" t="n">
        <v>44174</v>
      </c>
      <c r="C67" s="1" t="n">
        <v>45934</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7038-2023</t>
        </is>
      </c>
      <c r="B68" s="1" t="n">
        <v>44968</v>
      </c>
      <c r="C68" s="1" t="n">
        <v>45934</v>
      </c>
      <c r="D68" t="inlineStr">
        <is>
          <t>GOTLANDS LÄN</t>
        </is>
      </c>
      <c r="E68" t="inlineStr">
        <is>
          <t>GOTLAND</t>
        </is>
      </c>
      <c r="G68" t="n">
        <v>5.2</v>
      </c>
      <c r="H68" t="n">
        <v>1</v>
      </c>
      <c r="I68" t="n">
        <v>1</v>
      </c>
      <c r="J68" t="n">
        <v>1</v>
      </c>
      <c r="K68" t="n">
        <v>0</v>
      </c>
      <c r="L68" t="n">
        <v>2</v>
      </c>
      <c r="M68" t="n">
        <v>0</v>
      </c>
      <c r="N68" t="n">
        <v>0</v>
      </c>
      <c r="O68" t="n">
        <v>5</v>
      </c>
      <c r="P68" t="n">
        <v>2</v>
      </c>
      <c r="Q68" t="n">
        <v>6</v>
      </c>
      <c r="R68" s="2" t="inlineStr">
        <is>
          <t>Liten ädellav
Ädellav
Dårgräsfjäril
Blemlavsklotter
Frostig asplav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54527-2023</t>
        </is>
      </c>
      <c r="B69" s="1" t="n">
        <v>45233</v>
      </c>
      <c r="C69" s="1" t="n">
        <v>45934</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16823-2024</t>
        </is>
      </c>
      <c r="B70" s="1" t="n">
        <v>45411</v>
      </c>
      <c r="C70" s="1" t="n">
        <v>45934</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45934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45934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66091-2021</t>
        </is>
      </c>
      <c r="B73" s="1" t="n">
        <v>44517</v>
      </c>
      <c r="C73" s="1" t="n">
        <v>45934</v>
      </c>
      <c r="D73" t="inlineStr">
        <is>
          <t>GOTLANDS LÄN</t>
        </is>
      </c>
      <c r="E73" t="inlineStr">
        <is>
          <t>GOTLAND</t>
        </is>
      </c>
      <c r="G73" t="n">
        <v>11.7</v>
      </c>
      <c r="H73" t="n">
        <v>2</v>
      </c>
      <c r="I73" t="n">
        <v>0</v>
      </c>
      <c r="J73" t="n">
        <v>3</v>
      </c>
      <c r="K73" t="n">
        <v>0</v>
      </c>
      <c r="L73" t="n">
        <v>0</v>
      </c>
      <c r="M73" t="n">
        <v>0</v>
      </c>
      <c r="N73" t="n">
        <v>0</v>
      </c>
      <c r="O73" t="n">
        <v>3</v>
      </c>
      <c r="P73" t="n">
        <v>0</v>
      </c>
      <c r="Q73" t="n">
        <v>5</v>
      </c>
      <c r="R73" s="2" t="inlineStr">
        <is>
          <t>Axveronika
Solvända
Säfferot
Pärluggla
Salepsrot</t>
        </is>
      </c>
      <c r="S73">
        <f>HYPERLINK("https://klasma.github.io/Logging_0980/artfynd/A 66091-2021 artfynd.xlsx", "A 66091-2021")</f>
        <v/>
      </c>
      <c r="T73">
        <f>HYPERLINK("https://klasma.github.io/Logging_0980/kartor/A 66091-2021 karta.png", "A 66091-2021")</f>
        <v/>
      </c>
      <c r="V73">
        <f>HYPERLINK("https://klasma.github.io/Logging_0980/klagomål/A 66091-2021 FSC-klagomål.docx", "A 66091-2021")</f>
        <v/>
      </c>
      <c r="W73">
        <f>HYPERLINK("https://klasma.github.io/Logging_0980/klagomålsmail/A 66091-2021 FSC-klagomål mail.docx", "A 66091-2021")</f>
        <v/>
      </c>
      <c r="X73">
        <f>HYPERLINK("https://klasma.github.io/Logging_0980/tillsyn/A 66091-2021 tillsynsbegäran.docx", "A 66091-2021")</f>
        <v/>
      </c>
      <c r="Y73">
        <f>HYPERLINK("https://klasma.github.io/Logging_0980/tillsynsmail/A 66091-2021 tillsynsbegäran mail.docx", "A 66091-2021")</f>
        <v/>
      </c>
      <c r="Z73">
        <f>HYPERLINK("https://klasma.github.io/Logging_0980/fåglar/A 66091-2021 prioriterade fågelarter.docx", "A 66091-2021")</f>
        <v/>
      </c>
    </row>
    <row r="74" ht="15" customHeight="1">
      <c r="A74" t="inlineStr">
        <is>
          <t>A 32326-2024</t>
        </is>
      </c>
      <c r="B74" s="1" t="n">
        <v>45512</v>
      </c>
      <c r="C74" s="1" t="n">
        <v>45934</v>
      </c>
      <c r="D74" t="inlineStr">
        <is>
          <t>GOTLANDS LÄN</t>
        </is>
      </c>
      <c r="E74" t="inlineStr">
        <is>
          <t>GOTLAND</t>
        </is>
      </c>
      <c r="G74" t="n">
        <v>9.199999999999999</v>
      </c>
      <c r="H74" t="n">
        <v>3</v>
      </c>
      <c r="I74" t="n">
        <v>2</v>
      </c>
      <c r="J74" t="n">
        <v>2</v>
      </c>
      <c r="K74" t="n">
        <v>0</v>
      </c>
      <c r="L74" t="n">
        <v>0</v>
      </c>
      <c r="M74" t="n">
        <v>0</v>
      </c>
      <c r="N74" t="n">
        <v>0</v>
      </c>
      <c r="O74" t="n">
        <v>2</v>
      </c>
      <c r="P74" t="n">
        <v>0</v>
      </c>
      <c r="Q74" t="n">
        <v>5</v>
      </c>
      <c r="R74" s="2" t="inlineStr">
        <is>
          <t>Jordtistel
Svinrot
Purpurknipprot
Skogsknipprot
Brudsporre</t>
        </is>
      </c>
      <c r="S74">
        <f>HYPERLINK("https://klasma.github.io/Logging_0980/artfynd/A 32326-2024 artfynd.xlsx", "A 32326-2024")</f>
        <v/>
      </c>
      <c r="T74">
        <f>HYPERLINK("https://klasma.github.io/Logging_0980/kartor/A 32326-2024 karta.png", "A 32326-2024")</f>
        <v/>
      </c>
      <c r="V74">
        <f>HYPERLINK("https://klasma.github.io/Logging_0980/klagomål/A 32326-2024 FSC-klagomål.docx", "A 32326-2024")</f>
        <v/>
      </c>
      <c r="W74">
        <f>HYPERLINK("https://klasma.github.io/Logging_0980/klagomålsmail/A 32326-2024 FSC-klagomål mail.docx", "A 32326-2024")</f>
        <v/>
      </c>
      <c r="X74">
        <f>HYPERLINK("https://klasma.github.io/Logging_0980/tillsyn/A 32326-2024 tillsynsbegäran.docx", "A 32326-2024")</f>
        <v/>
      </c>
      <c r="Y74">
        <f>HYPERLINK("https://klasma.github.io/Logging_0980/tillsynsmail/A 32326-2024 tillsynsbegäran mail.docx", "A 32326-2024")</f>
        <v/>
      </c>
    </row>
    <row r="75" ht="15" customHeight="1">
      <c r="A75" t="inlineStr">
        <is>
          <t>A 39425-2023</t>
        </is>
      </c>
      <c r="B75" s="1" t="n">
        <v>45166</v>
      </c>
      <c r="C75" s="1" t="n">
        <v>45934</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44944-2022</t>
        </is>
      </c>
      <c r="B76" s="1" t="n">
        <v>44841</v>
      </c>
      <c r="C76" s="1" t="n">
        <v>45934</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16375-2025</t>
        </is>
      </c>
      <c r="B77" s="1" t="n">
        <v>45751.41064814815</v>
      </c>
      <c r="C77" s="1" t="n">
        <v>45934</v>
      </c>
      <c r="D77" t="inlineStr">
        <is>
          <t>GOTLANDS LÄN</t>
        </is>
      </c>
      <c r="E77" t="inlineStr">
        <is>
          <t>GOTLAND</t>
        </is>
      </c>
      <c r="G77" t="n">
        <v>1.9</v>
      </c>
      <c r="H77" t="n">
        <v>3</v>
      </c>
      <c r="I77" t="n">
        <v>3</v>
      </c>
      <c r="J77" t="n">
        <v>1</v>
      </c>
      <c r="K77" t="n">
        <v>0</v>
      </c>
      <c r="L77" t="n">
        <v>1</v>
      </c>
      <c r="M77" t="n">
        <v>0</v>
      </c>
      <c r="N77" t="n">
        <v>0</v>
      </c>
      <c r="O77" t="n">
        <v>2</v>
      </c>
      <c r="P77" t="n">
        <v>1</v>
      </c>
      <c r="Q77" t="n">
        <v>5</v>
      </c>
      <c r="R77" s="2" t="inlineStr">
        <is>
          <t>Ask
Spillkråka
Blåmossa
Nästrot
Tvåblad</t>
        </is>
      </c>
      <c r="S77">
        <f>HYPERLINK("https://klasma.github.io/Logging_0980/artfynd/A 16375-2025 artfynd.xlsx", "A 16375-2025")</f>
        <v/>
      </c>
      <c r="T77">
        <f>HYPERLINK("https://klasma.github.io/Logging_0980/kartor/A 16375-2025 karta.png", "A 16375-2025")</f>
        <v/>
      </c>
      <c r="V77">
        <f>HYPERLINK("https://klasma.github.io/Logging_0980/klagomål/A 16375-2025 FSC-klagomål.docx", "A 16375-2025")</f>
        <v/>
      </c>
      <c r="W77">
        <f>HYPERLINK("https://klasma.github.io/Logging_0980/klagomålsmail/A 16375-2025 FSC-klagomål mail.docx", "A 16375-2025")</f>
        <v/>
      </c>
      <c r="X77">
        <f>HYPERLINK("https://klasma.github.io/Logging_0980/tillsyn/A 16375-2025 tillsynsbegäran.docx", "A 16375-2025")</f>
        <v/>
      </c>
      <c r="Y77">
        <f>HYPERLINK("https://klasma.github.io/Logging_0980/tillsynsmail/A 16375-2025 tillsynsbegäran mail.docx", "A 16375-2025")</f>
        <v/>
      </c>
      <c r="Z77">
        <f>HYPERLINK("https://klasma.github.io/Logging_0980/fåglar/A 16375-2025 prioriterade fågelarter.docx", "A 16375-2025")</f>
        <v/>
      </c>
    </row>
    <row r="78" ht="15" customHeight="1">
      <c r="A78" t="inlineStr">
        <is>
          <t>A 2213-2023</t>
        </is>
      </c>
      <c r="B78" s="1" t="n">
        <v>44942</v>
      </c>
      <c r="C78" s="1" t="n">
        <v>45934</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42936-2024</t>
        </is>
      </c>
      <c r="B79" s="1" t="n">
        <v>45567</v>
      </c>
      <c r="C79" s="1" t="n">
        <v>45934</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35293-2025</t>
        </is>
      </c>
      <c r="B80" s="1" t="n">
        <v>45854.39438657407</v>
      </c>
      <c r="C80" s="1" t="n">
        <v>45934</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54055-2022</t>
        </is>
      </c>
      <c r="B81" s="1" t="n">
        <v>44881</v>
      </c>
      <c r="C81" s="1" t="n">
        <v>45934</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29331-2021</t>
        </is>
      </c>
      <c r="B82" s="1" t="n">
        <v>44361</v>
      </c>
      <c r="C82" s="1" t="n">
        <v>45934</v>
      </c>
      <c r="D82" t="inlineStr">
        <is>
          <t>GOTLANDS LÄN</t>
        </is>
      </c>
      <c r="E82" t="inlineStr">
        <is>
          <t>GOTLAND</t>
        </is>
      </c>
      <c r="G82" t="n">
        <v>3.7</v>
      </c>
      <c r="H82" t="n">
        <v>1</v>
      </c>
      <c r="I82" t="n">
        <v>4</v>
      </c>
      <c r="J82" t="n">
        <v>0</v>
      </c>
      <c r="K82" t="n">
        <v>0</v>
      </c>
      <c r="L82" t="n">
        <v>0</v>
      </c>
      <c r="M82" t="n">
        <v>0</v>
      </c>
      <c r="N82" t="n">
        <v>0</v>
      </c>
      <c r="O82" t="n">
        <v>0</v>
      </c>
      <c r="P82" t="n">
        <v>0</v>
      </c>
      <c r="Q82" t="n">
        <v>4</v>
      </c>
      <c r="R82" s="2" t="inlineStr">
        <is>
          <t>Blåmossa
Granbarkgnagare
Kattfotslav
Tvåblad</t>
        </is>
      </c>
      <c r="S82">
        <f>HYPERLINK("https://klasma.github.io/Logging_0980/artfynd/A 29331-2021 artfynd.xlsx", "A 29331-2021")</f>
        <v/>
      </c>
      <c r="T82">
        <f>HYPERLINK("https://klasma.github.io/Logging_0980/kartor/A 29331-2021 karta.png", "A 29331-2021")</f>
        <v/>
      </c>
      <c r="V82">
        <f>HYPERLINK("https://klasma.github.io/Logging_0980/klagomål/A 29331-2021 FSC-klagomål.docx", "A 29331-2021")</f>
        <v/>
      </c>
      <c r="W82">
        <f>HYPERLINK("https://klasma.github.io/Logging_0980/klagomålsmail/A 29331-2021 FSC-klagomål mail.docx", "A 29331-2021")</f>
        <v/>
      </c>
      <c r="X82">
        <f>HYPERLINK("https://klasma.github.io/Logging_0980/tillsyn/A 29331-2021 tillsynsbegäran.docx", "A 29331-2021")</f>
        <v/>
      </c>
      <c r="Y82">
        <f>HYPERLINK("https://klasma.github.io/Logging_0980/tillsynsmail/A 29331-2021 tillsynsbegäran mail.docx", "A 29331-2021")</f>
        <v/>
      </c>
    </row>
    <row r="83" ht="15" customHeight="1">
      <c r="A83" t="inlineStr">
        <is>
          <t>A 20833-2024</t>
        </is>
      </c>
      <c r="B83" s="1" t="n">
        <v>45439</v>
      </c>
      <c r="C83" s="1" t="n">
        <v>45934</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8265-2023</t>
        </is>
      </c>
      <c r="B84" s="1" t="n">
        <v>44974</v>
      </c>
      <c r="C84" s="1" t="n">
        <v>45934</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54523-2023</t>
        </is>
      </c>
      <c r="B85" s="1" t="n">
        <v>45233</v>
      </c>
      <c r="C85" s="1" t="n">
        <v>45934</v>
      </c>
      <c r="D85" t="inlineStr">
        <is>
          <t>GOTLANDS LÄN</t>
        </is>
      </c>
      <c r="E85" t="inlineStr">
        <is>
          <t>GOTLAND</t>
        </is>
      </c>
      <c r="G85" t="n">
        <v>3.7</v>
      </c>
      <c r="H85" t="n">
        <v>2</v>
      </c>
      <c r="I85" t="n">
        <v>0</v>
      </c>
      <c r="J85" t="n">
        <v>1</v>
      </c>
      <c r="K85" t="n">
        <v>1</v>
      </c>
      <c r="L85" t="n">
        <v>0</v>
      </c>
      <c r="M85" t="n">
        <v>0</v>
      </c>
      <c r="N85" t="n">
        <v>0</v>
      </c>
      <c r="O85" t="n">
        <v>2</v>
      </c>
      <c r="P85" t="n">
        <v>1</v>
      </c>
      <c r="Q85" t="n">
        <v>4</v>
      </c>
      <c r="R85" s="2" t="inlineStr">
        <is>
          <t>Sommarklynne
Åkerkulla
Brudsporre
Kärrknipprot</t>
        </is>
      </c>
      <c r="S85">
        <f>HYPERLINK("https://klasma.github.io/Logging_0980/artfynd/A 54523-2023 artfynd.xlsx", "A 54523-2023")</f>
        <v/>
      </c>
      <c r="T85">
        <f>HYPERLINK("https://klasma.github.io/Logging_0980/kartor/A 54523-2023 karta.png", "A 54523-2023")</f>
        <v/>
      </c>
      <c r="V85">
        <f>HYPERLINK("https://klasma.github.io/Logging_0980/klagomål/A 54523-2023 FSC-klagomål.docx", "A 54523-2023")</f>
        <v/>
      </c>
      <c r="W85">
        <f>HYPERLINK("https://klasma.github.io/Logging_0980/klagomålsmail/A 54523-2023 FSC-klagomål mail.docx", "A 54523-2023")</f>
        <v/>
      </c>
      <c r="X85">
        <f>HYPERLINK("https://klasma.github.io/Logging_0980/tillsyn/A 54523-2023 tillsynsbegäran.docx", "A 54523-2023")</f>
        <v/>
      </c>
      <c r="Y85">
        <f>HYPERLINK("https://klasma.github.io/Logging_0980/tillsynsmail/A 54523-2023 tillsynsbegäran mail.docx", "A 54523-2023")</f>
        <v/>
      </c>
    </row>
    <row r="86" ht="15" customHeight="1">
      <c r="A86" t="inlineStr">
        <is>
          <t>A 2485-2025</t>
        </is>
      </c>
      <c r="B86" s="1" t="n">
        <v>45673</v>
      </c>
      <c r="C86" s="1" t="n">
        <v>45934</v>
      </c>
      <c r="D86" t="inlineStr">
        <is>
          <t>GOTLANDS LÄN</t>
        </is>
      </c>
      <c r="E86" t="inlineStr">
        <is>
          <t>GOTLAND</t>
        </is>
      </c>
      <c r="G86" t="n">
        <v>5</v>
      </c>
      <c r="H86" t="n">
        <v>2</v>
      </c>
      <c r="I86" t="n">
        <v>2</v>
      </c>
      <c r="J86" t="n">
        <v>0</v>
      </c>
      <c r="K86" t="n">
        <v>2</v>
      </c>
      <c r="L86" t="n">
        <v>0</v>
      </c>
      <c r="M86" t="n">
        <v>0</v>
      </c>
      <c r="N86" t="n">
        <v>0</v>
      </c>
      <c r="O86" t="n">
        <v>2</v>
      </c>
      <c r="P86" t="n">
        <v>2</v>
      </c>
      <c r="Q86" t="n">
        <v>4</v>
      </c>
      <c r="R86" s="2" t="inlineStr">
        <is>
          <t>Gotlandsmåra
Skogskorn
Nästrot
Skogsknipprot</t>
        </is>
      </c>
      <c r="S86">
        <f>HYPERLINK("https://klasma.github.io/Logging_0980/artfynd/A 2485-2025 artfynd.xlsx", "A 2485-2025")</f>
        <v/>
      </c>
      <c r="T86">
        <f>HYPERLINK("https://klasma.github.io/Logging_0980/kartor/A 2485-2025 karta.png", "A 2485-2025")</f>
        <v/>
      </c>
      <c r="V86">
        <f>HYPERLINK("https://klasma.github.io/Logging_0980/klagomål/A 2485-2025 FSC-klagomål.docx", "A 2485-2025")</f>
        <v/>
      </c>
      <c r="W86">
        <f>HYPERLINK("https://klasma.github.io/Logging_0980/klagomålsmail/A 2485-2025 FSC-klagomål mail.docx", "A 2485-2025")</f>
        <v/>
      </c>
      <c r="X86">
        <f>HYPERLINK("https://klasma.github.io/Logging_0980/tillsyn/A 2485-2025 tillsynsbegäran.docx", "A 2485-2025")</f>
        <v/>
      </c>
      <c r="Y86">
        <f>HYPERLINK("https://klasma.github.io/Logging_0980/tillsynsmail/A 2485-2025 tillsynsbegäran mail.docx", "A 2485-2025")</f>
        <v/>
      </c>
    </row>
    <row r="87" ht="15" customHeight="1">
      <c r="A87" t="inlineStr">
        <is>
          <t>A 44933-2022</t>
        </is>
      </c>
      <c r="B87" s="1" t="n">
        <v>44841</v>
      </c>
      <c r="C87" s="1" t="n">
        <v>45934</v>
      </c>
      <c r="D87" t="inlineStr">
        <is>
          <t>GOTLANDS LÄN</t>
        </is>
      </c>
      <c r="E87" t="inlineStr">
        <is>
          <t>GOTLAND</t>
        </is>
      </c>
      <c r="G87" t="n">
        <v>4.5</v>
      </c>
      <c r="H87" t="n">
        <v>1</v>
      </c>
      <c r="I87" t="n">
        <v>2</v>
      </c>
      <c r="J87" t="n">
        <v>2</v>
      </c>
      <c r="K87" t="n">
        <v>0</v>
      </c>
      <c r="L87" t="n">
        <v>0</v>
      </c>
      <c r="M87" t="n">
        <v>0</v>
      </c>
      <c r="N87" t="n">
        <v>0</v>
      </c>
      <c r="O87" t="n">
        <v>2</v>
      </c>
      <c r="P87" t="n">
        <v>0</v>
      </c>
      <c r="Q87" t="n">
        <v>4</v>
      </c>
      <c r="R87" s="2" t="inlineStr">
        <is>
          <t>Ekvaxskivling
Odörspindling
Skarp dropptaggsvamp
Skogsknipprot</t>
        </is>
      </c>
      <c r="S87">
        <f>HYPERLINK("https://klasma.github.io/Logging_0980/artfynd/A 44933-2022 artfynd.xlsx", "A 44933-2022")</f>
        <v/>
      </c>
      <c r="T87">
        <f>HYPERLINK("https://klasma.github.io/Logging_0980/kartor/A 44933-2022 karta.png", "A 44933-2022")</f>
        <v/>
      </c>
      <c r="V87">
        <f>HYPERLINK("https://klasma.github.io/Logging_0980/klagomål/A 44933-2022 FSC-klagomål.docx", "A 44933-2022")</f>
        <v/>
      </c>
      <c r="W87">
        <f>HYPERLINK("https://klasma.github.io/Logging_0980/klagomålsmail/A 44933-2022 FSC-klagomål mail.docx", "A 44933-2022")</f>
        <v/>
      </c>
      <c r="X87">
        <f>HYPERLINK("https://klasma.github.io/Logging_0980/tillsyn/A 44933-2022 tillsynsbegäran.docx", "A 44933-2022")</f>
        <v/>
      </c>
      <c r="Y87">
        <f>HYPERLINK("https://klasma.github.io/Logging_0980/tillsynsmail/A 44933-2022 tillsynsbegäran mail.docx", "A 44933-2022")</f>
        <v/>
      </c>
    </row>
    <row r="88" ht="15" customHeight="1">
      <c r="A88" t="inlineStr">
        <is>
          <t>A 6159-2023</t>
        </is>
      </c>
      <c r="B88" s="1" t="n">
        <v>44964</v>
      </c>
      <c r="C88" s="1" t="n">
        <v>45934</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5904-2024</t>
        </is>
      </c>
      <c r="B89" s="1" t="n">
        <v>45335</v>
      </c>
      <c r="C89" s="1" t="n">
        <v>45934</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43197-2023</t>
        </is>
      </c>
      <c r="B90" s="1" t="n">
        <v>45183</v>
      </c>
      <c r="C90" s="1" t="n">
        <v>45934</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56717-2024</t>
        </is>
      </c>
      <c r="B91" s="1" t="n">
        <v>45628.3166550926</v>
      </c>
      <c r="C91" s="1" t="n">
        <v>45934</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64378-2020</t>
        </is>
      </c>
      <c r="B92" s="1" t="n">
        <v>44168</v>
      </c>
      <c r="C92" s="1" t="n">
        <v>45934</v>
      </c>
      <c r="D92" t="inlineStr">
        <is>
          <t>GOTLANDS LÄN</t>
        </is>
      </c>
      <c r="E92" t="inlineStr">
        <is>
          <t>GOTLAND</t>
        </is>
      </c>
      <c r="G92" t="n">
        <v>2.1</v>
      </c>
      <c r="H92" t="n">
        <v>0</v>
      </c>
      <c r="I92" t="n">
        <v>1</v>
      </c>
      <c r="J92" t="n">
        <v>0</v>
      </c>
      <c r="K92" t="n">
        <v>2</v>
      </c>
      <c r="L92" t="n">
        <v>1</v>
      </c>
      <c r="M92" t="n">
        <v>0</v>
      </c>
      <c r="N92" t="n">
        <v>0</v>
      </c>
      <c r="O92" t="n">
        <v>3</v>
      </c>
      <c r="P92" t="n">
        <v>3</v>
      </c>
      <c r="Q92" t="n">
        <v>4</v>
      </c>
      <c r="R92" s="2" t="inlineStr">
        <is>
          <t>Sienamusseron
Bitter taggsvamp
Duvspindling
Fjällig taggsvamp s.str.</t>
        </is>
      </c>
      <c r="S92">
        <f>HYPERLINK("https://klasma.github.io/Logging_0980/artfynd/A 64378-2020 artfynd.xlsx", "A 64378-2020")</f>
        <v/>
      </c>
      <c r="T92">
        <f>HYPERLINK("https://klasma.github.io/Logging_0980/kartor/A 64378-2020 karta.png", "A 64378-2020")</f>
        <v/>
      </c>
      <c r="V92">
        <f>HYPERLINK("https://klasma.github.io/Logging_0980/klagomål/A 64378-2020 FSC-klagomål.docx", "A 64378-2020")</f>
        <v/>
      </c>
      <c r="W92">
        <f>HYPERLINK("https://klasma.github.io/Logging_0980/klagomålsmail/A 64378-2020 FSC-klagomål mail.docx", "A 64378-2020")</f>
        <v/>
      </c>
      <c r="X92">
        <f>HYPERLINK("https://klasma.github.io/Logging_0980/tillsyn/A 64378-2020 tillsynsbegäran.docx", "A 64378-2020")</f>
        <v/>
      </c>
      <c r="Y92">
        <f>HYPERLINK("https://klasma.github.io/Logging_0980/tillsynsmail/A 64378-2020 tillsynsbegäran mail.docx", "A 64378-2020")</f>
        <v/>
      </c>
    </row>
    <row r="93" ht="15" customHeight="1">
      <c r="A93" t="inlineStr">
        <is>
          <t>A 1971-2023</t>
        </is>
      </c>
      <c r="B93" s="1" t="n">
        <v>44939</v>
      </c>
      <c r="C93" s="1" t="n">
        <v>45934</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186-2023</t>
        </is>
      </c>
      <c r="B94" s="1" t="n">
        <v>44928</v>
      </c>
      <c r="C94" s="1" t="n">
        <v>45934</v>
      </c>
      <c r="D94" t="inlineStr">
        <is>
          <t>GOTLANDS LÄN</t>
        </is>
      </c>
      <c r="E94" t="inlineStr">
        <is>
          <t>GOTLAND</t>
        </is>
      </c>
      <c r="G94" t="n">
        <v>2.2</v>
      </c>
      <c r="H94" t="n">
        <v>2</v>
      </c>
      <c r="I94" t="n">
        <v>2</v>
      </c>
      <c r="J94" t="n">
        <v>0</v>
      </c>
      <c r="K94" t="n">
        <v>2</v>
      </c>
      <c r="L94" t="n">
        <v>0</v>
      </c>
      <c r="M94" t="n">
        <v>0</v>
      </c>
      <c r="N94" t="n">
        <v>0</v>
      </c>
      <c r="O94" t="n">
        <v>2</v>
      </c>
      <c r="P94" t="n">
        <v>2</v>
      </c>
      <c r="Q94" t="n">
        <v>4</v>
      </c>
      <c r="R94" s="2" t="inlineStr">
        <is>
          <t>Svartgrön spindling
Vit taggsvamp
Nästrot
Skogsknipprot</t>
        </is>
      </c>
      <c r="S94">
        <f>HYPERLINK("https://klasma.github.io/Logging_0980/artfynd/A 186-2023 artfynd.xlsx", "A 186-2023")</f>
        <v/>
      </c>
      <c r="T94">
        <f>HYPERLINK("https://klasma.github.io/Logging_0980/kartor/A 186-2023 karta.png", "A 186-2023")</f>
        <v/>
      </c>
      <c r="V94">
        <f>HYPERLINK("https://klasma.github.io/Logging_0980/klagomål/A 186-2023 FSC-klagomål.docx", "A 186-2023")</f>
        <v/>
      </c>
      <c r="W94">
        <f>HYPERLINK("https://klasma.github.io/Logging_0980/klagomålsmail/A 186-2023 FSC-klagomål mail.docx", "A 186-2023")</f>
        <v/>
      </c>
      <c r="X94">
        <f>HYPERLINK("https://klasma.github.io/Logging_0980/tillsyn/A 186-2023 tillsynsbegäran.docx", "A 186-2023")</f>
        <v/>
      </c>
      <c r="Y94">
        <f>HYPERLINK("https://klasma.github.io/Logging_0980/tillsynsmail/A 186-2023 tillsynsbegäran mail.docx", "A 186-2023")</f>
        <v/>
      </c>
    </row>
    <row r="95" ht="15" customHeight="1">
      <c r="A95" t="inlineStr">
        <is>
          <t>A 40099-2025</t>
        </is>
      </c>
      <c r="B95" s="1" t="n">
        <v>45894.48462962963</v>
      </c>
      <c r="C95" s="1" t="n">
        <v>45934</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55029-2020</t>
        </is>
      </c>
      <c r="B96" s="1" t="n">
        <v>44130</v>
      </c>
      <c r="C96" s="1" t="n">
        <v>45934</v>
      </c>
      <c r="D96" t="inlineStr">
        <is>
          <t>GOTLANDS LÄN</t>
        </is>
      </c>
      <c r="E96" t="inlineStr">
        <is>
          <t>GOTLAND</t>
        </is>
      </c>
      <c r="G96" t="n">
        <v>6.9</v>
      </c>
      <c r="H96" t="n">
        <v>1</v>
      </c>
      <c r="I96" t="n">
        <v>2</v>
      </c>
      <c r="J96" t="n">
        <v>1</v>
      </c>
      <c r="K96" t="n">
        <v>0</v>
      </c>
      <c r="L96" t="n">
        <v>0</v>
      </c>
      <c r="M96" t="n">
        <v>0</v>
      </c>
      <c r="N96" t="n">
        <v>0</v>
      </c>
      <c r="O96" t="n">
        <v>1</v>
      </c>
      <c r="P96" t="n">
        <v>0</v>
      </c>
      <c r="Q96" t="n">
        <v>3</v>
      </c>
      <c r="R96" s="2" t="inlineStr">
        <is>
          <t>Dårgräsfjäril
Anisspindling
Granbarkgnagare</t>
        </is>
      </c>
      <c r="S96">
        <f>HYPERLINK("https://klasma.github.io/Logging_0980/artfynd/A 55029-2020 artfynd.xlsx", "A 55029-2020")</f>
        <v/>
      </c>
      <c r="T96">
        <f>HYPERLINK("https://klasma.github.io/Logging_0980/kartor/A 55029-2020 karta.png", "A 55029-2020")</f>
        <v/>
      </c>
      <c r="V96">
        <f>HYPERLINK("https://klasma.github.io/Logging_0980/klagomål/A 55029-2020 FSC-klagomål.docx", "A 55029-2020")</f>
        <v/>
      </c>
      <c r="W96">
        <f>HYPERLINK("https://klasma.github.io/Logging_0980/klagomålsmail/A 55029-2020 FSC-klagomål mail.docx", "A 55029-2020")</f>
        <v/>
      </c>
      <c r="X96">
        <f>HYPERLINK("https://klasma.github.io/Logging_0980/tillsyn/A 55029-2020 tillsynsbegäran.docx", "A 55029-2020")</f>
        <v/>
      </c>
      <c r="Y96">
        <f>HYPERLINK("https://klasma.github.io/Logging_0980/tillsynsmail/A 55029-2020 tillsynsbegäran mail.docx", "A 55029-2020")</f>
        <v/>
      </c>
    </row>
    <row r="97" ht="15" customHeight="1">
      <c r="A97" t="inlineStr">
        <is>
          <t>A 65537-2020</t>
        </is>
      </c>
      <c r="B97" s="1" t="n">
        <v>44173</v>
      </c>
      <c r="C97" s="1" t="n">
        <v>45934</v>
      </c>
      <c r="D97" t="inlineStr">
        <is>
          <t>GOTLANDS LÄN</t>
        </is>
      </c>
      <c r="E97" t="inlineStr">
        <is>
          <t>GOTLAND</t>
        </is>
      </c>
      <c r="G97" t="n">
        <v>1.6</v>
      </c>
      <c r="H97" t="n">
        <v>0</v>
      </c>
      <c r="I97" t="n">
        <v>0</v>
      </c>
      <c r="J97" t="n">
        <v>3</v>
      </c>
      <c r="K97" t="n">
        <v>0</v>
      </c>
      <c r="L97" t="n">
        <v>0</v>
      </c>
      <c r="M97" t="n">
        <v>0</v>
      </c>
      <c r="N97" t="n">
        <v>0</v>
      </c>
      <c r="O97" t="n">
        <v>3</v>
      </c>
      <c r="P97" t="n">
        <v>0</v>
      </c>
      <c r="Q97" t="n">
        <v>3</v>
      </c>
      <c r="R97" s="2" t="inlineStr">
        <is>
          <t>Axveronika
Backtimjan
Solvända</t>
        </is>
      </c>
      <c r="S97">
        <f>HYPERLINK("https://klasma.github.io/Logging_0980/artfynd/A 65537-2020 artfynd.xlsx", "A 65537-2020")</f>
        <v/>
      </c>
      <c r="T97">
        <f>HYPERLINK("https://klasma.github.io/Logging_0980/kartor/A 65537-2020 karta.png", "A 65537-2020")</f>
        <v/>
      </c>
      <c r="V97">
        <f>HYPERLINK("https://klasma.github.io/Logging_0980/klagomål/A 65537-2020 FSC-klagomål.docx", "A 65537-2020")</f>
        <v/>
      </c>
      <c r="W97">
        <f>HYPERLINK("https://klasma.github.io/Logging_0980/klagomålsmail/A 65537-2020 FSC-klagomål mail.docx", "A 65537-2020")</f>
        <v/>
      </c>
      <c r="X97">
        <f>HYPERLINK("https://klasma.github.io/Logging_0980/tillsyn/A 65537-2020 tillsynsbegäran.docx", "A 65537-2020")</f>
        <v/>
      </c>
      <c r="Y97">
        <f>HYPERLINK("https://klasma.github.io/Logging_0980/tillsynsmail/A 65537-2020 tillsynsbegäran mail.docx", "A 65537-2020")</f>
        <v/>
      </c>
    </row>
    <row r="98" ht="15" customHeight="1">
      <c r="A98" t="inlineStr">
        <is>
          <t>A 44323-2021</t>
        </is>
      </c>
      <c r="B98" s="1" t="n">
        <v>44434</v>
      </c>
      <c r="C98" s="1" t="n">
        <v>45934</v>
      </c>
      <c r="D98" t="inlineStr">
        <is>
          <t>GOTLANDS LÄN</t>
        </is>
      </c>
      <c r="E98" t="inlineStr">
        <is>
          <t>GOTLAND</t>
        </is>
      </c>
      <c r="G98" t="n">
        <v>7.5</v>
      </c>
      <c r="H98" t="n">
        <v>1</v>
      </c>
      <c r="I98" t="n">
        <v>3</v>
      </c>
      <c r="J98" t="n">
        <v>0</v>
      </c>
      <c r="K98" t="n">
        <v>0</v>
      </c>
      <c r="L98" t="n">
        <v>0</v>
      </c>
      <c r="M98" t="n">
        <v>0</v>
      </c>
      <c r="N98" t="n">
        <v>0</v>
      </c>
      <c r="O98" t="n">
        <v>0</v>
      </c>
      <c r="P98" t="n">
        <v>0</v>
      </c>
      <c r="Q98" t="n">
        <v>3</v>
      </c>
      <c r="R98" s="2" t="inlineStr">
        <is>
          <t>Anisspindling
Barrfagerspindling
Skogsknipprot</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32666-2021</t>
        </is>
      </c>
      <c r="B99" s="1" t="n">
        <v>44375</v>
      </c>
      <c r="C99" s="1" t="n">
        <v>45934</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12519-2021</t>
        </is>
      </c>
      <c r="B100" s="1" t="n">
        <v>44269</v>
      </c>
      <c r="C100" s="1" t="n">
        <v>45934</v>
      </c>
      <c r="D100" t="inlineStr">
        <is>
          <t>GOTLANDS LÄN</t>
        </is>
      </c>
      <c r="E100" t="inlineStr">
        <is>
          <t>GOTLAND</t>
        </is>
      </c>
      <c r="F100" t="inlineStr">
        <is>
          <t>Kyrkan</t>
        </is>
      </c>
      <c r="G100" t="n">
        <v>3.4</v>
      </c>
      <c r="H100" t="n">
        <v>0</v>
      </c>
      <c r="I100" t="n">
        <v>2</v>
      </c>
      <c r="J100" t="n">
        <v>1</v>
      </c>
      <c r="K100" t="n">
        <v>0</v>
      </c>
      <c r="L100" t="n">
        <v>0</v>
      </c>
      <c r="M100" t="n">
        <v>0</v>
      </c>
      <c r="N100" t="n">
        <v>0</v>
      </c>
      <c r="O100" t="n">
        <v>1</v>
      </c>
      <c r="P100" t="n">
        <v>0</v>
      </c>
      <c r="Q100" t="n">
        <v>3</v>
      </c>
      <c r="R100" s="2" t="inlineStr">
        <is>
          <t>Loppstarr
Rödgul trumpetsvamp
Vågbandad barkbock</t>
        </is>
      </c>
      <c r="S100">
        <f>HYPERLINK("https://klasma.github.io/Logging_0980/artfynd/A 12519-2021 artfynd.xlsx", "A 12519-2021")</f>
        <v/>
      </c>
      <c r="T100">
        <f>HYPERLINK("https://klasma.github.io/Logging_0980/kartor/A 12519-2021 karta.png", "A 12519-2021")</f>
        <v/>
      </c>
      <c r="V100">
        <f>HYPERLINK("https://klasma.github.io/Logging_0980/klagomål/A 12519-2021 FSC-klagomål.docx", "A 12519-2021")</f>
        <v/>
      </c>
      <c r="W100">
        <f>HYPERLINK("https://klasma.github.io/Logging_0980/klagomålsmail/A 12519-2021 FSC-klagomål mail.docx", "A 12519-2021")</f>
        <v/>
      </c>
      <c r="X100">
        <f>HYPERLINK("https://klasma.github.io/Logging_0980/tillsyn/A 12519-2021 tillsynsbegäran.docx", "A 12519-2021")</f>
        <v/>
      </c>
      <c r="Y100">
        <f>HYPERLINK("https://klasma.github.io/Logging_0980/tillsynsmail/A 12519-2021 tillsynsbegäran mail.docx", "A 12519-2021")</f>
        <v/>
      </c>
    </row>
    <row r="101" ht="15" customHeight="1">
      <c r="A101" t="inlineStr">
        <is>
          <t>A 2332-2021</t>
        </is>
      </c>
      <c r="B101" s="1" t="n">
        <v>44214</v>
      </c>
      <c r="C101" s="1" t="n">
        <v>45934</v>
      </c>
      <c r="D101" t="inlineStr">
        <is>
          <t>GOTLANDS LÄN</t>
        </is>
      </c>
      <c r="E101" t="inlineStr">
        <is>
          <t>GOTLAND</t>
        </is>
      </c>
      <c r="G101" t="n">
        <v>2.3</v>
      </c>
      <c r="H101" t="n">
        <v>2</v>
      </c>
      <c r="I101" t="n">
        <v>0</v>
      </c>
      <c r="J101" t="n">
        <v>1</v>
      </c>
      <c r="K101" t="n">
        <v>0</v>
      </c>
      <c r="L101" t="n">
        <v>0</v>
      </c>
      <c r="M101" t="n">
        <v>0</v>
      </c>
      <c r="N101" t="n">
        <v>0</v>
      </c>
      <c r="O101" t="n">
        <v>1</v>
      </c>
      <c r="P101" t="n">
        <v>0</v>
      </c>
      <c r="Q101" t="n">
        <v>3</v>
      </c>
      <c r="R101" s="2" t="inlineStr">
        <is>
          <t>Korpnopping
Sankt pers nycklar
Blåsippa</t>
        </is>
      </c>
      <c r="S101">
        <f>HYPERLINK("https://klasma.github.io/Logging_0980/artfynd/A 2332-2021 artfynd.xlsx", "A 2332-2021")</f>
        <v/>
      </c>
      <c r="T101">
        <f>HYPERLINK("https://klasma.github.io/Logging_0980/kartor/A 2332-2021 karta.png", "A 2332-2021")</f>
        <v/>
      </c>
      <c r="V101">
        <f>HYPERLINK("https://klasma.github.io/Logging_0980/klagomål/A 2332-2021 FSC-klagomål.docx", "A 2332-2021")</f>
        <v/>
      </c>
      <c r="W101">
        <f>HYPERLINK("https://klasma.github.io/Logging_0980/klagomålsmail/A 2332-2021 FSC-klagomål mail.docx", "A 2332-2021")</f>
        <v/>
      </c>
      <c r="X101">
        <f>HYPERLINK("https://klasma.github.io/Logging_0980/tillsyn/A 2332-2021 tillsynsbegäran.docx", "A 2332-2021")</f>
        <v/>
      </c>
      <c r="Y101">
        <f>HYPERLINK("https://klasma.github.io/Logging_0980/tillsynsmail/A 2332-2021 tillsynsbegäran mail.docx", "A 2332-2021")</f>
        <v/>
      </c>
    </row>
    <row r="102" ht="15" customHeight="1">
      <c r="A102" t="inlineStr">
        <is>
          <t>A 43013-2022</t>
        </is>
      </c>
      <c r="B102" s="1" t="n">
        <v>44833</v>
      </c>
      <c r="C102" s="1" t="n">
        <v>45934</v>
      </c>
      <c r="D102" t="inlineStr">
        <is>
          <t>GOTLANDS LÄN</t>
        </is>
      </c>
      <c r="E102" t="inlineStr">
        <is>
          <t>GOTLAND</t>
        </is>
      </c>
      <c r="G102" t="n">
        <v>9.300000000000001</v>
      </c>
      <c r="H102" t="n">
        <v>0</v>
      </c>
      <c r="I102" t="n">
        <v>2</v>
      </c>
      <c r="J102" t="n">
        <v>0</v>
      </c>
      <c r="K102" t="n">
        <v>1</v>
      </c>
      <c r="L102" t="n">
        <v>0</v>
      </c>
      <c r="M102" t="n">
        <v>0</v>
      </c>
      <c r="N102" t="n">
        <v>0</v>
      </c>
      <c r="O102" t="n">
        <v>1</v>
      </c>
      <c r="P102" t="n">
        <v>1</v>
      </c>
      <c r="Q102" t="n">
        <v>3</v>
      </c>
      <c r="R102" s="2" t="inlineStr">
        <is>
          <t>Violettfläckig spindling
Anisspindling
Blå slemspindling</t>
        </is>
      </c>
      <c r="S102">
        <f>HYPERLINK("https://klasma.github.io/Logging_0980/artfynd/A 43013-2022 artfynd.xlsx", "A 43013-2022")</f>
        <v/>
      </c>
      <c r="T102">
        <f>HYPERLINK("https://klasma.github.io/Logging_0980/kartor/A 43013-2022 karta.png", "A 43013-2022")</f>
        <v/>
      </c>
      <c r="V102">
        <f>HYPERLINK("https://klasma.github.io/Logging_0980/klagomål/A 43013-2022 FSC-klagomål.docx", "A 43013-2022")</f>
        <v/>
      </c>
      <c r="W102">
        <f>HYPERLINK("https://klasma.github.io/Logging_0980/klagomålsmail/A 43013-2022 FSC-klagomål mail.docx", "A 43013-2022")</f>
        <v/>
      </c>
      <c r="X102">
        <f>HYPERLINK("https://klasma.github.io/Logging_0980/tillsyn/A 43013-2022 tillsynsbegäran.docx", "A 43013-2022")</f>
        <v/>
      </c>
      <c r="Y102">
        <f>HYPERLINK("https://klasma.github.io/Logging_0980/tillsynsmail/A 43013-2022 tillsynsbegäran mail.docx", "A 43013-2022")</f>
        <v/>
      </c>
    </row>
    <row r="103" ht="15" customHeight="1">
      <c r="A103" t="inlineStr">
        <is>
          <t>A 73144-2021</t>
        </is>
      </c>
      <c r="B103" s="1" t="n">
        <v>44550</v>
      </c>
      <c r="C103" s="1" t="n">
        <v>45934</v>
      </c>
      <c r="D103" t="inlineStr">
        <is>
          <t>GOTLANDS LÄN</t>
        </is>
      </c>
      <c r="E103" t="inlineStr">
        <is>
          <t>GOTLAND</t>
        </is>
      </c>
      <c r="G103" t="n">
        <v>1.9</v>
      </c>
      <c r="H103" t="n">
        <v>0</v>
      </c>
      <c r="I103" t="n">
        <v>1</v>
      </c>
      <c r="J103" t="n">
        <v>1</v>
      </c>
      <c r="K103" t="n">
        <v>1</v>
      </c>
      <c r="L103" t="n">
        <v>0</v>
      </c>
      <c r="M103" t="n">
        <v>0</v>
      </c>
      <c r="N103" t="n">
        <v>0</v>
      </c>
      <c r="O103" t="n">
        <v>2</v>
      </c>
      <c r="P103" t="n">
        <v>1</v>
      </c>
      <c r="Q103" t="n">
        <v>3</v>
      </c>
      <c r="R103" s="2" t="inlineStr">
        <is>
          <t>Skogskorn
Igelkott
Kambräken</t>
        </is>
      </c>
      <c r="S103">
        <f>HYPERLINK("https://klasma.github.io/Logging_0980/artfynd/A 73144-2021 artfynd.xlsx", "A 73144-2021")</f>
        <v/>
      </c>
      <c r="T103">
        <f>HYPERLINK("https://klasma.github.io/Logging_0980/kartor/A 73144-2021 karta.png", "A 73144-2021")</f>
        <v/>
      </c>
      <c r="V103">
        <f>HYPERLINK("https://klasma.github.io/Logging_0980/klagomål/A 73144-2021 FSC-klagomål.docx", "A 73144-2021")</f>
        <v/>
      </c>
      <c r="W103">
        <f>HYPERLINK("https://klasma.github.io/Logging_0980/klagomålsmail/A 73144-2021 FSC-klagomål mail.docx", "A 73144-2021")</f>
        <v/>
      </c>
      <c r="X103">
        <f>HYPERLINK("https://klasma.github.io/Logging_0980/tillsyn/A 73144-2021 tillsynsbegäran.docx", "A 73144-2021")</f>
        <v/>
      </c>
      <c r="Y103">
        <f>HYPERLINK("https://klasma.github.io/Logging_0980/tillsynsmail/A 73144-2021 tillsynsbegäran mail.docx", "A 73144-2021")</f>
        <v/>
      </c>
    </row>
    <row r="104" ht="15" customHeight="1">
      <c r="A104" t="inlineStr">
        <is>
          <t>A 32718-2021</t>
        </is>
      </c>
      <c r="B104" s="1" t="n">
        <v>44375</v>
      </c>
      <c r="C104" s="1" t="n">
        <v>45934</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20831-2024</t>
        </is>
      </c>
      <c r="B105" s="1" t="n">
        <v>45439</v>
      </c>
      <c r="C105" s="1" t="n">
        <v>45934</v>
      </c>
      <c r="D105" t="inlineStr">
        <is>
          <t>GOTLANDS LÄN</t>
        </is>
      </c>
      <c r="E105" t="inlineStr">
        <is>
          <t>GOTLAND</t>
        </is>
      </c>
      <c r="G105" t="n">
        <v>2.9</v>
      </c>
      <c r="H105" t="n">
        <v>2</v>
      </c>
      <c r="I105" t="n">
        <v>1</v>
      </c>
      <c r="J105" t="n">
        <v>2</v>
      </c>
      <c r="K105" t="n">
        <v>0</v>
      </c>
      <c r="L105" t="n">
        <v>0</v>
      </c>
      <c r="M105" t="n">
        <v>0</v>
      </c>
      <c r="N105" t="n">
        <v>0</v>
      </c>
      <c r="O105" t="n">
        <v>2</v>
      </c>
      <c r="P105" t="n">
        <v>0</v>
      </c>
      <c r="Q105" t="n">
        <v>3</v>
      </c>
      <c r="R105" s="2" t="inlineStr">
        <is>
          <t>Dårgräsfjäril
Svinrot
Skogsknipprot</t>
        </is>
      </c>
      <c r="S105">
        <f>HYPERLINK("https://klasma.github.io/Logging_0980/artfynd/A 20831-2024 artfynd.xlsx", "A 20831-2024")</f>
        <v/>
      </c>
      <c r="T105">
        <f>HYPERLINK("https://klasma.github.io/Logging_0980/kartor/A 20831-2024 karta.png", "A 20831-2024")</f>
        <v/>
      </c>
      <c r="V105">
        <f>HYPERLINK("https://klasma.github.io/Logging_0980/klagomål/A 20831-2024 FSC-klagomål.docx", "A 20831-2024")</f>
        <v/>
      </c>
      <c r="W105">
        <f>HYPERLINK("https://klasma.github.io/Logging_0980/klagomålsmail/A 20831-2024 FSC-klagomål mail.docx", "A 20831-2024")</f>
        <v/>
      </c>
      <c r="X105">
        <f>HYPERLINK("https://klasma.github.io/Logging_0980/tillsyn/A 20831-2024 tillsynsbegäran.docx", "A 20831-2024")</f>
        <v/>
      </c>
      <c r="Y105">
        <f>HYPERLINK("https://klasma.github.io/Logging_0980/tillsynsmail/A 20831-2024 tillsynsbegäran mail.docx", "A 20831-2024")</f>
        <v/>
      </c>
    </row>
    <row r="106" ht="15" customHeight="1">
      <c r="A106" t="inlineStr">
        <is>
          <t>A 13499-2022</t>
        </is>
      </c>
      <c r="B106" s="1" t="n">
        <v>44647.79203703703</v>
      </c>
      <c r="C106" s="1" t="n">
        <v>45934</v>
      </c>
      <c r="D106" t="inlineStr">
        <is>
          <t>GOTLANDS LÄN</t>
        </is>
      </c>
      <c r="E106" t="inlineStr">
        <is>
          <t>GOTLAND</t>
        </is>
      </c>
      <c r="G106" t="n">
        <v>6.8</v>
      </c>
      <c r="H106" t="n">
        <v>3</v>
      </c>
      <c r="I106" t="n">
        <v>0</v>
      </c>
      <c r="J106" t="n">
        <v>1</v>
      </c>
      <c r="K106" t="n">
        <v>0</v>
      </c>
      <c r="L106" t="n">
        <v>0</v>
      </c>
      <c r="M106" t="n">
        <v>0</v>
      </c>
      <c r="N106" t="n">
        <v>0</v>
      </c>
      <c r="O106" t="n">
        <v>1</v>
      </c>
      <c r="P106" t="n">
        <v>0</v>
      </c>
      <c r="Q106" t="n">
        <v>3</v>
      </c>
      <c r="R106" s="2" t="inlineStr">
        <is>
          <t>Spillkråka
Sankt pers nycklar
Blåsippa</t>
        </is>
      </c>
      <c r="S106">
        <f>HYPERLINK("https://klasma.github.io/Logging_0980/artfynd/A 13499-2022 artfynd.xlsx", "A 13499-2022")</f>
        <v/>
      </c>
      <c r="T106">
        <f>HYPERLINK("https://klasma.github.io/Logging_0980/kartor/A 13499-2022 karta.png", "A 13499-2022")</f>
        <v/>
      </c>
      <c r="V106">
        <f>HYPERLINK("https://klasma.github.io/Logging_0980/klagomål/A 13499-2022 FSC-klagomål.docx", "A 13499-2022")</f>
        <v/>
      </c>
      <c r="W106">
        <f>HYPERLINK("https://klasma.github.io/Logging_0980/klagomålsmail/A 13499-2022 FSC-klagomål mail.docx", "A 13499-2022")</f>
        <v/>
      </c>
      <c r="X106">
        <f>HYPERLINK("https://klasma.github.io/Logging_0980/tillsyn/A 13499-2022 tillsynsbegäran.docx", "A 13499-2022")</f>
        <v/>
      </c>
      <c r="Y106">
        <f>HYPERLINK("https://klasma.github.io/Logging_0980/tillsynsmail/A 13499-2022 tillsynsbegäran mail.docx", "A 13499-2022")</f>
        <v/>
      </c>
      <c r="Z106">
        <f>HYPERLINK("https://klasma.github.io/Logging_0980/fåglar/A 13499-2022 prioriterade fågelarter.docx", "A 13499-2022")</f>
        <v/>
      </c>
    </row>
    <row r="107" ht="15" customHeight="1">
      <c r="A107" t="inlineStr">
        <is>
          <t>A 5235-2025</t>
        </is>
      </c>
      <c r="B107" s="1" t="n">
        <v>45692.26797453704</v>
      </c>
      <c r="C107" s="1" t="n">
        <v>45934</v>
      </c>
      <c r="D107" t="inlineStr">
        <is>
          <t>GOTLANDS LÄN</t>
        </is>
      </c>
      <c r="E107" t="inlineStr">
        <is>
          <t>GOTLAND</t>
        </is>
      </c>
      <c r="G107" t="n">
        <v>7.6</v>
      </c>
      <c r="H107" t="n">
        <v>1</v>
      </c>
      <c r="I107" t="n">
        <v>2</v>
      </c>
      <c r="J107" t="n">
        <v>1</v>
      </c>
      <c r="K107" t="n">
        <v>0</v>
      </c>
      <c r="L107" t="n">
        <v>0</v>
      </c>
      <c r="M107" t="n">
        <v>0</v>
      </c>
      <c r="N107" t="n">
        <v>0</v>
      </c>
      <c r="O107" t="n">
        <v>1</v>
      </c>
      <c r="P107" t="n">
        <v>0</v>
      </c>
      <c r="Q107" t="n">
        <v>3</v>
      </c>
      <c r="R107" s="2" t="inlineStr">
        <is>
          <t>Svinrot
Blåmossa
Tvåblad</t>
        </is>
      </c>
      <c r="S107">
        <f>HYPERLINK("https://klasma.github.io/Logging_0980/artfynd/A 5235-2025 artfynd.xlsx", "A 5235-2025")</f>
        <v/>
      </c>
      <c r="T107">
        <f>HYPERLINK("https://klasma.github.io/Logging_0980/kartor/A 5235-2025 karta.png", "A 5235-2025")</f>
        <v/>
      </c>
      <c r="V107">
        <f>HYPERLINK("https://klasma.github.io/Logging_0980/klagomål/A 5235-2025 FSC-klagomål.docx", "A 5235-2025")</f>
        <v/>
      </c>
      <c r="W107">
        <f>HYPERLINK("https://klasma.github.io/Logging_0980/klagomålsmail/A 5235-2025 FSC-klagomål mail.docx", "A 5235-2025")</f>
        <v/>
      </c>
      <c r="X107">
        <f>HYPERLINK("https://klasma.github.io/Logging_0980/tillsyn/A 5235-2025 tillsynsbegäran.docx", "A 5235-2025")</f>
        <v/>
      </c>
      <c r="Y107">
        <f>HYPERLINK("https://klasma.github.io/Logging_0980/tillsynsmail/A 5235-2025 tillsynsbegäran mail.docx", "A 5235-2025")</f>
        <v/>
      </c>
    </row>
    <row r="108" ht="15" customHeight="1">
      <c r="A108" t="inlineStr">
        <is>
          <t>A 17975-2024</t>
        </is>
      </c>
      <c r="B108" s="1" t="n">
        <v>45419.85546296297</v>
      </c>
      <c r="C108" s="1" t="n">
        <v>45934</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62326-2020</t>
        </is>
      </c>
      <c r="B109" s="1" t="n">
        <v>44160</v>
      </c>
      <c r="C109" s="1" t="n">
        <v>45934</v>
      </c>
      <c r="D109" t="inlineStr">
        <is>
          <t>GOTLANDS LÄN</t>
        </is>
      </c>
      <c r="E109" t="inlineStr">
        <is>
          <t>GOTLAND</t>
        </is>
      </c>
      <c r="G109" t="n">
        <v>7.4</v>
      </c>
      <c r="H109" t="n">
        <v>1</v>
      </c>
      <c r="I109" t="n">
        <v>3</v>
      </c>
      <c r="J109" t="n">
        <v>0</v>
      </c>
      <c r="K109" t="n">
        <v>0</v>
      </c>
      <c r="L109" t="n">
        <v>0</v>
      </c>
      <c r="M109" t="n">
        <v>0</v>
      </c>
      <c r="N109" t="n">
        <v>0</v>
      </c>
      <c r="O109" t="n">
        <v>0</v>
      </c>
      <c r="P109" t="n">
        <v>0</v>
      </c>
      <c r="Q109" t="n">
        <v>3</v>
      </c>
      <c r="R109" s="2" t="inlineStr">
        <is>
          <t>Anisspindling
Blåmossa
Skogsknipprot</t>
        </is>
      </c>
      <c r="S109">
        <f>HYPERLINK("https://klasma.github.io/Logging_0980/artfynd/A 62326-2020 artfynd.xlsx", "A 62326-2020")</f>
        <v/>
      </c>
      <c r="T109">
        <f>HYPERLINK("https://klasma.github.io/Logging_0980/kartor/A 62326-2020 karta.png", "A 62326-2020")</f>
        <v/>
      </c>
      <c r="V109">
        <f>HYPERLINK("https://klasma.github.io/Logging_0980/klagomål/A 62326-2020 FSC-klagomål.docx", "A 62326-2020")</f>
        <v/>
      </c>
      <c r="W109">
        <f>HYPERLINK("https://klasma.github.io/Logging_0980/klagomålsmail/A 62326-2020 FSC-klagomål mail.docx", "A 62326-2020")</f>
        <v/>
      </c>
      <c r="X109">
        <f>HYPERLINK("https://klasma.github.io/Logging_0980/tillsyn/A 62326-2020 tillsynsbegäran.docx", "A 62326-2020")</f>
        <v/>
      </c>
      <c r="Y109">
        <f>HYPERLINK("https://klasma.github.io/Logging_0980/tillsynsmail/A 62326-2020 tillsynsbegäran mail.docx", "A 62326-2020")</f>
        <v/>
      </c>
    </row>
    <row r="110" ht="15" customHeight="1">
      <c r="A110" t="inlineStr">
        <is>
          <t>A 48126-2022</t>
        </is>
      </c>
      <c r="B110" s="1" t="n">
        <v>44857</v>
      </c>
      <c r="C110" s="1" t="n">
        <v>45934</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17982-2023</t>
        </is>
      </c>
      <c r="B111" s="1" t="n">
        <v>45040</v>
      </c>
      <c r="C111" s="1" t="n">
        <v>45934</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30490-2025</t>
        </is>
      </c>
      <c r="B112" s="1" t="n">
        <v>45830</v>
      </c>
      <c r="C112" s="1" t="n">
        <v>45934</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53552-2021</t>
        </is>
      </c>
      <c r="B113" s="1" t="n">
        <v>44468</v>
      </c>
      <c r="C113" s="1" t="n">
        <v>45934</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45934</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55334-2024</t>
        </is>
      </c>
      <c r="B115" s="1" t="n">
        <v>45621</v>
      </c>
      <c r="C115" s="1" t="n">
        <v>45934</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29870-2021</t>
        </is>
      </c>
      <c r="B116" s="1" t="n">
        <v>44362</v>
      </c>
      <c r="C116" s="1" t="n">
        <v>45934</v>
      </c>
      <c r="D116" t="inlineStr">
        <is>
          <t>GOTLANDS LÄN</t>
        </is>
      </c>
      <c r="E116" t="inlineStr">
        <is>
          <t>GOTLAND</t>
        </is>
      </c>
      <c r="G116" t="n">
        <v>2.4</v>
      </c>
      <c r="H116" t="n">
        <v>0</v>
      </c>
      <c r="I116" t="n">
        <v>1</v>
      </c>
      <c r="J116" t="n">
        <v>0</v>
      </c>
      <c r="K116" t="n">
        <v>1</v>
      </c>
      <c r="L116" t="n">
        <v>0</v>
      </c>
      <c r="M116" t="n">
        <v>0</v>
      </c>
      <c r="N116" t="n">
        <v>0</v>
      </c>
      <c r="O116" t="n">
        <v>1</v>
      </c>
      <c r="P116" t="n">
        <v>1</v>
      </c>
      <c r="Q116" t="n">
        <v>2</v>
      </c>
      <c r="R116" s="2" t="inlineStr">
        <is>
          <t>Blåfotad fagerspindling
Olivspindling</t>
        </is>
      </c>
      <c r="S116">
        <f>HYPERLINK("https://klasma.github.io/Logging_0980/artfynd/A 29870-2021 artfynd.xlsx", "A 29870-2021")</f>
        <v/>
      </c>
      <c r="T116">
        <f>HYPERLINK("https://klasma.github.io/Logging_0980/kartor/A 29870-2021 karta.png", "A 29870-2021")</f>
        <v/>
      </c>
      <c r="V116">
        <f>HYPERLINK("https://klasma.github.io/Logging_0980/klagomål/A 29870-2021 FSC-klagomål.docx", "A 29870-2021")</f>
        <v/>
      </c>
      <c r="W116">
        <f>HYPERLINK("https://klasma.github.io/Logging_0980/klagomålsmail/A 29870-2021 FSC-klagomål mail.docx", "A 29870-2021")</f>
        <v/>
      </c>
      <c r="X116">
        <f>HYPERLINK("https://klasma.github.io/Logging_0980/tillsyn/A 29870-2021 tillsynsbegäran.docx", "A 29870-2021")</f>
        <v/>
      </c>
      <c r="Y116">
        <f>HYPERLINK("https://klasma.github.io/Logging_0980/tillsynsmail/A 29870-2021 tillsynsbegäran mail.docx", "A 29870-2021")</f>
        <v/>
      </c>
    </row>
    <row r="117" ht="15" customHeight="1">
      <c r="A117" t="inlineStr">
        <is>
          <t>A 26857-2021</t>
        </is>
      </c>
      <c r="B117" s="1" t="n">
        <v>44349.60091435185</v>
      </c>
      <c r="C117" s="1" t="n">
        <v>45934</v>
      </c>
      <c r="D117" t="inlineStr">
        <is>
          <t>GOTLANDS LÄN</t>
        </is>
      </c>
      <c r="E117" t="inlineStr">
        <is>
          <t>GOTLAND</t>
        </is>
      </c>
      <c r="G117" t="n">
        <v>1.9</v>
      </c>
      <c r="H117" t="n">
        <v>0</v>
      </c>
      <c r="I117" t="n">
        <v>0</v>
      </c>
      <c r="J117" t="n">
        <v>2</v>
      </c>
      <c r="K117" t="n">
        <v>0</v>
      </c>
      <c r="L117" t="n">
        <v>0</v>
      </c>
      <c r="M117" t="n">
        <v>0</v>
      </c>
      <c r="N117" t="n">
        <v>0</v>
      </c>
      <c r="O117" t="n">
        <v>2</v>
      </c>
      <c r="P117" t="n">
        <v>0</v>
      </c>
      <c r="Q117" t="n">
        <v>2</v>
      </c>
      <c r="R117" s="2" t="inlineStr">
        <is>
          <t>Jordtistel
Solvända</t>
        </is>
      </c>
      <c r="S117">
        <f>HYPERLINK("https://klasma.github.io/Logging_0980/artfynd/A 26857-2021 artfynd.xlsx", "A 26857-2021")</f>
        <v/>
      </c>
      <c r="T117">
        <f>HYPERLINK("https://klasma.github.io/Logging_0980/kartor/A 26857-2021 karta.png", "A 26857-2021")</f>
        <v/>
      </c>
      <c r="V117">
        <f>HYPERLINK("https://klasma.github.io/Logging_0980/klagomål/A 26857-2021 FSC-klagomål.docx", "A 26857-2021")</f>
        <v/>
      </c>
      <c r="W117">
        <f>HYPERLINK("https://klasma.github.io/Logging_0980/klagomålsmail/A 26857-2021 FSC-klagomål mail.docx", "A 26857-2021")</f>
        <v/>
      </c>
      <c r="X117">
        <f>HYPERLINK("https://klasma.github.io/Logging_0980/tillsyn/A 26857-2021 tillsynsbegäran.docx", "A 26857-2021")</f>
        <v/>
      </c>
      <c r="Y117">
        <f>HYPERLINK("https://klasma.github.io/Logging_0980/tillsynsmail/A 26857-2021 tillsynsbegäran mail.docx", "A 26857-2021")</f>
        <v/>
      </c>
    </row>
    <row r="118" ht="15" customHeight="1">
      <c r="A118" t="inlineStr">
        <is>
          <t>A 51737-2021</t>
        </is>
      </c>
      <c r="B118" s="1" t="n">
        <v>44462.57368055556</v>
      </c>
      <c r="C118" s="1" t="n">
        <v>45934</v>
      </c>
      <c r="D118" t="inlineStr">
        <is>
          <t>GOTLANDS LÄN</t>
        </is>
      </c>
      <c r="E118" t="inlineStr">
        <is>
          <t>GOTLAND</t>
        </is>
      </c>
      <c r="G118" t="n">
        <v>8.6</v>
      </c>
      <c r="H118" t="n">
        <v>0</v>
      </c>
      <c r="I118" t="n">
        <v>1</v>
      </c>
      <c r="J118" t="n">
        <v>1</v>
      </c>
      <c r="K118" t="n">
        <v>0</v>
      </c>
      <c r="L118" t="n">
        <v>0</v>
      </c>
      <c r="M118" t="n">
        <v>0</v>
      </c>
      <c r="N118" t="n">
        <v>0</v>
      </c>
      <c r="O118" t="n">
        <v>1</v>
      </c>
      <c r="P118" t="n">
        <v>0</v>
      </c>
      <c r="Q118" t="n">
        <v>2</v>
      </c>
      <c r="R118" s="2" t="inlineStr">
        <is>
          <t>Igelkott
Kambräken</t>
        </is>
      </c>
      <c r="S118">
        <f>HYPERLINK("https://klasma.github.io/Logging_0980/artfynd/A 51737-2021 artfynd.xlsx", "A 51737-2021")</f>
        <v/>
      </c>
      <c r="T118">
        <f>HYPERLINK("https://klasma.github.io/Logging_0980/kartor/A 51737-2021 karta.png", "A 51737-2021")</f>
        <v/>
      </c>
      <c r="V118">
        <f>HYPERLINK("https://klasma.github.io/Logging_0980/klagomål/A 51737-2021 FSC-klagomål.docx", "A 51737-2021")</f>
        <v/>
      </c>
      <c r="W118">
        <f>HYPERLINK("https://klasma.github.io/Logging_0980/klagomålsmail/A 51737-2021 FSC-klagomål mail.docx", "A 51737-2021")</f>
        <v/>
      </c>
      <c r="X118">
        <f>HYPERLINK("https://klasma.github.io/Logging_0980/tillsyn/A 51737-2021 tillsynsbegäran.docx", "A 51737-2021")</f>
        <v/>
      </c>
      <c r="Y118">
        <f>HYPERLINK("https://klasma.github.io/Logging_0980/tillsynsmail/A 51737-2021 tillsynsbegäran mail.docx", "A 51737-2021")</f>
        <v/>
      </c>
    </row>
    <row r="119" ht="15" customHeight="1">
      <c r="A119" t="inlineStr">
        <is>
          <t>A 16429-2021</t>
        </is>
      </c>
      <c r="B119" s="1" t="n">
        <v>44293</v>
      </c>
      <c r="C119" s="1" t="n">
        <v>45934</v>
      </c>
      <c r="D119" t="inlineStr">
        <is>
          <t>GOTLANDS LÄN</t>
        </is>
      </c>
      <c r="E119" t="inlineStr">
        <is>
          <t>GOTLAND</t>
        </is>
      </c>
      <c r="G119" t="n">
        <v>3.4</v>
      </c>
      <c r="H119" t="n">
        <v>0</v>
      </c>
      <c r="I119" t="n">
        <v>0</v>
      </c>
      <c r="J119" t="n">
        <v>1</v>
      </c>
      <c r="K119" t="n">
        <v>1</v>
      </c>
      <c r="L119" t="n">
        <v>0</v>
      </c>
      <c r="M119" t="n">
        <v>0</v>
      </c>
      <c r="N119" t="n">
        <v>0</v>
      </c>
      <c r="O119" t="n">
        <v>2</v>
      </c>
      <c r="P119" t="n">
        <v>1</v>
      </c>
      <c r="Q119" t="n">
        <v>2</v>
      </c>
      <c r="R119" s="2" t="inlineStr">
        <is>
          <t>Gotlandsmåra
Barrviolspindling</t>
        </is>
      </c>
      <c r="S119">
        <f>HYPERLINK("https://klasma.github.io/Logging_0980/artfynd/A 16429-2021 artfynd.xlsx", "A 16429-2021")</f>
        <v/>
      </c>
      <c r="T119">
        <f>HYPERLINK("https://klasma.github.io/Logging_0980/kartor/A 16429-2021 karta.png", "A 16429-2021")</f>
        <v/>
      </c>
      <c r="V119">
        <f>HYPERLINK("https://klasma.github.io/Logging_0980/klagomål/A 16429-2021 FSC-klagomål.docx", "A 16429-2021")</f>
        <v/>
      </c>
      <c r="W119">
        <f>HYPERLINK("https://klasma.github.io/Logging_0980/klagomålsmail/A 16429-2021 FSC-klagomål mail.docx", "A 16429-2021")</f>
        <v/>
      </c>
      <c r="X119">
        <f>HYPERLINK("https://klasma.github.io/Logging_0980/tillsyn/A 16429-2021 tillsynsbegäran.docx", "A 16429-2021")</f>
        <v/>
      </c>
      <c r="Y119">
        <f>HYPERLINK("https://klasma.github.io/Logging_0980/tillsynsmail/A 16429-2021 tillsynsbegäran mail.docx", "A 16429-2021")</f>
        <v/>
      </c>
    </row>
    <row r="120" ht="15" customHeight="1">
      <c r="A120" t="inlineStr">
        <is>
          <t>A 9930-2021</t>
        </is>
      </c>
      <c r="B120" s="1" t="n">
        <v>44252</v>
      </c>
      <c r="C120" s="1" t="n">
        <v>45934</v>
      </c>
      <c r="D120" t="inlineStr">
        <is>
          <t>GOTLANDS LÄN</t>
        </is>
      </c>
      <c r="E120" t="inlineStr">
        <is>
          <t>GOTLAND</t>
        </is>
      </c>
      <c r="G120" t="n">
        <v>1.9</v>
      </c>
      <c r="H120" t="n">
        <v>0</v>
      </c>
      <c r="I120" t="n">
        <v>0</v>
      </c>
      <c r="J120" t="n">
        <v>0</v>
      </c>
      <c r="K120" t="n">
        <v>0</v>
      </c>
      <c r="L120" t="n">
        <v>1</v>
      </c>
      <c r="M120" t="n">
        <v>1</v>
      </c>
      <c r="N120" t="n">
        <v>0</v>
      </c>
      <c r="O120" t="n">
        <v>2</v>
      </c>
      <c r="P120" t="n">
        <v>2</v>
      </c>
      <c r="Q120" t="n">
        <v>2</v>
      </c>
      <c r="R120" s="2" t="inlineStr">
        <is>
          <t>Lundalm
Ask</t>
        </is>
      </c>
      <c r="S120">
        <f>HYPERLINK("https://klasma.github.io/Logging_0980/artfynd/A 9930-2021 artfynd.xlsx", "A 9930-2021")</f>
        <v/>
      </c>
      <c r="T120">
        <f>HYPERLINK("https://klasma.github.io/Logging_0980/kartor/A 9930-2021 karta.png", "A 9930-2021")</f>
        <v/>
      </c>
      <c r="V120">
        <f>HYPERLINK("https://klasma.github.io/Logging_0980/klagomål/A 9930-2021 FSC-klagomål.docx", "A 9930-2021")</f>
        <v/>
      </c>
      <c r="W120">
        <f>HYPERLINK("https://klasma.github.io/Logging_0980/klagomålsmail/A 9930-2021 FSC-klagomål mail.docx", "A 9930-2021")</f>
        <v/>
      </c>
      <c r="X120">
        <f>HYPERLINK("https://klasma.github.io/Logging_0980/tillsyn/A 9930-2021 tillsynsbegäran.docx", "A 9930-2021")</f>
        <v/>
      </c>
      <c r="Y120">
        <f>HYPERLINK("https://klasma.github.io/Logging_0980/tillsynsmail/A 9930-2021 tillsynsbegäran mail.docx", "A 9930-2021")</f>
        <v/>
      </c>
    </row>
    <row r="121" ht="15" customHeight="1">
      <c r="A121" t="inlineStr">
        <is>
          <t>A 20218-2022</t>
        </is>
      </c>
      <c r="B121" s="1" t="n">
        <v>44698</v>
      </c>
      <c r="C121" s="1" t="n">
        <v>45934</v>
      </c>
      <c r="D121" t="inlineStr">
        <is>
          <t>GOTLANDS LÄN</t>
        </is>
      </c>
      <c r="E121" t="inlineStr">
        <is>
          <t>GOTLAND</t>
        </is>
      </c>
      <c r="G121" t="n">
        <v>4.3</v>
      </c>
      <c r="H121" t="n">
        <v>0</v>
      </c>
      <c r="I121" t="n">
        <v>1</v>
      </c>
      <c r="J121" t="n">
        <v>1</v>
      </c>
      <c r="K121" t="n">
        <v>0</v>
      </c>
      <c r="L121" t="n">
        <v>0</v>
      </c>
      <c r="M121" t="n">
        <v>0</v>
      </c>
      <c r="N121" t="n">
        <v>0</v>
      </c>
      <c r="O121" t="n">
        <v>1</v>
      </c>
      <c r="P121" t="n">
        <v>0</v>
      </c>
      <c r="Q121" t="n">
        <v>2</v>
      </c>
      <c r="R121" s="2" t="inlineStr">
        <is>
          <t>Flattoppad klubbsvamp
Rödgul trumpetsvamp</t>
        </is>
      </c>
      <c r="S121">
        <f>HYPERLINK("https://klasma.github.io/Logging_0980/artfynd/A 20218-2022 artfynd.xlsx", "A 20218-2022")</f>
        <v/>
      </c>
      <c r="T121">
        <f>HYPERLINK("https://klasma.github.io/Logging_0980/kartor/A 20218-2022 karta.png", "A 20218-2022")</f>
        <v/>
      </c>
      <c r="V121">
        <f>HYPERLINK("https://klasma.github.io/Logging_0980/klagomål/A 20218-2022 FSC-klagomål.docx", "A 20218-2022")</f>
        <v/>
      </c>
      <c r="W121">
        <f>HYPERLINK("https://klasma.github.io/Logging_0980/klagomålsmail/A 20218-2022 FSC-klagomål mail.docx", "A 20218-2022")</f>
        <v/>
      </c>
      <c r="X121">
        <f>HYPERLINK("https://klasma.github.io/Logging_0980/tillsyn/A 20218-2022 tillsynsbegäran.docx", "A 20218-2022")</f>
        <v/>
      </c>
      <c r="Y121">
        <f>HYPERLINK("https://klasma.github.io/Logging_0980/tillsynsmail/A 20218-2022 tillsynsbegäran mail.docx", "A 20218-2022")</f>
        <v/>
      </c>
    </row>
    <row r="122" ht="15" customHeight="1">
      <c r="A122" t="inlineStr">
        <is>
          <t>A 28261-2024</t>
        </is>
      </c>
      <c r="B122" s="1" t="n">
        <v>45477</v>
      </c>
      <c r="C122" s="1" t="n">
        <v>45934</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28261-2024 artfynd.xlsx", "A 28261-2024")</f>
        <v/>
      </c>
      <c r="T122">
        <f>HYPERLINK("https://klasma.github.io/Logging_0980/kartor/A 28261-2024 karta.png", "A 28261-2024")</f>
        <v/>
      </c>
      <c r="V122">
        <f>HYPERLINK("https://klasma.github.io/Logging_0980/klagomål/A 28261-2024 FSC-klagomål.docx", "A 28261-2024")</f>
        <v/>
      </c>
      <c r="W122">
        <f>HYPERLINK("https://klasma.github.io/Logging_0980/klagomålsmail/A 28261-2024 FSC-klagomål mail.docx", "A 28261-2024")</f>
        <v/>
      </c>
      <c r="X122">
        <f>HYPERLINK("https://klasma.github.io/Logging_0980/tillsyn/A 28261-2024 tillsynsbegäran.docx", "A 28261-2024")</f>
        <v/>
      </c>
      <c r="Y122">
        <f>HYPERLINK("https://klasma.github.io/Logging_0980/tillsynsmail/A 28261-2024 tillsynsbegäran mail.docx", "A 28261-2024")</f>
        <v/>
      </c>
    </row>
    <row r="123" ht="15" customHeight="1">
      <c r="A123" t="inlineStr">
        <is>
          <t>A 60665-2021</t>
        </is>
      </c>
      <c r="B123" s="1" t="n">
        <v>44496</v>
      </c>
      <c r="C123" s="1" t="n">
        <v>45934</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64263-2020</t>
        </is>
      </c>
      <c r="B124" s="1" t="n">
        <v>44168</v>
      </c>
      <c r="C124" s="1" t="n">
        <v>45934</v>
      </c>
      <c r="D124" t="inlineStr">
        <is>
          <t>GOTLANDS LÄN</t>
        </is>
      </c>
      <c r="E124" t="inlineStr">
        <is>
          <t>GOTLAND</t>
        </is>
      </c>
      <c r="G124" t="n">
        <v>10.9</v>
      </c>
      <c r="H124" t="n">
        <v>1</v>
      </c>
      <c r="I124" t="n">
        <v>0</v>
      </c>
      <c r="J124" t="n">
        <v>2</v>
      </c>
      <c r="K124" t="n">
        <v>0</v>
      </c>
      <c r="L124" t="n">
        <v>0</v>
      </c>
      <c r="M124" t="n">
        <v>0</v>
      </c>
      <c r="N124" t="n">
        <v>0</v>
      </c>
      <c r="O124" t="n">
        <v>2</v>
      </c>
      <c r="P124" t="n">
        <v>0</v>
      </c>
      <c r="Q124" t="n">
        <v>2</v>
      </c>
      <c r="R124" s="2" t="inlineStr">
        <is>
          <t>Mindre hackspett
Ullticka</t>
        </is>
      </c>
      <c r="S124">
        <f>HYPERLINK("https://klasma.github.io/Logging_0980/artfynd/A 64263-2020 artfynd.xlsx", "A 64263-2020")</f>
        <v/>
      </c>
      <c r="T124">
        <f>HYPERLINK("https://klasma.github.io/Logging_0980/kartor/A 64263-2020 karta.png", "A 64263-2020")</f>
        <v/>
      </c>
      <c r="V124">
        <f>HYPERLINK("https://klasma.github.io/Logging_0980/klagomål/A 64263-2020 FSC-klagomål.docx", "A 64263-2020")</f>
        <v/>
      </c>
      <c r="W124">
        <f>HYPERLINK("https://klasma.github.io/Logging_0980/klagomålsmail/A 64263-2020 FSC-klagomål mail.docx", "A 64263-2020")</f>
        <v/>
      </c>
      <c r="X124">
        <f>HYPERLINK("https://klasma.github.io/Logging_0980/tillsyn/A 64263-2020 tillsynsbegäran.docx", "A 64263-2020")</f>
        <v/>
      </c>
      <c r="Y124">
        <f>HYPERLINK("https://klasma.github.io/Logging_0980/tillsynsmail/A 64263-2020 tillsynsbegäran mail.docx", "A 64263-2020")</f>
        <v/>
      </c>
      <c r="Z124">
        <f>HYPERLINK("https://klasma.github.io/Logging_0980/fåglar/A 64263-2020 prioriterade fågelarter.docx", "A 64263-2020")</f>
        <v/>
      </c>
    </row>
    <row r="125" ht="15" customHeight="1">
      <c r="A125" t="inlineStr">
        <is>
          <t>A 55649-2024</t>
        </is>
      </c>
      <c r="B125" s="1" t="n">
        <v>45622.63053240741</v>
      </c>
      <c r="C125" s="1" t="n">
        <v>45934</v>
      </c>
      <c r="D125" t="inlineStr">
        <is>
          <t>GOTLANDS LÄN</t>
        </is>
      </c>
      <c r="E125" t="inlineStr">
        <is>
          <t>GOTLAND</t>
        </is>
      </c>
      <c r="G125" t="n">
        <v>4.6</v>
      </c>
      <c r="H125" t="n">
        <v>2</v>
      </c>
      <c r="I125" t="n">
        <v>0</v>
      </c>
      <c r="J125" t="n">
        <v>0</v>
      </c>
      <c r="K125" t="n">
        <v>0</v>
      </c>
      <c r="L125" t="n">
        <v>0</v>
      </c>
      <c r="M125" t="n">
        <v>0</v>
      </c>
      <c r="N125" t="n">
        <v>0</v>
      </c>
      <c r="O125" t="n">
        <v>0</v>
      </c>
      <c r="P125" t="n">
        <v>0</v>
      </c>
      <c r="Q125" t="n">
        <v>2</v>
      </c>
      <c r="R125" s="2" t="inlineStr">
        <is>
          <t>Sankt pers nycklar
Blåsippa</t>
        </is>
      </c>
      <c r="S125">
        <f>HYPERLINK("https://klasma.github.io/Logging_0980/artfynd/A 55649-2024 artfynd.xlsx", "A 55649-2024")</f>
        <v/>
      </c>
      <c r="T125">
        <f>HYPERLINK("https://klasma.github.io/Logging_0980/kartor/A 55649-2024 karta.png", "A 55649-2024")</f>
        <v/>
      </c>
      <c r="V125">
        <f>HYPERLINK("https://klasma.github.io/Logging_0980/klagomål/A 55649-2024 FSC-klagomål.docx", "A 55649-2024")</f>
        <v/>
      </c>
      <c r="W125">
        <f>HYPERLINK("https://klasma.github.io/Logging_0980/klagomålsmail/A 55649-2024 FSC-klagomål mail.docx", "A 55649-2024")</f>
        <v/>
      </c>
      <c r="X125">
        <f>HYPERLINK("https://klasma.github.io/Logging_0980/tillsyn/A 55649-2024 tillsynsbegäran.docx", "A 55649-2024")</f>
        <v/>
      </c>
      <c r="Y125">
        <f>HYPERLINK("https://klasma.github.io/Logging_0980/tillsynsmail/A 55649-2024 tillsynsbegäran mail.docx", "A 55649-2024")</f>
        <v/>
      </c>
    </row>
    <row r="126" ht="15" customHeight="1">
      <c r="A126" t="inlineStr">
        <is>
          <t>A 12914-2025</t>
        </is>
      </c>
      <c r="B126" s="1" t="n">
        <v>45733</v>
      </c>
      <c r="C126" s="1" t="n">
        <v>45934</v>
      </c>
      <c r="D126" t="inlineStr">
        <is>
          <t>GOTLANDS LÄN</t>
        </is>
      </c>
      <c r="E126" t="inlineStr">
        <is>
          <t>GOTLAND</t>
        </is>
      </c>
      <c r="G126" t="n">
        <v>24.8</v>
      </c>
      <c r="H126" t="n">
        <v>2</v>
      </c>
      <c r="I126" t="n">
        <v>1</v>
      </c>
      <c r="J126" t="n">
        <v>0</v>
      </c>
      <c r="K126" t="n">
        <v>0</v>
      </c>
      <c r="L126" t="n">
        <v>0</v>
      </c>
      <c r="M126" t="n">
        <v>0</v>
      </c>
      <c r="N126" t="n">
        <v>0</v>
      </c>
      <c r="O126" t="n">
        <v>0</v>
      </c>
      <c r="P126" t="n">
        <v>0</v>
      </c>
      <c r="Q126" t="n">
        <v>2</v>
      </c>
      <c r="R126" s="2" t="inlineStr">
        <is>
          <t>Purpurknipprot
Brudsporre</t>
        </is>
      </c>
      <c r="S126">
        <f>HYPERLINK("https://klasma.github.io/Logging_0980/artfynd/A 12914-2025 artfynd.xlsx", "A 12914-2025")</f>
        <v/>
      </c>
      <c r="T126">
        <f>HYPERLINK("https://klasma.github.io/Logging_0980/kartor/A 12914-2025 karta.png", "A 12914-2025")</f>
        <v/>
      </c>
      <c r="V126">
        <f>HYPERLINK("https://klasma.github.io/Logging_0980/klagomål/A 12914-2025 FSC-klagomål.docx", "A 12914-2025")</f>
        <v/>
      </c>
      <c r="W126">
        <f>HYPERLINK("https://klasma.github.io/Logging_0980/klagomålsmail/A 12914-2025 FSC-klagomål mail.docx", "A 12914-2025")</f>
        <v/>
      </c>
      <c r="X126">
        <f>HYPERLINK("https://klasma.github.io/Logging_0980/tillsyn/A 12914-2025 tillsynsbegäran.docx", "A 12914-2025")</f>
        <v/>
      </c>
      <c r="Y126">
        <f>HYPERLINK("https://klasma.github.io/Logging_0980/tillsynsmail/A 12914-2025 tillsynsbegäran mail.docx", "A 12914-2025")</f>
        <v/>
      </c>
    </row>
    <row r="127" ht="15" customHeight="1">
      <c r="A127" t="inlineStr">
        <is>
          <t>A 43219-2023</t>
        </is>
      </c>
      <c r="B127" s="1" t="n">
        <v>45183</v>
      </c>
      <c r="C127" s="1" t="n">
        <v>45934</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13627-2023</t>
        </is>
      </c>
      <c r="B128" s="1" t="n">
        <v>45006</v>
      </c>
      <c r="C128" s="1" t="n">
        <v>45934</v>
      </c>
      <c r="D128" t="inlineStr">
        <is>
          <t>GOTLANDS LÄN</t>
        </is>
      </c>
      <c r="E128" t="inlineStr">
        <is>
          <t>GOTLAND</t>
        </is>
      </c>
      <c r="G128" t="n">
        <v>10.7</v>
      </c>
      <c r="H128" t="n">
        <v>0</v>
      </c>
      <c r="I128" t="n">
        <v>0</v>
      </c>
      <c r="J128" t="n">
        <v>1</v>
      </c>
      <c r="K128" t="n">
        <v>1</v>
      </c>
      <c r="L128" t="n">
        <v>0</v>
      </c>
      <c r="M128" t="n">
        <v>0</v>
      </c>
      <c r="N128" t="n">
        <v>0</v>
      </c>
      <c r="O128" t="n">
        <v>2</v>
      </c>
      <c r="P128" t="n">
        <v>1</v>
      </c>
      <c r="Q128" t="n">
        <v>2</v>
      </c>
      <c r="R128" s="2" t="inlineStr">
        <is>
          <t>Sammetsbockrot
Igelkott</t>
        </is>
      </c>
      <c r="S128">
        <f>HYPERLINK("https://klasma.github.io/Logging_0980/artfynd/A 13627-2023 artfynd.xlsx", "A 13627-2023")</f>
        <v/>
      </c>
      <c r="T128">
        <f>HYPERLINK("https://klasma.github.io/Logging_0980/kartor/A 13627-2023 karta.png", "A 13627-2023")</f>
        <v/>
      </c>
      <c r="V128">
        <f>HYPERLINK("https://klasma.github.io/Logging_0980/klagomål/A 13627-2023 FSC-klagomål.docx", "A 13627-2023")</f>
        <v/>
      </c>
      <c r="W128">
        <f>HYPERLINK("https://klasma.github.io/Logging_0980/klagomålsmail/A 13627-2023 FSC-klagomål mail.docx", "A 13627-2023")</f>
        <v/>
      </c>
      <c r="X128">
        <f>HYPERLINK("https://klasma.github.io/Logging_0980/tillsyn/A 13627-2023 tillsynsbegäran.docx", "A 13627-2023")</f>
        <v/>
      </c>
      <c r="Y128">
        <f>HYPERLINK("https://klasma.github.io/Logging_0980/tillsynsmail/A 13627-2023 tillsynsbegäran mail.docx", "A 13627-2023")</f>
        <v/>
      </c>
    </row>
    <row r="129" ht="15" customHeight="1">
      <c r="A129" t="inlineStr">
        <is>
          <t>A 28276-2024</t>
        </is>
      </c>
      <c r="B129" s="1" t="n">
        <v>45477</v>
      </c>
      <c r="C129" s="1" t="n">
        <v>45934</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28276-2024 artfynd.xlsx", "A 28276-2024")</f>
        <v/>
      </c>
      <c r="T129">
        <f>HYPERLINK("https://klasma.github.io/Logging_0980/kartor/A 28276-2024 karta.png", "A 28276-2024")</f>
        <v/>
      </c>
      <c r="V129">
        <f>HYPERLINK("https://klasma.github.io/Logging_0980/klagomål/A 28276-2024 FSC-klagomål.docx", "A 28276-2024")</f>
        <v/>
      </c>
      <c r="W129">
        <f>HYPERLINK("https://klasma.github.io/Logging_0980/klagomålsmail/A 28276-2024 FSC-klagomål mail.docx", "A 28276-2024")</f>
        <v/>
      </c>
      <c r="X129">
        <f>HYPERLINK("https://klasma.github.io/Logging_0980/tillsyn/A 28276-2024 tillsynsbegäran.docx", "A 28276-2024")</f>
        <v/>
      </c>
      <c r="Y129">
        <f>HYPERLINK("https://klasma.github.io/Logging_0980/tillsynsmail/A 28276-2024 tillsynsbegäran mail.docx", "A 28276-2024")</f>
        <v/>
      </c>
    </row>
    <row r="130" ht="15" customHeight="1">
      <c r="A130" t="inlineStr">
        <is>
          <t>A 58701-2020</t>
        </is>
      </c>
      <c r="B130" s="1" t="n">
        <v>44146</v>
      </c>
      <c r="C130" s="1" t="n">
        <v>45934</v>
      </c>
      <c r="D130" t="inlineStr">
        <is>
          <t>GOTLANDS LÄN</t>
        </is>
      </c>
      <c r="E130" t="inlineStr">
        <is>
          <t>GOTLAND</t>
        </is>
      </c>
      <c r="G130" t="n">
        <v>5.5</v>
      </c>
      <c r="H130" t="n">
        <v>0</v>
      </c>
      <c r="I130" t="n">
        <v>0</v>
      </c>
      <c r="J130" t="n">
        <v>1</v>
      </c>
      <c r="K130" t="n">
        <v>1</v>
      </c>
      <c r="L130" t="n">
        <v>0</v>
      </c>
      <c r="M130" t="n">
        <v>0</v>
      </c>
      <c r="N130" t="n">
        <v>0</v>
      </c>
      <c r="O130" t="n">
        <v>2</v>
      </c>
      <c r="P130" t="n">
        <v>1</v>
      </c>
      <c r="Q130" t="n">
        <v>2</v>
      </c>
      <c r="R130" s="2" t="inlineStr">
        <is>
          <t>Vit taggsvamp
Odörspindling</t>
        </is>
      </c>
      <c r="S130">
        <f>HYPERLINK("https://klasma.github.io/Logging_0980/artfynd/A 58701-2020 artfynd.xlsx", "A 58701-2020")</f>
        <v/>
      </c>
      <c r="T130">
        <f>HYPERLINK("https://klasma.github.io/Logging_0980/kartor/A 58701-2020 karta.png", "A 58701-2020")</f>
        <v/>
      </c>
      <c r="V130">
        <f>HYPERLINK("https://klasma.github.io/Logging_0980/klagomål/A 58701-2020 FSC-klagomål.docx", "A 58701-2020")</f>
        <v/>
      </c>
      <c r="W130">
        <f>HYPERLINK("https://klasma.github.io/Logging_0980/klagomålsmail/A 58701-2020 FSC-klagomål mail.docx", "A 58701-2020")</f>
        <v/>
      </c>
      <c r="X130">
        <f>HYPERLINK("https://klasma.github.io/Logging_0980/tillsyn/A 58701-2020 tillsynsbegäran.docx", "A 58701-2020")</f>
        <v/>
      </c>
      <c r="Y130">
        <f>HYPERLINK("https://klasma.github.io/Logging_0980/tillsynsmail/A 58701-2020 tillsynsbegäran mail.docx", "A 58701-2020")</f>
        <v/>
      </c>
    </row>
    <row r="131" ht="15" customHeight="1">
      <c r="A131" t="inlineStr">
        <is>
          <t>A 54357-2024</t>
        </is>
      </c>
      <c r="B131" s="1" t="n">
        <v>45617.40662037037</v>
      </c>
      <c r="C131" s="1" t="n">
        <v>45934</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45934</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20838-2024</t>
        </is>
      </c>
      <c r="B133" s="1" t="n">
        <v>45439</v>
      </c>
      <c r="C133" s="1" t="n">
        <v>45934</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21879-2025</t>
        </is>
      </c>
      <c r="B134" s="1" t="n">
        <v>45784.40533564815</v>
      </c>
      <c r="C134" s="1" t="n">
        <v>45934</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26077-2024</t>
        </is>
      </c>
      <c r="B135" s="1" t="n">
        <v>45467</v>
      </c>
      <c r="C135" s="1" t="n">
        <v>45934</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41238-2025</t>
        </is>
      </c>
      <c r="B136" s="1" t="n">
        <v>45898</v>
      </c>
      <c r="C136" s="1" t="n">
        <v>45934</v>
      </c>
      <c r="D136" t="inlineStr">
        <is>
          <t>GOTLANDS LÄN</t>
        </is>
      </c>
      <c r="E136" t="inlineStr">
        <is>
          <t>GOTLAND</t>
        </is>
      </c>
      <c r="G136" t="n">
        <v>7.1</v>
      </c>
      <c r="H136" t="n">
        <v>1</v>
      </c>
      <c r="I136" t="n">
        <v>2</v>
      </c>
      <c r="J136" t="n">
        <v>0</v>
      </c>
      <c r="K136" t="n">
        <v>0</v>
      </c>
      <c r="L136" t="n">
        <v>0</v>
      </c>
      <c r="M136" t="n">
        <v>0</v>
      </c>
      <c r="N136" t="n">
        <v>0</v>
      </c>
      <c r="O136" t="n">
        <v>0</v>
      </c>
      <c r="P136" t="n">
        <v>0</v>
      </c>
      <c r="Q136" t="n">
        <v>2</v>
      </c>
      <c r="R136" s="2" t="inlineStr">
        <is>
          <t>Granbarkgnagare
Skogsknipprot</t>
        </is>
      </c>
      <c r="S136">
        <f>HYPERLINK("https://klasma.github.io/Logging_0980/artfynd/A 41238-2025 artfynd.xlsx", "A 41238-2025")</f>
        <v/>
      </c>
      <c r="T136">
        <f>HYPERLINK("https://klasma.github.io/Logging_0980/kartor/A 41238-2025 karta.png", "A 41238-2025")</f>
        <v/>
      </c>
      <c r="V136">
        <f>HYPERLINK("https://klasma.github.io/Logging_0980/klagomål/A 41238-2025 FSC-klagomål.docx", "A 41238-2025")</f>
        <v/>
      </c>
      <c r="W136">
        <f>HYPERLINK("https://klasma.github.io/Logging_0980/klagomålsmail/A 41238-2025 FSC-klagomål mail.docx", "A 41238-2025")</f>
        <v/>
      </c>
      <c r="X136">
        <f>HYPERLINK("https://klasma.github.io/Logging_0980/tillsyn/A 41238-2025 tillsynsbegäran.docx", "A 41238-2025")</f>
        <v/>
      </c>
      <c r="Y136">
        <f>HYPERLINK("https://klasma.github.io/Logging_0980/tillsynsmail/A 41238-2025 tillsynsbegäran mail.docx", "A 41238-2025")</f>
        <v/>
      </c>
    </row>
    <row r="137" ht="15" customHeight="1">
      <c r="A137" t="inlineStr">
        <is>
          <t>A 24-2021</t>
        </is>
      </c>
      <c r="B137" s="1" t="n">
        <v>44197</v>
      </c>
      <c r="C137" s="1" t="n">
        <v>45934</v>
      </c>
      <c r="D137" t="inlineStr">
        <is>
          <t>GOTLANDS LÄN</t>
        </is>
      </c>
      <c r="E137" t="inlineStr">
        <is>
          <t>GOTLAND</t>
        </is>
      </c>
      <c r="F137" t="inlineStr">
        <is>
          <t>Kyrkan</t>
        </is>
      </c>
      <c r="G137" t="n">
        <v>1.7</v>
      </c>
      <c r="H137" t="n">
        <v>0</v>
      </c>
      <c r="I137" t="n">
        <v>1</v>
      </c>
      <c r="J137" t="n">
        <v>0</v>
      </c>
      <c r="K137" t="n">
        <v>0</v>
      </c>
      <c r="L137" t="n">
        <v>0</v>
      </c>
      <c r="M137" t="n">
        <v>0</v>
      </c>
      <c r="N137" t="n">
        <v>0</v>
      </c>
      <c r="O137" t="n">
        <v>0</v>
      </c>
      <c r="P137" t="n">
        <v>0</v>
      </c>
      <c r="Q137" t="n">
        <v>1</v>
      </c>
      <c r="R137" s="2" t="inlineStr">
        <is>
          <t>Svavelriska</t>
        </is>
      </c>
      <c r="S137">
        <f>HYPERLINK("https://klasma.github.io/Logging_0980/artfynd/A 24-2021 artfynd.xlsx", "A 24-2021")</f>
        <v/>
      </c>
      <c r="T137">
        <f>HYPERLINK("https://klasma.github.io/Logging_0980/kartor/A 24-2021 karta.png", "A 24-2021")</f>
        <v/>
      </c>
      <c r="V137">
        <f>HYPERLINK("https://klasma.github.io/Logging_0980/klagomål/A 24-2021 FSC-klagomål.docx", "A 24-2021")</f>
        <v/>
      </c>
      <c r="W137">
        <f>HYPERLINK("https://klasma.github.io/Logging_0980/klagomålsmail/A 24-2021 FSC-klagomål mail.docx", "A 24-2021")</f>
        <v/>
      </c>
      <c r="X137">
        <f>HYPERLINK("https://klasma.github.io/Logging_0980/tillsyn/A 24-2021 tillsynsbegäran.docx", "A 24-2021")</f>
        <v/>
      </c>
      <c r="Y137">
        <f>HYPERLINK("https://klasma.github.io/Logging_0980/tillsynsmail/A 24-2021 tillsynsbegäran mail.docx", "A 24-2021")</f>
        <v/>
      </c>
    </row>
    <row r="138" ht="15" customHeight="1">
      <c r="A138" t="inlineStr">
        <is>
          <t>A 46362-2021</t>
        </is>
      </c>
      <c r="B138" s="1" t="n">
        <v>44442</v>
      </c>
      <c r="C138" s="1" t="n">
        <v>45934</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35467-2021</t>
        </is>
      </c>
      <c r="B139" s="1" t="n">
        <v>44385</v>
      </c>
      <c r="C139" s="1" t="n">
        <v>45934</v>
      </c>
      <c r="D139" t="inlineStr">
        <is>
          <t>GOTLANDS LÄN</t>
        </is>
      </c>
      <c r="E139" t="inlineStr">
        <is>
          <t>GOTLAND</t>
        </is>
      </c>
      <c r="G139" t="n">
        <v>12.7</v>
      </c>
      <c r="H139" t="n">
        <v>0</v>
      </c>
      <c r="I139" t="n">
        <v>0</v>
      </c>
      <c r="J139" t="n">
        <v>1</v>
      </c>
      <c r="K139" t="n">
        <v>0</v>
      </c>
      <c r="L139" t="n">
        <v>0</v>
      </c>
      <c r="M139" t="n">
        <v>0</v>
      </c>
      <c r="N139" t="n">
        <v>0</v>
      </c>
      <c r="O139" t="n">
        <v>1</v>
      </c>
      <c r="P139" t="n">
        <v>0</v>
      </c>
      <c r="Q139" t="n">
        <v>1</v>
      </c>
      <c r="R139" s="2" t="inlineStr">
        <is>
          <t>Loppstarr</t>
        </is>
      </c>
      <c r="S139">
        <f>HYPERLINK("https://klasma.github.io/Logging_0980/artfynd/A 35467-2021 artfynd.xlsx", "A 35467-2021")</f>
        <v/>
      </c>
      <c r="T139">
        <f>HYPERLINK("https://klasma.github.io/Logging_0980/kartor/A 35467-2021 karta.png", "A 35467-2021")</f>
        <v/>
      </c>
      <c r="V139">
        <f>HYPERLINK("https://klasma.github.io/Logging_0980/klagomål/A 35467-2021 FSC-klagomål.docx", "A 35467-2021")</f>
        <v/>
      </c>
      <c r="W139">
        <f>HYPERLINK("https://klasma.github.io/Logging_0980/klagomålsmail/A 35467-2021 FSC-klagomål mail.docx", "A 35467-2021")</f>
        <v/>
      </c>
      <c r="X139">
        <f>HYPERLINK("https://klasma.github.io/Logging_0980/tillsyn/A 35467-2021 tillsynsbegäran.docx", "A 35467-2021")</f>
        <v/>
      </c>
      <c r="Y139">
        <f>HYPERLINK("https://klasma.github.io/Logging_0980/tillsynsmail/A 35467-2021 tillsynsbegäran mail.docx", "A 35467-2021")</f>
        <v/>
      </c>
    </row>
    <row r="140" ht="15" customHeight="1">
      <c r="A140" t="inlineStr">
        <is>
          <t>A 7485-2021</t>
        </is>
      </c>
      <c r="B140" s="1" t="n">
        <v>44238</v>
      </c>
      <c r="C140" s="1" t="n">
        <v>45934</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45934</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45934</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24245-2022</t>
        </is>
      </c>
      <c r="B143" s="1" t="n">
        <v>44725</v>
      </c>
      <c r="C143" s="1" t="n">
        <v>45934</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45934</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12379-2024</t>
        </is>
      </c>
      <c r="B145" s="1" t="n">
        <v>45379.28155092592</v>
      </c>
      <c r="C145" s="1" t="n">
        <v>45934</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64700-2021</t>
        </is>
      </c>
      <c r="B146" s="1" t="n">
        <v>44511</v>
      </c>
      <c r="C146" s="1" t="n">
        <v>45934</v>
      </c>
      <c r="D146" t="inlineStr">
        <is>
          <t>GOTLANDS LÄN</t>
        </is>
      </c>
      <c r="E146" t="inlineStr">
        <is>
          <t>GOTLAND</t>
        </is>
      </c>
      <c r="F146" t="inlineStr">
        <is>
          <t>Naturvårdsverket</t>
        </is>
      </c>
      <c r="G146" t="n">
        <v>2.4</v>
      </c>
      <c r="H146" t="n">
        <v>1</v>
      </c>
      <c r="I146" t="n">
        <v>0</v>
      </c>
      <c r="J146" t="n">
        <v>0</v>
      </c>
      <c r="K146" t="n">
        <v>1</v>
      </c>
      <c r="L146" t="n">
        <v>0</v>
      </c>
      <c r="M146" t="n">
        <v>0</v>
      </c>
      <c r="N146" t="n">
        <v>0</v>
      </c>
      <c r="O146" t="n">
        <v>1</v>
      </c>
      <c r="P146" t="n">
        <v>1</v>
      </c>
      <c r="Q146" t="n">
        <v>1</v>
      </c>
      <c r="R146" s="2" t="inlineStr">
        <is>
          <t>Kalkdån</t>
        </is>
      </c>
      <c r="S146">
        <f>HYPERLINK("https://klasma.github.io/Logging_0980/artfynd/A 64700-2021 artfynd.xlsx", "A 64700-2021")</f>
        <v/>
      </c>
      <c r="T146">
        <f>HYPERLINK("https://klasma.github.io/Logging_0980/kartor/A 64700-2021 karta.png", "A 64700-2021")</f>
        <v/>
      </c>
      <c r="V146">
        <f>HYPERLINK("https://klasma.github.io/Logging_0980/klagomål/A 64700-2021 FSC-klagomål.docx", "A 64700-2021")</f>
        <v/>
      </c>
      <c r="W146">
        <f>HYPERLINK("https://klasma.github.io/Logging_0980/klagomålsmail/A 64700-2021 FSC-klagomål mail.docx", "A 64700-2021")</f>
        <v/>
      </c>
      <c r="X146">
        <f>HYPERLINK("https://klasma.github.io/Logging_0980/tillsyn/A 64700-2021 tillsynsbegäran.docx", "A 64700-2021")</f>
        <v/>
      </c>
      <c r="Y146">
        <f>HYPERLINK("https://klasma.github.io/Logging_0980/tillsynsmail/A 64700-2021 tillsynsbegäran mail.docx", "A 64700-2021")</f>
        <v/>
      </c>
    </row>
    <row r="147" ht="15" customHeight="1">
      <c r="A147" t="inlineStr">
        <is>
          <t>A 65927-2021</t>
        </is>
      </c>
      <c r="B147" s="1" t="n">
        <v>44516</v>
      </c>
      <c r="C147" s="1" t="n">
        <v>45934</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35574-2024</t>
        </is>
      </c>
      <c r="B148" s="1" t="n">
        <v>45531</v>
      </c>
      <c r="C148" s="1" t="n">
        <v>45934</v>
      </c>
      <c r="D148" t="inlineStr">
        <is>
          <t>GOTLANDS LÄN</t>
        </is>
      </c>
      <c r="E148" t="inlineStr">
        <is>
          <t>GOTLAND</t>
        </is>
      </c>
      <c r="G148" t="n">
        <v>5.7</v>
      </c>
      <c r="H148" t="n">
        <v>0</v>
      </c>
      <c r="I148" t="n">
        <v>1</v>
      </c>
      <c r="J148" t="n">
        <v>0</v>
      </c>
      <c r="K148" t="n">
        <v>0</v>
      </c>
      <c r="L148" t="n">
        <v>0</v>
      </c>
      <c r="M148" t="n">
        <v>0</v>
      </c>
      <c r="N148" t="n">
        <v>0</v>
      </c>
      <c r="O148" t="n">
        <v>0</v>
      </c>
      <c r="P148" t="n">
        <v>0</v>
      </c>
      <c r="Q148" t="n">
        <v>1</v>
      </c>
      <c r="R148" s="2" t="inlineStr">
        <is>
          <t>Murgröna</t>
        </is>
      </c>
      <c r="S148">
        <f>HYPERLINK("https://klasma.github.io/Logging_0980/artfynd/A 35574-2024 artfynd.xlsx", "A 35574-2024")</f>
        <v/>
      </c>
      <c r="T148">
        <f>HYPERLINK("https://klasma.github.io/Logging_0980/kartor/A 35574-2024 karta.png", "A 35574-2024")</f>
        <v/>
      </c>
      <c r="V148">
        <f>HYPERLINK("https://klasma.github.io/Logging_0980/klagomål/A 35574-2024 FSC-klagomål.docx", "A 35574-2024")</f>
        <v/>
      </c>
      <c r="W148">
        <f>HYPERLINK("https://klasma.github.io/Logging_0980/klagomålsmail/A 35574-2024 FSC-klagomål mail.docx", "A 35574-2024")</f>
        <v/>
      </c>
      <c r="X148">
        <f>HYPERLINK("https://klasma.github.io/Logging_0980/tillsyn/A 35574-2024 tillsynsbegäran.docx", "A 35574-2024")</f>
        <v/>
      </c>
      <c r="Y148">
        <f>HYPERLINK("https://klasma.github.io/Logging_0980/tillsynsmail/A 35574-2024 tillsynsbegäran mail.docx", "A 35574-2024")</f>
        <v/>
      </c>
    </row>
    <row r="149" ht="15" customHeight="1">
      <c r="A149" t="inlineStr">
        <is>
          <t>A 947-2023</t>
        </is>
      </c>
      <c r="B149" s="1" t="n">
        <v>44934</v>
      </c>
      <c r="C149" s="1" t="n">
        <v>45934</v>
      </c>
      <c r="D149" t="inlineStr">
        <is>
          <t>GOTLANDS LÄN</t>
        </is>
      </c>
      <c r="E149" t="inlineStr">
        <is>
          <t>GOTLAND</t>
        </is>
      </c>
      <c r="G149" t="n">
        <v>0.7</v>
      </c>
      <c r="H149" t="n">
        <v>1</v>
      </c>
      <c r="I149" t="n">
        <v>0</v>
      </c>
      <c r="J149" t="n">
        <v>0</v>
      </c>
      <c r="K149" t="n">
        <v>1</v>
      </c>
      <c r="L149" t="n">
        <v>0</v>
      </c>
      <c r="M149" t="n">
        <v>0</v>
      </c>
      <c r="N149" t="n">
        <v>0</v>
      </c>
      <c r="O149" t="n">
        <v>1</v>
      </c>
      <c r="P149" t="n">
        <v>1</v>
      </c>
      <c r="Q149" t="n">
        <v>1</v>
      </c>
      <c r="R149" s="2" t="inlineStr">
        <is>
          <t>Garderönn</t>
        </is>
      </c>
      <c r="S149">
        <f>HYPERLINK("https://klasma.github.io/Logging_0980/artfynd/A 947-2023 artfynd.xlsx", "A 947-2023")</f>
        <v/>
      </c>
      <c r="T149">
        <f>HYPERLINK("https://klasma.github.io/Logging_0980/kartor/A 947-2023 karta.png", "A 947-2023")</f>
        <v/>
      </c>
      <c r="V149">
        <f>HYPERLINK("https://klasma.github.io/Logging_0980/klagomål/A 947-2023 FSC-klagomål.docx", "A 947-2023")</f>
        <v/>
      </c>
      <c r="W149">
        <f>HYPERLINK("https://klasma.github.io/Logging_0980/klagomålsmail/A 947-2023 FSC-klagomål mail.docx", "A 947-2023")</f>
        <v/>
      </c>
      <c r="X149">
        <f>HYPERLINK("https://klasma.github.io/Logging_0980/tillsyn/A 947-2023 tillsynsbegäran.docx", "A 947-2023")</f>
        <v/>
      </c>
      <c r="Y149">
        <f>HYPERLINK("https://klasma.github.io/Logging_0980/tillsynsmail/A 947-2023 tillsynsbegäran mail.docx", "A 947-2023")</f>
        <v/>
      </c>
    </row>
    <row r="150" ht="15" customHeight="1">
      <c r="A150" t="inlineStr">
        <is>
          <t>A 37591-2023</t>
        </is>
      </c>
      <c r="B150" s="1" t="n">
        <v>45159</v>
      </c>
      <c r="C150" s="1" t="n">
        <v>45934</v>
      </c>
      <c r="D150" t="inlineStr">
        <is>
          <t>GOTLANDS LÄN</t>
        </is>
      </c>
      <c r="E150" t="inlineStr">
        <is>
          <t>GOTLAND</t>
        </is>
      </c>
      <c r="G150" t="n">
        <v>8.300000000000001</v>
      </c>
      <c r="H150" t="n">
        <v>0</v>
      </c>
      <c r="I150" t="n">
        <v>0</v>
      </c>
      <c r="J150" t="n">
        <v>1</v>
      </c>
      <c r="K150" t="n">
        <v>0</v>
      </c>
      <c r="L150" t="n">
        <v>0</v>
      </c>
      <c r="M150" t="n">
        <v>0</v>
      </c>
      <c r="N150" t="n">
        <v>0</v>
      </c>
      <c r="O150" t="n">
        <v>1</v>
      </c>
      <c r="P150" t="n">
        <v>0</v>
      </c>
      <c r="Q150" t="n">
        <v>1</v>
      </c>
      <c r="R150" s="2" t="inlineStr">
        <is>
          <t>Ängsstarr</t>
        </is>
      </c>
      <c r="S150">
        <f>HYPERLINK("https://klasma.github.io/Logging_0980/artfynd/A 37591-2023 artfynd.xlsx", "A 37591-2023")</f>
        <v/>
      </c>
      <c r="T150">
        <f>HYPERLINK("https://klasma.github.io/Logging_0980/kartor/A 37591-2023 karta.png", "A 37591-2023")</f>
        <v/>
      </c>
      <c r="V150">
        <f>HYPERLINK("https://klasma.github.io/Logging_0980/klagomål/A 37591-2023 FSC-klagomål.docx", "A 37591-2023")</f>
        <v/>
      </c>
      <c r="W150">
        <f>HYPERLINK("https://klasma.github.io/Logging_0980/klagomålsmail/A 37591-2023 FSC-klagomål mail.docx", "A 37591-2023")</f>
        <v/>
      </c>
      <c r="X150">
        <f>HYPERLINK("https://klasma.github.io/Logging_0980/tillsyn/A 37591-2023 tillsynsbegäran.docx", "A 37591-2023")</f>
        <v/>
      </c>
      <c r="Y150">
        <f>HYPERLINK("https://klasma.github.io/Logging_0980/tillsynsmail/A 37591-2023 tillsynsbegäran mail.docx", "A 37591-2023")</f>
        <v/>
      </c>
    </row>
    <row r="151" ht="15" customHeight="1">
      <c r="A151" t="inlineStr">
        <is>
          <t>A 15637-2024</t>
        </is>
      </c>
      <c r="B151" s="1" t="n">
        <v>45403.6684837963</v>
      </c>
      <c r="C151" s="1" t="n">
        <v>45934</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34142-2024</t>
        </is>
      </c>
      <c r="B152" s="1" t="n">
        <v>45524.36521990741</v>
      </c>
      <c r="C152" s="1" t="n">
        <v>45934</v>
      </c>
      <c r="D152" t="inlineStr">
        <is>
          <t>GOTLANDS LÄN</t>
        </is>
      </c>
      <c r="E152" t="inlineStr">
        <is>
          <t>GOTLAND</t>
        </is>
      </c>
      <c r="G152" t="n">
        <v>6</v>
      </c>
      <c r="H152" t="n">
        <v>0</v>
      </c>
      <c r="I152" t="n">
        <v>0</v>
      </c>
      <c r="J152" t="n">
        <v>1</v>
      </c>
      <c r="K152" t="n">
        <v>0</v>
      </c>
      <c r="L152" t="n">
        <v>0</v>
      </c>
      <c r="M152" t="n">
        <v>0</v>
      </c>
      <c r="N152" t="n">
        <v>0</v>
      </c>
      <c r="O152" t="n">
        <v>1</v>
      </c>
      <c r="P152" t="n">
        <v>0</v>
      </c>
      <c r="Q152" t="n">
        <v>1</v>
      </c>
      <c r="R152" s="2" t="inlineStr">
        <is>
          <t>Igelkott</t>
        </is>
      </c>
      <c r="S152">
        <f>HYPERLINK("https://klasma.github.io/Logging_0980/artfynd/A 34142-2024 artfynd.xlsx", "A 34142-2024")</f>
        <v/>
      </c>
      <c r="T152">
        <f>HYPERLINK("https://klasma.github.io/Logging_0980/kartor/A 34142-2024 karta.png", "A 34142-2024")</f>
        <v/>
      </c>
      <c r="V152">
        <f>HYPERLINK("https://klasma.github.io/Logging_0980/klagomål/A 34142-2024 FSC-klagomål.docx", "A 34142-2024")</f>
        <v/>
      </c>
      <c r="W152">
        <f>HYPERLINK("https://klasma.github.io/Logging_0980/klagomålsmail/A 34142-2024 FSC-klagomål mail.docx", "A 34142-2024")</f>
        <v/>
      </c>
      <c r="X152">
        <f>HYPERLINK("https://klasma.github.io/Logging_0980/tillsyn/A 34142-2024 tillsynsbegäran.docx", "A 34142-2024")</f>
        <v/>
      </c>
      <c r="Y152">
        <f>HYPERLINK("https://klasma.github.io/Logging_0980/tillsynsmail/A 34142-2024 tillsynsbegäran mail.docx", "A 34142-2024")</f>
        <v/>
      </c>
    </row>
    <row r="153" ht="15" customHeight="1">
      <c r="A153" t="inlineStr">
        <is>
          <t>A 44619-2025</t>
        </is>
      </c>
      <c r="B153" s="1" t="n">
        <v>45917</v>
      </c>
      <c r="C153" s="1" t="n">
        <v>45934</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12924-2025</t>
        </is>
      </c>
      <c r="B154" s="1" t="n">
        <v>45734</v>
      </c>
      <c r="C154" s="1" t="n">
        <v>45934</v>
      </c>
      <c r="D154" t="inlineStr">
        <is>
          <t>GOTLANDS LÄN</t>
        </is>
      </c>
      <c r="E154" t="inlineStr">
        <is>
          <t>GOTLAND</t>
        </is>
      </c>
      <c r="G154" t="n">
        <v>11.7</v>
      </c>
      <c r="H154" t="n">
        <v>0</v>
      </c>
      <c r="I154" t="n">
        <v>0</v>
      </c>
      <c r="J154" t="n">
        <v>0</v>
      </c>
      <c r="K154" t="n">
        <v>1</v>
      </c>
      <c r="L154" t="n">
        <v>0</v>
      </c>
      <c r="M154" t="n">
        <v>0</v>
      </c>
      <c r="N154" t="n">
        <v>0</v>
      </c>
      <c r="O154" t="n">
        <v>1</v>
      </c>
      <c r="P154" t="n">
        <v>1</v>
      </c>
      <c r="Q154" t="n">
        <v>1</v>
      </c>
      <c r="R154" s="2" t="inlineStr">
        <is>
          <t>Gotlandsmåra</t>
        </is>
      </c>
      <c r="S154">
        <f>HYPERLINK("https://klasma.github.io/Logging_0980/artfynd/A 12924-2025 artfynd.xlsx", "A 12924-2025")</f>
        <v/>
      </c>
      <c r="T154">
        <f>HYPERLINK("https://klasma.github.io/Logging_0980/kartor/A 12924-2025 karta.png", "A 12924-2025")</f>
        <v/>
      </c>
      <c r="V154">
        <f>HYPERLINK("https://klasma.github.io/Logging_0980/klagomål/A 12924-2025 FSC-klagomål.docx", "A 12924-2025")</f>
        <v/>
      </c>
      <c r="W154">
        <f>HYPERLINK("https://klasma.github.io/Logging_0980/klagomålsmail/A 12924-2025 FSC-klagomål mail.docx", "A 12924-2025")</f>
        <v/>
      </c>
      <c r="X154">
        <f>HYPERLINK("https://klasma.github.io/Logging_0980/tillsyn/A 12924-2025 tillsynsbegäran.docx", "A 12924-2025")</f>
        <v/>
      </c>
      <c r="Y154">
        <f>HYPERLINK("https://klasma.github.io/Logging_0980/tillsynsmail/A 12924-2025 tillsynsbegäran mail.docx", "A 12924-2025")</f>
        <v/>
      </c>
    </row>
    <row r="155" ht="15" customHeight="1">
      <c r="A155" t="inlineStr">
        <is>
          <t>A 61561-2023</t>
        </is>
      </c>
      <c r="B155" s="1" t="n">
        <v>45265</v>
      </c>
      <c r="C155" s="1" t="n">
        <v>45934</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63299-2020</t>
        </is>
      </c>
      <c r="B156" s="1" t="n">
        <v>44165</v>
      </c>
      <c r="C156" s="1" t="n">
        <v>45934</v>
      </c>
      <c r="D156" t="inlineStr">
        <is>
          <t>GOTLANDS LÄN</t>
        </is>
      </c>
      <c r="E156" t="inlineStr">
        <is>
          <t>GOTLAND</t>
        </is>
      </c>
      <c r="G156" t="n">
        <v>12.9</v>
      </c>
      <c r="H156" t="n">
        <v>1</v>
      </c>
      <c r="I156" t="n">
        <v>0</v>
      </c>
      <c r="J156" t="n">
        <v>1</v>
      </c>
      <c r="K156" t="n">
        <v>0</v>
      </c>
      <c r="L156" t="n">
        <v>0</v>
      </c>
      <c r="M156" t="n">
        <v>0</v>
      </c>
      <c r="N156" t="n">
        <v>0</v>
      </c>
      <c r="O156" t="n">
        <v>1</v>
      </c>
      <c r="P156" t="n">
        <v>0</v>
      </c>
      <c r="Q156" t="n">
        <v>1</v>
      </c>
      <c r="R156" s="2" t="inlineStr">
        <is>
          <t>Svartfläckig blåvinge</t>
        </is>
      </c>
      <c r="S156">
        <f>HYPERLINK("https://klasma.github.io/Logging_0980/artfynd/A 63299-2020 artfynd.xlsx", "A 63299-2020")</f>
        <v/>
      </c>
      <c r="T156">
        <f>HYPERLINK("https://klasma.github.io/Logging_0980/kartor/A 63299-2020 karta.png", "A 63299-2020")</f>
        <v/>
      </c>
      <c r="V156">
        <f>HYPERLINK("https://klasma.github.io/Logging_0980/klagomål/A 63299-2020 FSC-klagomål.docx", "A 63299-2020")</f>
        <v/>
      </c>
      <c r="W156">
        <f>HYPERLINK("https://klasma.github.io/Logging_0980/klagomålsmail/A 63299-2020 FSC-klagomål mail.docx", "A 63299-2020")</f>
        <v/>
      </c>
      <c r="X156">
        <f>HYPERLINK("https://klasma.github.io/Logging_0980/tillsyn/A 63299-2020 tillsynsbegäran.docx", "A 63299-2020")</f>
        <v/>
      </c>
      <c r="Y156">
        <f>HYPERLINK("https://klasma.github.io/Logging_0980/tillsynsmail/A 63299-2020 tillsynsbegäran mail.docx", "A 63299-2020")</f>
        <v/>
      </c>
    </row>
    <row r="157" ht="15" customHeight="1">
      <c r="A157" t="inlineStr">
        <is>
          <t>A 44308-2021</t>
        </is>
      </c>
      <c r="B157" s="1" t="n">
        <v>44434</v>
      </c>
      <c r="C157" s="1" t="n">
        <v>45934</v>
      </c>
      <c r="D157" t="inlineStr">
        <is>
          <t>GOTLANDS LÄN</t>
        </is>
      </c>
      <c r="E157" t="inlineStr">
        <is>
          <t>GOTLAND</t>
        </is>
      </c>
      <c r="G157" t="n">
        <v>5.9</v>
      </c>
      <c r="H157" t="n">
        <v>0</v>
      </c>
      <c r="I157" t="n">
        <v>1</v>
      </c>
      <c r="J157" t="n">
        <v>0</v>
      </c>
      <c r="K157" t="n">
        <v>0</v>
      </c>
      <c r="L157" t="n">
        <v>0</v>
      </c>
      <c r="M157" t="n">
        <v>0</v>
      </c>
      <c r="N157" t="n">
        <v>0</v>
      </c>
      <c r="O157" t="n">
        <v>0</v>
      </c>
      <c r="P157" t="n">
        <v>0</v>
      </c>
      <c r="Q157" t="n">
        <v>1</v>
      </c>
      <c r="R157" s="2" t="inlineStr">
        <is>
          <t>Svavelriska</t>
        </is>
      </c>
      <c r="S157">
        <f>HYPERLINK("https://klasma.github.io/Logging_0980/artfynd/A 44308-2021 artfynd.xlsx", "A 44308-2021")</f>
        <v/>
      </c>
      <c r="T157">
        <f>HYPERLINK("https://klasma.github.io/Logging_0980/kartor/A 44308-2021 karta.png", "A 44308-2021")</f>
        <v/>
      </c>
      <c r="V157">
        <f>HYPERLINK("https://klasma.github.io/Logging_0980/klagomål/A 44308-2021 FSC-klagomål.docx", "A 44308-2021")</f>
        <v/>
      </c>
      <c r="W157">
        <f>HYPERLINK("https://klasma.github.io/Logging_0980/klagomålsmail/A 44308-2021 FSC-klagomål mail.docx", "A 44308-2021")</f>
        <v/>
      </c>
      <c r="X157">
        <f>HYPERLINK("https://klasma.github.io/Logging_0980/tillsyn/A 44308-2021 tillsynsbegäran.docx", "A 44308-2021")</f>
        <v/>
      </c>
      <c r="Y157">
        <f>HYPERLINK("https://klasma.github.io/Logging_0980/tillsynsmail/A 44308-2021 tillsynsbegäran mail.docx", "A 44308-2021")</f>
        <v/>
      </c>
    </row>
    <row r="158" ht="15" customHeight="1">
      <c r="A158" t="inlineStr">
        <is>
          <t>A 49847-2023</t>
        </is>
      </c>
      <c r="B158" s="1" t="n">
        <v>45212</v>
      </c>
      <c r="C158" s="1" t="n">
        <v>45934</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13939-2021</t>
        </is>
      </c>
      <c r="B159" s="1" t="n">
        <v>44277</v>
      </c>
      <c r="C159" s="1" t="n">
        <v>45934</v>
      </c>
      <c r="D159" t="inlineStr">
        <is>
          <t>GOTLANDS LÄN</t>
        </is>
      </c>
      <c r="E159" t="inlineStr">
        <is>
          <t>GOTLAND</t>
        </is>
      </c>
      <c r="G159" t="n">
        <v>1</v>
      </c>
      <c r="H159" t="n">
        <v>0</v>
      </c>
      <c r="I159" t="n">
        <v>0</v>
      </c>
      <c r="J159" t="n">
        <v>1</v>
      </c>
      <c r="K159" t="n">
        <v>0</v>
      </c>
      <c r="L159" t="n">
        <v>0</v>
      </c>
      <c r="M159" t="n">
        <v>0</v>
      </c>
      <c r="N159" t="n">
        <v>0</v>
      </c>
      <c r="O159" t="n">
        <v>1</v>
      </c>
      <c r="P159" t="n">
        <v>0</v>
      </c>
      <c r="Q159" t="n">
        <v>1</v>
      </c>
      <c r="R159" s="2" t="inlineStr">
        <is>
          <t>Axveronika</t>
        </is>
      </c>
      <c r="S159">
        <f>HYPERLINK("https://klasma.github.io/Logging_0980/artfynd/A 13939-2021 artfynd.xlsx", "A 13939-2021")</f>
        <v/>
      </c>
      <c r="T159">
        <f>HYPERLINK("https://klasma.github.io/Logging_0980/kartor/A 13939-2021 karta.png", "A 13939-2021")</f>
        <v/>
      </c>
      <c r="V159">
        <f>HYPERLINK("https://klasma.github.io/Logging_0980/klagomål/A 13939-2021 FSC-klagomål.docx", "A 13939-2021")</f>
        <v/>
      </c>
      <c r="W159">
        <f>HYPERLINK("https://klasma.github.io/Logging_0980/klagomålsmail/A 13939-2021 FSC-klagomål mail.docx", "A 13939-2021")</f>
        <v/>
      </c>
      <c r="X159">
        <f>HYPERLINK("https://klasma.github.io/Logging_0980/tillsyn/A 13939-2021 tillsynsbegäran.docx", "A 13939-2021")</f>
        <v/>
      </c>
      <c r="Y159">
        <f>HYPERLINK("https://klasma.github.io/Logging_0980/tillsynsmail/A 13939-2021 tillsynsbegäran mail.docx", "A 13939-2021")</f>
        <v/>
      </c>
    </row>
    <row r="160" ht="15" customHeight="1">
      <c r="A160" t="inlineStr">
        <is>
          <t>A 46527-2023</t>
        </is>
      </c>
      <c r="B160" s="1" t="n">
        <v>45197</v>
      </c>
      <c r="C160" s="1" t="n">
        <v>45934</v>
      </c>
      <c r="D160" t="inlineStr">
        <is>
          <t>GOTLANDS LÄN</t>
        </is>
      </c>
      <c r="E160" t="inlineStr">
        <is>
          <t>GOTLAND</t>
        </is>
      </c>
      <c r="G160" t="n">
        <v>0.9</v>
      </c>
      <c r="H160" t="n">
        <v>0</v>
      </c>
      <c r="I160" t="n">
        <v>0</v>
      </c>
      <c r="J160" t="n">
        <v>1</v>
      </c>
      <c r="K160" t="n">
        <v>0</v>
      </c>
      <c r="L160" t="n">
        <v>0</v>
      </c>
      <c r="M160" t="n">
        <v>0</v>
      </c>
      <c r="N160" t="n">
        <v>0</v>
      </c>
      <c r="O160" t="n">
        <v>1</v>
      </c>
      <c r="P160" t="n">
        <v>0</v>
      </c>
      <c r="Q160" t="n">
        <v>1</v>
      </c>
      <c r="R160" s="2" t="inlineStr">
        <is>
          <t>Guldgräshoppa</t>
        </is>
      </c>
      <c r="S160">
        <f>HYPERLINK("https://klasma.github.io/Logging_0980/artfynd/A 46527-2023 artfynd.xlsx", "A 46527-2023")</f>
        <v/>
      </c>
      <c r="T160">
        <f>HYPERLINK("https://klasma.github.io/Logging_0980/kartor/A 46527-2023 karta.png", "A 46527-2023")</f>
        <v/>
      </c>
      <c r="V160">
        <f>HYPERLINK("https://klasma.github.io/Logging_0980/klagomål/A 46527-2023 FSC-klagomål.docx", "A 46527-2023")</f>
        <v/>
      </c>
      <c r="W160">
        <f>HYPERLINK("https://klasma.github.io/Logging_0980/klagomålsmail/A 46527-2023 FSC-klagomål mail.docx", "A 46527-2023")</f>
        <v/>
      </c>
      <c r="X160">
        <f>HYPERLINK("https://klasma.github.io/Logging_0980/tillsyn/A 46527-2023 tillsynsbegäran.docx", "A 46527-2023")</f>
        <v/>
      </c>
      <c r="Y160">
        <f>HYPERLINK("https://klasma.github.io/Logging_0980/tillsynsmail/A 46527-2023 tillsynsbegäran mail.docx", "A 46527-2023")</f>
        <v/>
      </c>
    </row>
    <row r="161" ht="15" customHeight="1">
      <c r="A161" t="inlineStr">
        <is>
          <t>A 12324-2025</t>
        </is>
      </c>
      <c r="B161" s="1" t="n">
        <v>45730</v>
      </c>
      <c r="C161" s="1" t="n">
        <v>45934</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17723-2021</t>
        </is>
      </c>
      <c r="B162" s="1" t="n">
        <v>44300</v>
      </c>
      <c r="C162" s="1" t="n">
        <v>45934</v>
      </c>
      <c r="D162" t="inlineStr">
        <is>
          <t>GOTLANDS LÄN</t>
        </is>
      </c>
      <c r="E162" t="inlineStr">
        <is>
          <t>GOTLAND</t>
        </is>
      </c>
      <c r="G162" t="n">
        <v>1.5</v>
      </c>
      <c r="H162" t="n">
        <v>1</v>
      </c>
      <c r="I162" t="n">
        <v>1</v>
      </c>
      <c r="J162" t="n">
        <v>0</v>
      </c>
      <c r="K162" t="n">
        <v>0</v>
      </c>
      <c r="L162" t="n">
        <v>0</v>
      </c>
      <c r="M162" t="n">
        <v>0</v>
      </c>
      <c r="N162" t="n">
        <v>0</v>
      </c>
      <c r="O162" t="n">
        <v>0</v>
      </c>
      <c r="P162" t="n">
        <v>0</v>
      </c>
      <c r="Q162" t="n">
        <v>1</v>
      </c>
      <c r="R162" s="2" t="inlineStr">
        <is>
          <t>Vit skogslilja</t>
        </is>
      </c>
      <c r="S162">
        <f>HYPERLINK("https://klasma.github.io/Logging_0980/artfynd/A 17723-2021 artfynd.xlsx", "A 17723-2021")</f>
        <v/>
      </c>
      <c r="T162">
        <f>HYPERLINK("https://klasma.github.io/Logging_0980/kartor/A 17723-2021 karta.png", "A 17723-2021")</f>
        <v/>
      </c>
      <c r="V162">
        <f>HYPERLINK("https://klasma.github.io/Logging_0980/klagomål/A 17723-2021 FSC-klagomål.docx", "A 17723-2021")</f>
        <v/>
      </c>
      <c r="W162">
        <f>HYPERLINK("https://klasma.github.io/Logging_0980/klagomålsmail/A 17723-2021 FSC-klagomål mail.docx", "A 17723-2021")</f>
        <v/>
      </c>
      <c r="X162">
        <f>HYPERLINK("https://klasma.github.io/Logging_0980/tillsyn/A 17723-2021 tillsynsbegäran.docx", "A 17723-2021")</f>
        <v/>
      </c>
      <c r="Y162">
        <f>HYPERLINK("https://klasma.github.io/Logging_0980/tillsynsmail/A 17723-2021 tillsynsbegäran mail.docx", "A 17723-2021")</f>
        <v/>
      </c>
    </row>
    <row r="163" ht="15" customHeight="1">
      <c r="A163" t="inlineStr">
        <is>
          <t>A 20429-2025</t>
        </is>
      </c>
      <c r="B163" s="1" t="n">
        <v>45775.47728009259</v>
      </c>
      <c r="C163" s="1" t="n">
        <v>45934</v>
      </c>
      <c r="D163" t="inlineStr">
        <is>
          <t>GOTLANDS LÄN</t>
        </is>
      </c>
      <c r="E163" t="inlineStr">
        <is>
          <t>GOTLAND</t>
        </is>
      </c>
      <c r="G163" t="n">
        <v>1.4</v>
      </c>
      <c r="H163" t="n">
        <v>1</v>
      </c>
      <c r="I163" t="n">
        <v>0</v>
      </c>
      <c r="J163" t="n">
        <v>0</v>
      </c>
      <c r="K163" t="n">
        <v>0</v>
      </c>
      <c r="L163" t="n">
        <v>0</v>
      </c>
      <c r="M163" t="n">
        <v>0</v>
      </c>
      <c r="N163" t="n">
        <v>0</v>
      </c>
      <c r="O163" t="n">
        <v>0</v>
      </c>
      <c r="P163" t="n">
        <v>0</v>
      </c>
      <c r="Q163" t="n">
        <v>1</v>
      </c>
      <c r="R163" s="2" t="inlineStr">
        <is>
          <t>Äkta lopplummer</t>
        </is>
      </c>
      <c r="S163">
        <f>HYPERLINK("https://klasma.github.io/Logging_0980/artfynd/A 20429-2025 artfynd.xlsx", "A 20429-2025")</f>
        <v/>
      </c>
      <c r="T163">
        <f>HYPERLINK("https://klasma.github.io/Logging_0980/kartor/A 20429-2025 karta.png", "A 20429-2025")</f>
        <v/>
      </c>
      <c r="V163">
        <f>HYPERLINK("https://klasma.github.io/Logging_0980/klagomål/A 20429-2025 FSC-klagomål.docx", "A 20429-2025")</f>
        <v/>
      </c>
      <c r="W163">
        <f>HYPERLINK("https://klasma.github.io/Logging_0980/klagomålsmail/A 20429-2025 FSC-klagomål mail.docx", "A 20429-2025")</f>
        <v/>
      </c>
      <c r="X163">
        <f>HYPERLINK("https://klasma.github.io/Logging_0980/tillsyn/A 20429-2025 tillsynsbegäran.docx", "A 20429-2025")</f>
        <v/>
      </c>
      <c r="Y163">
        <f>HYPERLINK("https://klasma.github.io/Logging_0980/tillsynsmail/A 20429-2025 tillsynsbegäran mail.docx", "A 20429-2025")</f>
        <v/>
      </c>
    </row>
    <row r="164" ht="15" customHeight="1">
      <c r="A164" t="inlineStr">
        <is>
          <t>A 2476-2025</t>
        </is>
      </c>
      <c r="B164" s="1" t="n">
        <v>45673</v>
      </c>
      <c r="C164" s="1" t="n">
        <v>45934</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6303-2024</t>
        </is>
      </c>
      <c r="B165" s="1" t="n">
        <v>45338.35376157407</v>
      </c>
      <c r="C165" s="1" t="n">
        <v>45934</v>
      </c>
      <c r="D165" t="inlineStr">
        <is>
          <t>GOTLANDS LÄN</t>
        </is>
      </c>
      <c r="E165" t="inlineStr">
        <is>
          <t>GOTLAND</t>
        </is>
      </c>
      <c r="G165" t="n">
        <v>0.6</v>
      </c>
      <c r="H165" t="n">
        <v>0</v>
      </c>
      <c r="I165" t="n">
        <v>1</v>
      </c>
      <c r="J165" t="n">
        <v>0</v>
      </c>
      <c r="K165" t="n">
        <v>0</v>
      </c>
      <c r="L165" t="n">
        <v>0</v>
      </c>
      <c r="M165" t="n">
        <v>0</v>
      </c>
      <c r="N165" t="n">
        <v>0</v>
      </c>
      <c r="O165" t="n">
        <v>0</v>
      </c>
      <c r="P165" t="n">
        <v>0</v>
      </c>
      <c r="Q165" t="n">
        <v>1</v>
      </c>
      <c r="R165" s="2" t="inlineStr">
        <is>
          <t>Strävlosta</t>
        </is>
      </c>
      <c r="S165">
        <f>HYPERLINK("https://klasma.github.io/Logging_0980/artfynd/A 6303-2024 artfynd.xlsx", "A 6303-2024")</f>
        <v/>
      </c>
      <c r="T165">
        <f>HYPERLINK("https://klasma.github.io/Logging_0980/kartor/A 6303-2024 karta.png", "A 6303-2024")</f>
        <v/>
      </c>
      <c r="V165">
        <f>HYPERLINK("https://klasma.github.io/Logging_0980/klagomål/A 6303-2024 FSC-klagomål.docx", "A 6303-2024")</f>
        <v/>
      </c>
      <c r="W165">
        <f>HYPERLINK("https://klasma.github.io/Logging_0980/klagomålsmail/A 6303-2024 FSC-klagomål mail.docx", "A 6303-2024")</f>
        <v/>
      </c>
      <c r="X165">
        <f>HYPERLINK("https://klasma.github.io/Logging_0980/tillsyn/A 6303-2024 tillsynsbegäran.docx", "A 6303-2024")</f>
        <v/>
      </c>
      <c r="Y165">
        <f>HYPERLINK("https://klasma.github.io/Logging_0980/tillsynsmail/A 6303-2024 tillsynsbegäran mail.docx", "A 6303-2024")</f>
        <v/>
      </c>
    </row>
    <row r="166" ht="15" customHeight="1">
      <c r="A166" t="inlineStr">
        <is>
          <t>A 62552-2022</t>
        </is>
      </c>
      <c r="B166" s="1" t="n">
        <v>44924</v>
      </c>
      <c r="C166" s="1" t="n">
        <v>45934</v>
      </c>
      <c r="D166" t="inlineStr">
        <is>
          <t>GOTLANDS LÄN</t>
        </is>
      </c>
      <c r="E166" t="inlineStr">
        <is>
          <t>GOTLAND</t>
        </is>
      </c>
      <c r="G166" t="n">
        <v>1.6</v>
      </c>
      <c r="H166" t="n">
        <v>0</v>
      </c>
      <c r="I166" t="n">
        <v>0</v>
      </c>
      <c r="J166" t="n">
        <v>1</v>
      </c>
      <c r="K166" t="n">
        <v>0</v>
      </c>
      <c r="L166" t="n">
        <v>0</v>
      </c>
      <c r="M166" t="n">
        <v>0</v>
      </c>
      <c r="N166" t="n">
        <v>0</v>
      </c>
      <c r="O166" t="n">
        <v>1</v>
      </c>
      <c r="P166" t="n">
        <v>0</v>
      </c>
      <c r="Q166" t="n">
        <v>1</v>
      </c>
      <c r="R166" s="2" t="inlineStr">
        <is>
          <t>Äggspindling</t>
        </is>
      </c>
      <c r="S166">
        <f>HYPERLINK("https://klasma.github.io/Logging_0980/artfynd/A 62552-2022 artfynd.xlsx", "A 62552-2022")</f>
        <v/>
      </c>
      <c r="T166">
        <f>HYPERLINK("https://klasma.github.io/Logging_0980/kartor/A 62552-2022 karta.png", "A 62552-2022")</f>
        <v/>
      </c>
      <c r="V166">
        <f>HYPERLINK("https://klasma.github.io/Logging_0980/klagomål/A 62552-2022 FSC-klagomål.docx", "A 62552-2022")</f>
        <v/>
      </c>
      <c r="W166">
        <f>HYPERLINK("https://klasma.github.io/Logging_0980/klagomålsmail/A 62552-2022 FSC-klagomål mail.docx", "A 62552-2022")</f>
        <v/>
      </c>
      <c r="X166">
        <f>HYPERLINK("https://klasma.github.io/Logging_0980/tillsyn/A 62552-2022 tillsynsbegäran.docx", "A 62552-2022")</f>
        <v/>
      </c>
      <c r="Y166">
        <f>HYPERLINK("https://klasma.github.io/Logging_0980/tillsynsmail/A 62552-2022 tillsynsbegäran mail.docx", "A 62552-2022")</f>
        <v/>
      </c>
    </row>
    <row r="167" ht="15" customHeight="1">
      <c r="A167" t="inlineStr">
        <is>
          <t>A 27168-2022</t>
        </is>
      </c>
      <c r="B167" s="1" t="n">
        <v>44741</v>
      </c>
      <c r="C167" s="1" t="n">
        <v>45934</v>
      </c>
      <c r="D167" t="inlineStr">
        <is>
          <t>GOTLANDS LÄN</t>
        </is>
      </c>
      <c r="E167" t="inlineStr">
        <is>
          <t>GOTLAND</t>
        </is>
      </c>
      <c r="G167" t="n">
        <v>2.2</v>
      </c>
      <c r="H167" t="n">
        <v>1</v>
      </c>
      <c r="I167" t="n">
        <v>1</v>
      </c>
      <c r="J167" t="n">
        <v>0</v>
      </c>
      <c r="K167" t="n">
        <v>0</v>
      </c>
      <c r="L167" t="n">
        <v>0</v>
      </c>
      <c r="M167" t="n">
        <v>0</v>
      </c>
      <c r="N167" t="n">
        <v>0</v>
      </c>
      <c r="O167" t="n">
        <v>0</v>
      </c>
      <c r="P167" t="n">
        <v>0</v>
      </c>
      <c r="Q167" t="n">
        <v>1</v>
      </c>
      <c r="R167" s="2" t="inlineStr">
        <is>
          <t>Purpurknipprot</t>
        </is>
      </c>
      <c r="S167">
        <f>HYPERLINK("https://klasma.github.io/Logging_0980/artfynd/A 27168-2022 artfynd.xlsx", "A 27168-2022")</f>
        <v/>
      </c>
      <c r="T167">
        <f>HYPERLINK("https://klasma.github.io/Logging_0980/kartor/A 27168-2022 karta.png", "A 27168-2022")</f>
        <v/>
      </c>
      <c r="V167">
        <f>HYPERLINK("https://klasma.github.io/Logging_0980/klagomål/A 27168-2022 FSC-klagomål.docx", "A 27168-2022")</f>
        <v/>
      </c>
      <c r="W167">
        <f>HYPERLINK("https://klasma.github.io/Logging_0980/klagomålsmail/A 27168-2022 FSC-klagomål mail.docx", "A 27168-2022")</f>
        <v/>
      </c>
      <c r="X167">
        <f>HYPERLINK("https://klasma.github.io/Logging_0980/tillsyn/A 27168-2022 tillsynsbegäran.docx", "A 27168-2022")</f>
        <v/>
      </c>
      <c r="Y167">
        <f>HYPERLINK("https://klasma.github.io/Logging_0980/tillsynsmail/A 27168-2022 tillsynsbegäran mail.docx", "A 27168-2022")</f>
        <v/>
      </c>
    </row>
    <row r="168" ht="15" customHeight="1">
      <c r="A168" t="inlineStr">
        <is>
          <t>A 10995-2023</t>
        </is>
      </c>
      <c r="B168" s="1" t="n">
        <v>44986</v>
      </c>
      <c r="C168" s="1" t="n">
        <v>45934</v>
      </c>
      <c r="D168" t="inlineStr">
        <is>
          <t>GOTLANDS LÄN</t>
        </is>
      </c>
      <c r="E168" t="inlineStr">
        <is>
          <t>GOTLAND</t>
        </is>
      </c>
      <c r="G168" t="n">
        <v>2.8</v>
      </c>
      <c r="H168" t="n">
        <v>0</v>
      </c>
      <c r="I168" t="n">
        <v>0</v>
      </c>
      <c r="J168" t="n">
        <v>0</v>
      </c>
      <c r="K168" t="n">
        <v>1</v>
      </c>
      <c r="L168" t="n">
        <v>0</v>
      </c>
      <c r="M168" t="n">
        <v>0</v>
      </c>
      <c r="N168" t="n">
        <v>0</v>
      </c>
      <c r="O168" t="n">
        <v>1</v>
      </c>
      <c r="P168" t="n">
        <v>1</v>
      </c>
      <c r="Q168" t="n">
        <v>1</v>
      </c>
      <c r="R168" s="2" t="inlineStr">
        <is>
          <t>Violettfläckig spindling</t>
        </is>
      </c>
      <c r="S168">
        <f>HYPERLINK("https://klasma.github.io/Logging_0980/artfynd/A 10995-2023 artfynd.xlsx", "A 10995-2023")</f>
        <v/>
      </c>
      <c r="T168">
        <f>HYPERLINK("https://klasma.github.io/Logging_0980/kartor/A 10995-2023 karta.png", "A 10995-2023")</f>
        <v/>
      </c>
      <c r="V168">
        <f>HYPERLINK("https://klasma.github.io/Logging_0980/klagomål/A 10995-2023 FSC-klagomål.docx", "A 10995-2023")</f>
        <v/>
      </c>
      <c r="W168">
        <f>HYPERLINK("https://klasma.github.io/Logging_0980/klagomålsmail/A 10995-2023 FSC-klagomål mail.docx", "A 10995-2023")</f>
        <v/>
      </c>
      <c r="X168">
        <f>HYPERLINK("https://klasma.github.io/Logging_0980/tillsyn/A 10995-2023 tillsynsbegäran.docx", "A 10995-2023")</f>
        <v/>
      </c>
      <c r="Y168">
        <f>HYPERLINK("https://klasma.github.io/Logging_0980/tillsynsmail/A 10995-2023 tillsynsbegäran mail.docx", "A 10995-2023")</f>
        <v/>
      </c>
    </row>
    <row r="169" ht="15" customHeight="1">
      <c r="A169" t="inlineStr">
        <is>
          <t>A 25977-2024</t>
        </is>
      </c>
      <c r="B169" s="1" t="n">
        <v>45467.69356481481</v>
      </c>
      <c r="C169" s="1" t="n">
        <v>45934</v>
      </c>
      <c r="D169" t="inlineStr">
        <is>
          <t>GOTLANDS LÄN</t>
        </is>
      </c>
      <c r="E169" t="inlineStr">
        <is>
          <t>GOTLAND</t>
        </is>
      </c>
      <c r="G169" t="n">
        <v>3</v>
      </c>
      <c r="H169" t="n">
        <v>1</v>
      </c>
      <c r="I169" t="n">
        <v>0</v>
      </c>
      <c r="J169" t="n">
        <v>0</v>
      </c>
      <c r="K169" t="n">
        <v>0</v>
      </c>
      <c r="L169" t="n">
        <v>0</v>
      </c>
      <c r="M169" t="n">
        <v>0</v>
      </c>
      <c r="N169" t="n">
        <v>0</v>
      </c>
      <c r="O169" t="n">
        <v>0</v>
      </c>
      <c r="P169" t="n">
        <v>0</v>
      </c>
      <c r="Q169" t="n">
        <v>1</v>
      </c>
      <c r="R169" s="2" t="inlineStr">
        <is>
          <t>Nattviol</t>
        </is>
      </c>
      <c r="S169">
        <f>HYPERLINK("https://klasma.github.io/Logging_0980/artfynd/A 25977-2024 artfynd.xlsx", "A 25977-2024")</f>
        <v/>
      </c>
      <c r="T169">
        <f>HYPERLINK("https://klasma.github.io/Logging_0980/kartor/A 25977-2024 karta.png", "A 25977-2024")</f>
        <v/>
      </c>
      <c r="V169">
        <f>HYPERLINK("https://klasma.github.io/Logging_0980/klagomål/A 25977-2024 FSC-klagomål.docx", "A 25977-2024")</f>
        <v/>
      </c>
      <c r="W169">
        <f>HYPERLINK("https://klasma.github.io/Logging_0980/klagomålsmail/A 25977-2024 FSC-klagomål mail.docx", "A 25977-2024")</f>
        <v/>
      </c>
      <c r="X169">
        <f>HYPERLINK("https://klasma.github.io/Logging_0980/tillsyn/A 25977-2024 tillsynsbegäran.docx", "A 25977-2024")</f>
        <v/>
      </c>
      <c r="Y169">
        <f>HYPERLINK("https://klasma.github.io/Logging_0980/tillsynsmail/A 25977-2024 tillsynsbegäran mail.docx", "A 25977-2024")</f>
        <v/>
      </c>
    </row>
    <row r="170" ht="15" customHeight="1">
      <c r="A170" t="inlineStr">
        <is>
          <t>A 63576-2021</t>
        </is>
      </c>
      <c r="B170" s="1" t="n">
        <v>44508</v>
      </c>
      <c r="C170" s="1" t="n">
        <v>45934</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27589-2023</t>
        </is>
      </c>
      <c r="B171" s="1" t="n">
        <v>45097</v>
      </c>
      <c r="C171" s="1" t="n">
        <v>45934</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21466-2025</t>
        </is>
      </c>
      <c r="B172" s="1" t="n">
        <v>45782</v>
      </c>
      <c r="C172" s="1" t="n">
        <v>45934</v>
      </c>
      <c r="D172" t="inlineStr">
        <is>
          <t>GOTLANDS LÄN</t>
        </is>
      </c>
      <c r="E172" t="inlineStr">
        <is>
          <t>GOTLAND</t>
        </is>
      </c>
      <c r="F172" t="inlineStr">
        <is>
          <t>Övriga statliga verk och myndigheter</t>
        </is>
      </c>
      <c r="G172" t="n">
        <v>1.7</v>
      </c>
      <c r="H172" t="n">
        <v>1</v>
      </c>
      <c r="I172" t="n">
        <v>0</v>
      </c>
      <c r="J172" t="n">
        <v>0</v>
      </c>
      <c r="K172" t="n">
        <v>0</v>
      </c>
      <c r="L172" t="n">
        <v>0</v>
      </c>
      <c r="M172" t="n">
        <v>0</v>
      </c>
      <c r="N172" t="n">
        <v>0</v>
      </c>
      <c r="O172" t="n">
        <v>0</v>
      </c>
      <c r="P172" t="n">
        <v>0</v>
      </c>
      <c r="Q172" t="n">
        <v>1</v>
      </c>
      <c r="R172" s="2" t="inlineStr">
        <is>
          <t>Blåsippa</t>
        </is>
      </c>
      <c r="S172">
        <f>HYPERLINK("https://klasma.github.io/Logging_0980/artfynd/A 21466-2025 artfynd.xlsx", "A 21466-2025")</f>
        <v/>
      </c>
      <c r="T172">
        <f>HYPERLINK("https://klasma.github.io/Logging_0980/kartor/A 21466-2025 karta.png", "A 21466-2025")</f>
        <v/>
      </c>
      <c r="V172">
        <f>HYPERLINK("https://klasma.github.io/Logging_0980/klagomål/A 21466-2025 FSC-klagomål.docx", "A 21466-2025")</f>
        <v/>
      </c>
      <c r="W172">
        <f>HYPERLINK("https://klasma.github.io/Logging_0980/klagomålsmail/A 21466-2025 FSC-klagomål mail.docx", "A 21466-2025")</f>
        <v/>
      </c>
      <c r="X172">
        <f>HYPERLINK("https://klasma.github.io/Logging_0980/tillsyn/A 21466-2025 tillsynsbegäran.docx", "A 21466-2025")</f>
        <v/>
      </c>
      <c r="Y172">
        <f>HYPERLINK("https://klasma.github.io/Logging_0980/tillsynsmail/A 21466-2025 tillsynsbegäran mail.docx", "A 21466-2025")</f>
        <v/>
      </c>
    </row>
    <row r="173" ht="15" customHeight="1">
      <c r="A173" t="inlineStr">
        <is>
          <t>A 447-2023</t>
        </is>
      </c>
      <c r="B173" s="1" t="n">
        <v>44929</v>
      </c>
      <c r="C173" s="1" t="n">
        <v>45934</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39812-2025</t>
        </is>
      </c>
      <c r="B174" s="1" t="n">
        <v>45891</v>
      </c>
      <c r="C174" s="1" t="n">
        <v>45934</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10440-2024</t>
        </is>
      </c>
      <c r="B175" s="1" t="n">
        <v>45366.32818287037</v>
      </c>
      <c r="C175" s="1" t="n">
        <v>45934</v>
      </c>
      <c r="D175" t="inlineStr">
        <is>
          <t>GOTLANDS LÄN</t>
        </is>
      </c>
      <c r="E175" t="inlineStr">
        <is>
          <t>GOTLAND</t>
        </is>
      </c>
      <c r="G175" t="n">
        <v>2.5</v>
      </c>
      <c r="H175" t="n">
        <v>1</v>
      </c>
      <c r="I175" t="n">
        <v>0</v>
      </c>
      <c r="J175" t="n">
        <v>1</v>
      </c>
      <c r="K175" t="n">
        <v>0</v>
      </c>
      <c r="L175" t="n">
        <v>0</v>
      </c>
      <c r="M175" t="n">
        <v>0</v>
      </c>
      <c r="N175" t="n">
        <v>0</v>
      </c>
      <c r="O175" t="n">
        <v>1</v>
      </c>
      <c r="P175" t="n">
        <v>0</v>
      </c>
      <c r="Q175" t="n">
        <v>1</v>
      </c>
      <c r="R175" s="2" t="inlineStr">
        <is>
          <t>Mindre hackspett</t>
        </is>
      </c>
      <c r="S175">
        <f>HYPERLINK("https://klasma.github.io/Logging_0980/artfynd/A 10440-2024 artfynd.xlsx", "A 10440-2024")</f>
        <v/>
      </c>
      <c r="T175">
        <f>HYPERLINK("https://klasma.github.io/Logging_0980/kartor/A 10440-2024 karta.png", "A 10440-2024")</f>
        <v/>
      </c>
      <c r="V175">
        <f>HYPERLINK("https://klasma.github.io/Logging_0980/klagomål/A 10440-2024 FSC-klagomål.docx", "A 10440-2024")</f>
        <v/>
      </c>
      <c r="W175">
        <f>HYPERLINK("https://klasma.github.io/Logging_0980/klagomålsmail/A 10440-2024 FSC-klagomål mail.docx", "A 10440-2024")</f>
        <v/>
      </c>
      <c r="X175">
        <f>HYPERLINK("https://klasma.github.io/Logging_0980/tillsyn/A 10440-2024 tillsynsbegäran.docx", "A 10440-2024")</f>
        <v/>
      </c>
      <c r="Y175">
        <f>HYPERLINK("https://klasma.github.io/Logging_0980/tillsynsmail/A 10440-2024 tillsynsbegäran mail.docx", "A 10440-2024")</f>
        <v/>
      </c>
      <c r="Z175">
        <f>HYPERLINK("https://klasma.github.io/Logging_0980/fåglar/A 10440-2024 prioriterade fågelarter.docx", "A 10440-2024")</f>
        <v/>
      </c>
    </row>
    <row r="176" ht="15" customHeight="1">
      <c r="A176" t="inlineStr">
        <is>
          <t>A 34809-2024</t>
        </is>
      </c>
      <c r="B176" s="1" t="n">
        <v>45526</v>
      </c>
      <c r="C176" s="1" t="n">
        <v>45934</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49304-2024</t>
        </is>
      </c>
      <c r="B177" s="1" t="n">
        <v>45595.54996527778</v>
      </c>
      <c r="C177" s="1" t="n">
        <v>45934</v>
      </c>
      <c r="D177" t="inlineStr">
        <is>
          <t>GOTLANDS LÄN</t>
        </is>
      </c>
      <c r="E177" t="inlineStr">
        <is>
          <t>GOTLAND</t>
        </is>
      </c>
      <c r="G177" t="n">
        <v>10.8</v>
      </c>
      <c r="H177" t="n">
        <v>0</v>
      </c>
      <c r="I177" t="n">
        <v>0</v>
      </c>
      <c r="J177" t="n">
        <v>1</v>
      </c>
      <c r="K177" t="n">
        <v>0</v>
      </c>
      <c r="L177" t="n">
        <v>0</v>
      </c>
      <c r="M177" t="n">
        <v>0</v>
      </c>
      <c r="N177" t="n">
        <v>0</v>
      </c>
      <c r="O177" t="n">
        <v>1</v>
      </c>
      <c r="P177" t="n">
        <v>0</v>
      </c>
      <c r="Q177" t="n">
        <v>1</v>
      </c>
      <c r="R177" s="2" t="inlineStr">
        <is>
          <t>Åkerranunkel</t>
        </is>
      </c>
      <c r="S177">
        <f>HYPERLINK("https://klasma.github.io/Logging_0980/artfynd/A 49304-2024 artfynd.xlsx", "A 49304-2024")</f>
        <v/>
      </c>
      <c r="T177">
        <f>HYPERLINK("https://klasma.github.io/Logging_0980/kartor/A 49304-2024 karta.png", "A 49304-2024")</f>
        <v/>
      </c>
      <c r="V177">
        <f>HYPERLINK("https://klasma.github.io/Logging_0980/klagomål/A 49304-2024 FSC-klagomål.docx", "A 49304-2024")</f>
        <v/>
      </c>
      <c r="W177">
        <f>HYPERLINK("https://klasma.github.io/Logging_0980/klagomålsmail/A 49304-2024 FSC-klagomål mail.docx", "A 49304-2024")</f>
        <v/>
      </c>
      <c r="X177">
        <f>HYPERLINK("https://klasma.github.io/Logging_0980/tillsyn/A 49304-2024 tillsynsbegäran.docx", "A 49304-2024")</f>
        <v/>
      </c>
      <c r="Y177">
        <f>HYPERLINK("https://klasma.github.io/Logging_0980/tillsynsmail/A 49304-2024 tillsynsbegäran mail.docx", "A 49304-2024")</f>
        <v/>
      </c>
    </row>
    <row r="178" ht="15" customHeight="1">
      <c r="A178" t="inlineStr">
        <is>
          <t>A 22782-2023</t>
        </is>
      </c>
      <c r="B178" s="1" t="n">
        <v>45072</v>
      </c>
      <c r="C178" s="1" t="n">
        <v>45934</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44088-2022</t>
        </is>
      </c>
      <c r="B179" s="1" t="n">
        <v>44839</v>
      </c>
      <c r="C179" s="1" t="n">
        <v>45934</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26461-2025</t>
        </is>
      </c>
      <c r="B180" s="1" t="n">
        <v>45807.43337962963</v>
      </c>
      <c r="C180" s="1" t="n">
        <v>45934</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1477-2024</t>
        </is>
      </c>
      <c r="B181" s="1" t="n">
        <v>45305.37987268518</v>
      </c>
      <c r="C181" s="1" t="n">
        <v>45934</v>
      </c>
      <c r="D181" t="inlineStr">
        <is>
          <t>GOTLANDS LÄN</t>
        </is>
      </c>
      <c r="E181" t="inlineStr">
        <is>
          <t>GOTLAND</t>
        </is>
      </c>
      <c r="G181" t="n">
        <v>6.9</v>
      </c>
      <c r="H181" t="n">
        <v>0</v>
      </c>
      <c r="I181" t="n">
        <v>0</v>
      </c>
      <c r="J181" t="n">
        <v>1</v>
      </c>
      <c r="K181" t="n">
        <v>0</v>
      </c>
      <c r="L181" t="n">
        <v>0</v>
      </c>
      <c r="M181" t="n">
        <v>0</v>
      </c>
      <c r="N181" t="n">
        <v>0</v>
      </c>
      <c r="O181" t="n">
        <v>1</v>
      </c>
      <c r="P181" t="n">
        <v>0</v>
      </c>
      <c r="Q181" t="n">
        <v>1</v>
      </c>
      <c r="R181" s="2" t="inlineStr">
        <is>
          <t>Igelkott</t>
        </is>
      </c>
      <c r="S181">
        <f>HYPERLINK("https://klasma.github.io/Logging_0980/artfynd/A 1477-2024 artfynd.xlsx", "A 1477-2024")</f>
        <v/>
      </c>
      <c r="T181">
        <f>HYPERLINK("https://klasma.github.io/Logging_0980/kartor/A 1477-2024 karta.png", "A 1477-2024")</f>
        <v/>
      </c>
      <c r="V181">
        <f>HYPERLINK("https://klasma.github.io/Logging_0980/klagomål/A 1477-2024 FSC-klagomål.docx", "A 1477-2024")</f>
        <v/>
      </c>
      <c r="W181">
        <f>HYPERLINK("https://klasma.github.io/Logging_0980/klagomålsmail/A 1477-2024 FSC-klagomål mail.docx", "A 1477-2024")</f>
        <v/>
      </c>
      <c r="X181">
        <f>HYPERLINK("https://klasma.github.io/Logging_0980/tillsyn/A 1477-2024 tillsynsbegäran.docx", "A 1477-2024")</f>
        <v/>
      </c>
      <c r="Y181">
        <f>HYPERLINK("https://klasma.github.io/Logging_0980/tillsynsmail/A 1477-2024 tillsynsbegäran mail.docx", "A 1477-2024")</f>
        <v/>
      </c>
    </row>
    <row r="182" ht="15" customHeight="1">
      <c r="A182" t="inlineStr">
        <is>
          <t>A 9862-2024</t>
        </is>
      </c>
      <c r="B182" s="1" t="n">
        <v>45363</v>
      </c>
      <c r="C182" s="1" t="n">
        <v>45934</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34141-2024</t>
        </is>
      </c>
      <c r="B183" s="1" t="n">
        <v>45524.36229166666</v>
      </c>
      <c r="C183" s="1" t="n">
        <v>45934</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7637-2025</t>
        </is>
      </c>
      <c r="B184" s="1" t="n">
        <v>45705.77181712963</v>
      </c>
      <c r="C184" s="1" t="n">
        <v>45934</v>
      </c>
      <c r="D184" t="inlineStr">
        <is>
          <t>GOTLANDS LÄN</t>
        </is>
      </c>
      <c r="E184" t="inlineStr">
        <is>
          <t>GOTLAND</t>
        </is>
      </c>
      <c r="G184" t="n">
        <v>3.7</v>
      </c>
      <c r="H184" t="n">
        <v>0</v>
      </c>
      <c r="I184" t="n">
        <v>0</v>
      </c>
      <c r="J184" t="n">
        <v>0</v>
      </c>
      <c r="K184" t="n">
        <v>0</v>
      </c>
      <c r="L184" t="n">
        <v>0</v>
      </c>
      <c r="M184" t="n">
        <v>1</v>
      </c>
      <c r="N184" t="n">
        <v>0</v>
      </c>
      <c r="O184" t="n">
        <v>1</v>
      </c>
      <c r="P184" t="n">
        <v>1</v>
      </c>
      <c r="Q184" t="n">
        <v>1</v>
      </c>
      <c r="R184" s="2" t="inlineStr">
        <is>
          <t>Skogsalm</t>
        </is>
      </c>
      <c r="S184">
        <f>HYPERLINK("https://klasma.github.io/Logging_0980/artfynd/A 7637-2025 artfynd.xlsx", "A 7637-2025")</f>
        <v/>
      </c>
      <c r="T184">
        <f>HYPERLINK("https://klasma.github.io/Logging_0980/kartor/A 7637-2025 karta.png", "A 7637-2025")</f>
        <v/>
      </c>
      <c r="V184">
        <f>HYPERLINK("https://klasma.github.io/Logging_0980/klagomål/A 7637-2025 FSC-klagomål.docx", "A 7637-2025")</f>
        <v/>
      </c>
      <c r="W184">
        <f>HYPERLINK("https://klasma.github.io/Logging_0980/klagomålsmail/A 7637-2025 FSC-klagomål mail.docx", "A 7637-2025")</f>
        <v/>
      </c>
      <c r="X184">
        <f>HYPERLINK("https://klasma.github.io/Logging_0980/tillsyn/A 7637-2025 tillsynsbegäran.docx", "A 7637-2025")</f>
        <v/>
      </c>
      <c r="Y184">
        <f>HYPERLINK("https://klasma.github.io/Logging_0980/tillsynsmail/A 7637-2025 tillsynsbegäran mail.docx", "A 7637-2025")</f>
        <v/>
      </c>
    </row>
    <row r="185" ht="15" customHeight="1">
      <c r="A185" t="inlineStr">
        <is>
          <t>A 61796-2022</t>
        </is>
      </c>
      <c r="B185" s="1" t="n">
        <v>44917</v>
      </c>
      <c r="C185" s="1" t="n">
        <v>45934</v>
      </c>
      <c r="D185" t="inlineStr">
        <is>
          <t>GOTLANDS LÄN</t>
        </is>
      </c>
      <c r="E185" t="inlineStr">
        <is>
          <t>GOTLAND</t>
        </is>
      </c>
      <c r="G185" t="n">
        <v>1.5</v>
      </c>
      <c r="H185" t="n">
        <v>1</v>
      </c>
      <c r="I185" t="n">
        <v>0</v>
      </c>
      <c r="J185" t="n">
        <v>0</v>
      </c>
      <c r="K185" t="n">
        <v>0</v>
      </c>
      <c r="L185" t="n">
        <v>0</v>
      </c>
      <c r="M185" t="n">
        <v>0</v>
      </c>
      <c r="N185" t="n">
        <v>0</v>
      </c>
      <c r="O185" t="n">
        <v>0</v>
      </c>
      <c r="P185" t="n">
        <v>0</v>
      </c>
      <c r="Q185" t="n">
        <v>1</v>
      </c>
      <c r="R185" s="2" t="inlineStr">
        <is>
          <t>Skogsduva</t>
        </is>
      </c>
      <c r="S185">
        <f>HYPERLINK("https://klasma.github.io/Logging_0980/artfynd/A 61796-2022 artfynd.xlsx", "A 61796-2022")</f>
        <v/>
      </c>
      <c r="T185">
        <f>HYPERLINK("https://klasma.github.io/Logging_0980/kartor/A 61796-2022 karta.png", "A 61796-2022")</f>
        <v/>
      </c>
      <c r="V185">
        <f>HYPERLINK("https://klasma.github.io/Logging_0980/klagomål/A 61796-2022 FSC-klagomål.docx", "A 61796-2022")</f>
        <v/>
      </c>
      <c r="W185">
        <f>HYPERLINK("https://klasma.github.io/Logging_0980/klagomålsmail/A 61796-2022 FSC-klagomål mail.docx", "A 61796-2022")</f>
        <v/>
      </c>
      <c r="X185">
        <f>HYPERLINK("https://klasma.github.io/Logging_0980/tillsyn/A 61796-2022 tillsynsbegäran.docx", "A 61796-2022")</f>
        <v/>
      </c>
      <c r="Y185">
        <f>HYPERLINK("https://klasma.github.io/Logging_0980/tillsynsmail/A 61796-2022 tillsynsbegäran mail.docx", "A 61796-2022")</f>
        <v/>
      </c>
      <c r="Z185">
        <f>HYPERLINK("https://klasma.github.io/Logging_0980/fåglar/A 61796-2022 prioriterade fågelarter.docx", "A 61796-2022")</f>
        <v/>
      </c>
    </row>
    <row r="186" ht="15" customHeight="1">
      <c r="A186" t="inlineStr">
        <is>
          <t>A 14915-2025</t>
        </is>
      </c>
      <c r="B186" s="1" t="n">
        <v>45743.53121527778</v>
      </c>
      <c r="C186" s="1" t="n">
        <v>45934</v>
      </c>
      <c r="D186" t="inlineStr">
        <is>
          <t>GOTLANDS LÄN</t>
        </is>
      </c>
      <c r="E186" t="inlineStr">
        <is>
          <t>GOTLAND</t>
        </is>
      </c>
      <c r="G186" t="n">
        <v>5.9</v>
      </c>
      <c r="H186" t="n">
        <v>0</v>
      </c>
      <c r="I186" t="n">
        <v>0</v>
      </c>
      <c r="J186" t="n">
        <v>1</v>
      </c>
      <c r="K186" t="n">
        <v>0</v>
      </c>
      <c r="L186" t="n">
        <v>0</v>
      </c>
      <c r="M186" t="n">
        <v>0</v>
      </c>
      <c r="N186" t="n">
        <v>0</v>
      </c>
      <c r="O186" t="n">
        <v>1</v>
      </c>
      <c r="P186" t="n">
        <v>0</v>
      </c>
      <c r="Q186" t="n">
        <v>1</v>
      </c>
      <c r="R186" s="2" t="inlineStr">
        <is>
          <t>Igelkott</t>
        </is>
      </c>
      <c r="S186">
        <f>HYPERLINK("https://klasma.github.io/Logging_0980/artfynd/A 14915-2025 artfynd.xlsx", "A 14915-2025")</f>
        <v/>
      </c>
      <c r="T186">
        <f>HYPERLINK("https://klasma.github.io/Logging_0980/kartor/A 14915-2025 karta.png", "A 14915-2025")</f>
        <v/>
      </c>
      <c r="V186">
        <f>HYPERLINK("https://klasma.github.io/Logging_0980/klagomål/A 14915-2025 FSC-klagomål.docx", "A 14915-2025")</f>
        <v/>
      </c>
      <c r="W186">
        <f>HYPERLINK("https://klasma.github.io/Logging_0980/klagomålsmail/A 14915-2025 FSC-klagomål mail.docx", "A 14915-2025")</f>
        <v/>
      </c>
      <c r="X186">
        <f>HYPERLINK("https://klasma.github.io/Logging_0980/tillsyn/A 14915-2025 tillsynsbegäran.docx", "A 14915-2025")</f>
        <v/>
      </c>
      <c r="Y186">
        <f>HYPERLINK("https://klasma.github.io/Logging_0980/tillsynsmail/A 14915-2025 tillsynsbegäran mail.docx", "A 14915-2025")</f>
        <v/>
      </c>
    </row>
    <row r="187" ht="15" customHeight="1">
      <c r="A187" t="inlineStr">
        <is>
          <t>A 19901-2021</t>
        </is>
      </c>
      <c r="B187" s="1" t="n">
        <v>44312</v>
      </c>
      <c r="C187" s="1" t="n">
        <v>45934</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45934</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45934</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45934</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45934</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45934</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45934</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45934</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45934</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45934</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45934</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45934</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45934</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45934</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45934</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45934</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45934</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45934</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45934</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45934</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45934</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45934</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45934</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45934</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45934</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45934</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45934</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45934</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45934</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45934</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45934</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45934</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45934</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45934</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45934</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45934</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45934</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45934</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45934</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45934</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45934</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45934</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45934</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45934</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71010-2021</t>
        </is>
      </c>
      <c r="B231" s="1" t="n">
        <v>44538.63775462963</v>
      </c>
      <c r="C231" s="1" t="n">
        <v>45934</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45934</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45934</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45934</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22495-2022</t>
        </is>
      </c>
      <c r="B235" s="1" t="n">
        <v>44713.6452199074</v>
      </c>
      <c r="C235" s="1" t="n">
        <v>45934</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45934</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14413-2022</t>
        </is>
      </c>
      <c r="B237" s="1" t="n">
        <v>44652</v>
      </c>
      <c r="C237" s="1" t="n">
        <v>45934</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45934</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45934</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37037-2021</t>
        </is>
      </c>
      <c r="B240" s="1" t="n">
        <v>44393.84688657407</v>
      </c>
      <c r="C240" s="1" t="n">
        <v>45934</v>
      </c>
      <c r="D240" t="inlineStr">
        <is>
          <t>GOTLANDS LÄN</t>
        </is>
      </c>
      <c r="E240" t="inlineStr">
        <is>
          <t>GOTLAND</t>
        </is>
      </c>
      <c r="G240" t="n">
        <v>10.2</v>
      </c>
      <c r="H240" t="n">
        <v>0</v>
      </c>
      <c r="I240" t="n">
        <v>0</v>
      </c>
      <c r="J240" t="n">
        <v>0</v>
      </c>
      <c r="K240" t="n">
        <v>0</v>
      </c>
      <c r="L240" t="n">
        <v>0</v>
      </c>
      <c r="M240" t="n">
        <v>0</v>
      </c>
      <c r="N240" t="n">
        <v>0</v>
      </c>
      <c r="O240" t="n">
        <v>0</v>
      </c>
      <c r="P240" t="n">
        <v>0</v>
      </c>
      <c r="Q240" t="n">
        <v>0</v>
      </c>
      <c r="R240" s="2" t="inlineStr"/>
    </row>
    <row r="241" ht="15" customHeight="1">
      <c r="A241" t="inlineStr">
        <is>
          <t>A 1229-2021</t>
        </is>
      </c>
      <c r="B241" s="1" t="n">
        <v>44208</v>
      </c>
      <c r="C241" s="1" t="n">
        <v>45934</v>
      </c>
      <c r="D241" t="inlineStr">
        <is>
          <t>GOTLANDS LÄN</t>
        </is>
      </c>
      <c r="E241" t="inlineStr">
        <is>
          <t>GOTLAND</t>
        </is>
      </c>
      <c r="G241" t="n">
        <v>5.3</v>
      </c>
      <c r="H241" t="n">
        <v>0</v>
      </c>
      <c r="I241" t="n">
        <v>0</v>
      </c>
      <c r="J241" t="n">
        <v>0</v>
      </c>
      <c r="K241" t="n">
        <v>0</v>
      </c>
      <c r="L241" t="n">
        <v>0</v>
      </c>
      <c r="M241" t="n">
        <v>0</v>
      </c>
      <c r="N241" t="n">
        <v>0</v>
      </c>
      <c r="O241" t="n">
        <v>0</v>
      </c>
      <c r="P241" t="n">
        <v>0</v>
      </c>
      <c r="Q241" t="n">
        <v>0</v>
      </c>
      <c r="R241" s="2" t="inlineStr"/>
    </row>
    <row r="242" ht="15" customHeight="1">
      <c r="A242" t="inlineStr">
        <is>
          <t>A 44942-2022</t>
        </is>
      </c>
      <c r="B242" s="1" t="n">
        <v>44841</v>
      </c>
      <c r="C242" s="1" t="n">
        <v>45934</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58476-2022</t>
        </is>
      </c>
      <c r="B243" s="1" t="n">
        <v>44902</v>
      </c>
      <c r="C243" s="1" t="n">
        <v>45934</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62120-2020</t>
        </is>
      </c>
      <c r="B244" s="1" t="n">
        <v>44158</v>
      </c>
      <c r="C244" s="1" t="n">
        <v>45934</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40294-2022</t>
        </is>
      </c>
      <c r="B245" s="1" t="n">
        <v>44821</v>
      </c>
      <c r="C245" s="1" t="n">
        <v>45934</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27602-2023</t>
        </is>
      </c>
      <c r="B246" s="1" t="n">
        <v>45097</v>
      </c>
      <c r="C246" s="1" t="n">
        <v>45934</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58780-2024</t>
        </is>
      </c>
      <c r="B247" s="1" t="n">
        <v>45635.84113425926</v>
      </c>
      <c r="C247" s="1" t="n">
        <v>45934</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12322-2025</t>
        </is>
      </c>
      <c r="B248" s="1" t="n">
        <v>45730</v>
      </c>
      <c r="C248" s="1" t="n">
        <v>45934</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53225-2022</t>
        </is>
      </c>
      <c r="B249" s="1" t="n">
        <v>44876</v>
      </c>
      <c r="C249" s="1" t="n">
        <v>45934</v>
      </c>
      <c r="D249" t="inlineStr">
        <is>
          <t>GOTLANDS LÄN</t>
        </is>
      </c>
      <c r="E249" t="inlineStr">
        <is>
          <t>GOTLAND</t>
        </is>
      </c>
      <c r="F249" t="inlineStr">
        <is>
          <t>Kyrkan</t>
        </is>
      </c>
      <c r="G249" t="n">
        <v>0.9</v>
      </c>
      <c r="H249" t="n">
        <v>0</v>
      </c>
      <c r="I249" t="n">
        <v>0</v>
      </c>
      <c r="J249" t="n">
        <v>0</v>
      </c>
      <c r="K249" t="n">
        <v>0</v>
      </c>
      <c r="L249" t="n">
        <v>0</v>
      </c>
      <c r="M249" t="n">
        <v>0</v>
      </c>
      <c r="N249" t="n">
        <v>0</v>
      </c>
      <c r="O249" t="n">
        <v>0</v>
      </c>
      <c r="P249" t="n">
        <v>0</v>
      </c>
      <c r="Q249" t="n">
        <v>0</v>
      </c>
      <c r="R249" s="2" t="inlineStr"/>
    </row>
    <row r="250" ht="15" customHeight="1">
      <c r="A250" t="inlineStr">
        <is>
          <t>A 3271-2021</t>
        </is>
      </c>
      <c r="B250" s="1" t="n">
        <v>44217</v>
      </c>
      <c r="C250" s="1" t="n">
        <v>45934</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63229-2021</t>
        </is>
      </c>
      <c r="B251" s="1" t="n">
        <v>44508.34518518519</v>
      </c>
      <c r="C251" s="1" t="n">
        <v>45934</v>
      </c>
      <c r="D251" t="inlineStr">
        <is>
          <t>GOTLANDS LÄN</t>
        </is>
      </c>
      <c r="E251" t="inlineStr">
        <is>
          <t>GOTLAND</t>
        </is>
      </c>
      <c r="F251" t="inlineStr">
        <is>
          <t>Kyrkan</t>
        </is>
      </c>
      <c r="G251" t="n">
        <v>3.8</v>
      </c>
      <c r="H251" t="n">
        <v>0</v>
      </c>
      <c r="I251" t="n">
        <v>0</v>
      </c>
      <c r="J251" t="n">
        <v>0</v>
      </c>
      <c r="K251" t="n">
        <v>0</v>
      </c>
      <c r="L251" t="n">
        <v>0</v>
      </c>
      <c r="M251" t="n">
        <v>0</v>
      </c>
      <c r="N251" t="n">
        <v>0</v>
      </c>
      <c r="O251" t="n">
        <v>0</v>
      </c>
      <c r="P251" t="n">
        <v>0</v>
      </c>
      <c r="Q251" t="n">
        <v>0</v>
      </c>
      <c r="R251" s="2" t="inlineStr"/>
    </row>
    <row r="252" ht="15" customHeight="1">
      <c r="A252" t="inlineStr">
        <is>
          <t>A 61596-2023</t>
        </is>
      </c>
      <c r="B252" s="1" t="n">
        <v>45265</v>
      </c>
      <c r="C252" s="1" t="n">
        <v>45934</v>
      </c>
      <c r="D252" t="inlineStr">
        <is>
          <t>GOTLANDS LÄN</t>
        </is>
      </c>
      <c r="E252" t="inlineStr">
        <is>
          <t>GOTLAND</t>
        </is>
      </c>
      <c r="G252" t="n">
        <v>1.7</v>
      </c>
      <c r="H252" t="n">
        <v>0</v>
      </c>
      <c r="I252" t="n">
        <v>0</v>
      </c>
      <c r="J252" t="n">
        <v>0</v>
      </c>
      <c r="K252" t="n">
        <v>0</v>
      </c>
      <c r="L252" t="n">
        <v>0</v>
      </c>
      <c r="M252" t="n">
        <v>0</v>
      </c>
      <c r="N252" t="n">
        <v>0</v>
      </c>
      <c r="O252" t="n">
        <v>0</v>
      </c>
      <c r="P252" t="n">
        <v>0</v>
      </c>
      <c r="Q252" t="n">
        <v>0</v>
      </c>
      <c r="R252" s="2" t="inlineStr"/>
    </row>
    <row r="253" ht="15" customHeight="1">
      <c r="A253" t="inlineStr">
        <is>
          <t>A 30055-2021</t>
        </is>
      </c>
      <c r="B253" s="1" t="n">
        <v>44363</v>
      </c>
      <c r="C253" s="1" t="n">
        <v>45934</v>
      </c>
      <c r="D253" t="inlineStr">
        <is>
          <t>GOTLANDS LÄN</t>
        </is>
      </c>
      <c r="E253" t="inlineStr">
        <is>
          <t>GOTLAND</t>
        </is>
      </c>
      <c r="G253" t="n">
        <v>1.8</v>
      </c>
      <c r="H253" t="n">
        <v>0</v>
      </c>
      <c r="I253" t="n">
        <v>0</v>
      </c>
      <c r="J253" t="n">
        <v>0</v>
      </c>
      <c r="K253" t="n">
        <v>0</v>
      </c>
      <c r="L253" t="n">
        <v>0</v>
      </c>
      <c r="M253" t="n">
        <v>0</v>
      </c>
      <c r="N253" t="n">
        <v>0</v>
      </c>
      <c r="O253" t="n">
        <v>0</v>
      </c>
      <c r="P253" t="n">
        <v>0</v>
      </c>
      <c r="Q253" t="n">
        <v>0</v>
      </c>
      <c r="R253" s="2" t="inlineStr"/>
    </row>
    <row r="254" ht="15" customHeight="1">
      <c r="A254" t="inlineStr">
        <is>
          <t>A 873-2024</t>
        </is>
      </c>
      <c r="B254" s="1" t="n">
        <v>45301</v>
      </c>
      <c r="C254" s="1" t="n">
        <v>45934</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44228-2022</t>
        </is>
      </c>
      <c r="B255" s="1" t="n">
        <v>44839.51599537037</v>
      </c>
      <c r="C255" s="1" t="n">
        <v>45934</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10655-2023</t>
        </is>
      </c>
      <c r="B256" s="1" t="n">
        <v>44988.49543981482</v>
      </c>
      <c r="C256" s="1" t="n">
        <v>45934</v>
      </c>
      <c r="D256" t="inlineStr">
        <is>
          <t>GOTLANDS LÄN</t>
        </is>
      </c>
      <c r="E256" t="inlineStr">
        <is>
          <t>GOTLAND</t>
        </is>
      </c>
      <c r="F256" t="inlineStr">
        <is>
          <t>Kyrkan</t>
        </is>
      </c>
      <c r="G256" t="n">
        <v>2</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45934</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24192-2023</t>
        </is>
      </c>
      <c r="B258" s="1" t="n">
        <v>45079</v>
      </c>
      <c r="C258" s="1" t="n">
        <v>45934</v>
      </c>
      <c r="D258" t="inlineStr">
        <is>
          <t>GOTLANDS LÄN</t>
        </is>
      </c>
      <c r="E258" t="inlineStr">
        <is>
          <t>GOTLAND</t>
        </is>
      </c>
      <c r="G258" t="n">
        <v>2.1</v>
      </c>
      <c r="H258" t="n">
        <v>0</v>
      </c>
      <c r="I258" t="n">
        <v>0</v>
      </c>
      <c r="J258" t="n">
        <v>0</v>
      </c>
      <c r="K258" t="n">
        <v>0</v>
      </c>
      <c r="L258" t="n">
        <v>0</v>
      </c>
      <c r="M258" t="n">
        <v>0</v>
      </c>
      <c r="N258" t="n">
        <v>0</v>
      </c>
      <c r="O258" t="n">
        <v>0</v>
      </c>
      <c r="P258" t="n">
        <v>0</v>
      </c>
      <c r="Q258" t="n">
        <v>0</v>
      </c>
      <c r="R258" s="2" t="inlineStr"/>
    </row>
    <row r="259" ht="15" customHeight="1">
      <c r="A259" t="inlineStr">
        <is>
          <t>A 30282-2022</t>
        </is>
      </c>
      <c r="B259" s="1" t="n">
        <v>44760</v>
      </c>
      <c r="C259" s="1" t="n">
        <v>45934</v>
      </c>
      <c r="D259" t="inlineStr">
        <is>
          <t>GOTLANDS LÄN</t>
        </is>
      </c>
      <c r="E259" t="inlineStr">
        <is>
          <t>GOTLAND</t>
        </is>
      </c>
      <c r="G259" t="n">
        <v>2.6</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45934</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44649-2021</t>
        </is>
      </c>
      <c r="B261" s="1" t="n">
        <v>44437</v>
      </c>
      <c r="C261" s="1" t="n">
        <v>45934</v>
      </c>
      <c r="D261" t="inlineStr">
        <is>
          <t>GOTLANDS LÄN</t>
        </is>
      </c>
      <c r="E261" t="inlineStr">
        <is>
          <t>GOTLAND</t>
        </is>
      </c>
      <c r="G261" t="n">
        <v>8.1</v>
      </c>
      <c r="H261" t="n">
        <v>0</v>
      </c>
      <c r="I261" t="n">
        <v>0</v>
      </c>
      <c r="J261" t="n">
        <v>0</v>
      </c>
      <c r="K261" t="n">
        <v>0</v>
      </c>
      <c r="L261" t="n">
        <v>0</v>
      </c>
      <c r="M261" t="n">
        <v>0</v>
      </c>
      <c r="N261" t="n">
        <v>0</v>
      </c>
      <c r="O261" t="n">
        <v>0</v>
      </c>
      <c r="P261" t="n">
        <v>0</v>
      </c>
      <c r="Q261" t="n">
        <v>0</v>
      </c>
      <c r="R261" s="2" t="inlineStr"/>
    </row>
    <row r="262" ht="15" customHeight="1">
      <c r="A262" t="inlineStr">
        <is>
          <t>A 65393-2021</t>
        </is>
      </c>
      <c r="B262" s="1" t="n">
        <v>44515</v>
      </c>
      <c r="C262" s="1" t="n">
        <v>45934</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10650-2022</t>
        </is>
      </c>
      <c r="B263" s="1" t="n">
        <v>44624.57945601852</v>
      </c>
      <c r="C263" s="1" t="n">
        <v>45934</v>
      </c>
      <c r="D263" t="inlineStr">
        <is>
          <t>GOTLANDS LÄN</t>
        </is>
      </c>
      <c r="E263" t="inlineStr">
        <is>
          <t>GOTLAND</t>
        </is>
      </c>
      <c r="G263" t="n">
        <v>1.1</v>
      </c>
      <c r="H263" t="n">
        <v>0</v>
      </c>
      <c r="I263" t="n">
        <v>0</v>
      </c>
      <c r="J263" t="n">
        <v>0</v>
      </c>
      <c r="K263" t="n">
        <v>0</v>
      </c>
      <c r="L263" t="n">
        <v>0</v>
      </c>
      <c r="M263" t="n">
        <v>0</v>
      </c>
      <c r="N263" t="n">
        <v>0</v>
      </c>
      <c r="O263" t="n">
        <v>0</v>
      </c>
      <c r="P263" t="n">
        <v>0</v>
      </c>
      <c r="Q263" t="n">
        <v>0</v>
      </c>
      <c r="R263" s="2" t="inlineStr"/>
    </row>
    <row r="264" ht="15" customHeight="1">
      <c r="A264" t="inlineStr">
        <is>
          <t>A 8484-2025</t>
        </is>
      </c>
      <c r="B264" s="1" t="n">
        <v>45709</v>
      </c>
      <c r="C264" s="1" t="n">
        <v>45934</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27593-2023</t>
        </is>
      </c>
      <c r="B265" s="1" t="n">
        <v>45097</v>
      </c>
      <c r="C265" s="1" t="n">
        <v>45934</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25129-2023</t>
        </is>
      </c>
      <c r="B266" s="1" t="n">
        <v>45086.44261574074</v>
      </c>
      <c r="C266" s="1" t="n">
        <v>45934</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26810-2021</t>
        </is>
      </c>
      <c r="B267" s="1" t="n">
        <v>44349.55087962963</v>
      </c>
      <c r="C267" s="1" t="n">
        <v>45934</v>
      </c>
      <c r="D267" t="inlineStr">
        <is>
          <t>GOTLANDS LÄN</t>
        </is>
      </c>
      <c r="E267" t="inlineStr">
        <is>
          <t>GOTLAND</t>
        </is>
      </c>
      <c r="G267" t="n">
        <v>3.5</v>
      </c>
      <c r="H267" t="n">
        <v>0</v>
      </c>
      <c r="I267" t="n">
        <v>0</v>
      </c>
      <c r="J267" t="n">
        <v>0</v>
      </c>
      <c r="K267" t="n">
        <v>0</v>
      </c>
      <c r="L267" t="n">
        <v>0</v>
      </c>
      <c r="M267" t="n">
        <v>0</v>
      </c>
      <c r="N267" t="n">
        <v>0</v>
      </c>
      <c r="O267" t="n">
        <v>0</v>
      </c>
      <c r="P267" t="n">
        <v>0</v>
      </c>
      <c r="Q267" t="n">
        <v>0</v>
      </c>
      <c r="R267" s="2" t="inlineStr"/>
    </row>
    <row r="268" ht="15" customHeight="1">
      <c r="A268" t="inlineStr">
        <is>
          <t>A 43951-2025</t>
        </is>
      </c>
      <c r="B268" s="1" t="n">
        <v>45915.38119212963</v>
      </c>
      <c r="C268" s="1" t="n">
        <v>45934</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28425-2023</t>
        </is>
      </c>
      <c r="B269" s="1" t="n">
        <v>45102</v>
      </c>
      <c r="C269" s="1" t="n">
        <v>45934</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43911-2025</t>
        </is>
      </c>
      <c r="B270" s="1" t="n">
        <v>45914.3881712963</v>
      </c>
      <c r="C270" s="1" t="n">
        <v>45934</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49962-2023</t>
        </is>
      </c>
      <c r="B271" s="1" t="n">
        <v>45215.38775462963</v>
      </c>
      <c r="C271" s="1" t="n">
        <v>45934</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13037-2025</t>
        </is>
      </c>
      <c r="B272" s="1" t="n">
        <v>45734</v>
      </c>
      <c r="C272" s="1" t="n">
        <v>45934</v>
      </c>
      <c r="D272" t="inlineStr">
        <is>
          <t>GOTLANDS LÄN</t>
        </is>
      </c>
      <c r="E272" t="inlineStr">
        <is>
          <t>GOTLAND</t>
        </is>
      </c>
      <c r="G272" t="n">
        <v>9.5</v>
      </c>
      <c r="H272" t="n">
        <v>0</v>
      </c>
      <c r="I272" t="n">
        <v>0</v>
      </c>
      <c r="J272" t="n">
        <v>0</v>
      </c>
      <c r="K272" t="n">
        <v>0</v>
      </c>
      <c r="L272" t="n">
        <v>0</v>
      </c>
      <c r="M272" t="n">
        <v>0</v>
      </c>
      <c r="N272" t="n">
        <v>0</v>
      </c>
      <c r="O272" t="n">
        <v>0</v>
      </c>
      <c r="P272" t="n">
        <v>0</v>
      </c>
      <c r="Q272" t="n">
        <v>0</v>
      </c>
      <c r="R272" s="2" t="inlineStr"/>
    </row>
    <row r="273" ht="15" customHeight="1">
      <c r="A273" t="inlineStr">
        <is>
          <t>A 50744-2024</t>
        </is>
      </c>
      <c r="B273" s="1" t="n">
        <v>45602.4187037037</v>
      </c>
      <c r="C273" s="1" t="n">
        <v>45934</v>
      </c>
      <c r="D273" t="inlineStr">
        <is>
          <t>GOTLANDS LÄN</t>
        </is>
      </c>
      <c r="E273" t="inlineStr">
        <is>
          <t>GOTLAND</t>
        </is>
      </c>
      <c r="G273" t="n">
        <v>3.2</v>
      </c>
      <c r="H273" t="n">
        <v>0</v>
      </c>
      <c r="I273" t="n">
        <v>0</v>
      </c>
      <c r="J273" t="n">
        <v>0</v>
      </c>
      <c r="K273" t="n">
        <v>0</v>
      </c>
      <c r="L273" t="n">
        <v>0</v>
      </c>
      <c r="M273" t="n">
        <v>0</v>
      </c>
      <c r="N273" t="n">
        <v>0</v>
      </c>
      <c r="O273" t="n">
        <v>0</v>
      </c>
      <c r="P273" t="n">
        <v>0</v>
      </c>
      <c r="Q273" t="n">
        <v>0</v>
      </c>
      <c r="R273" s="2" t="inlineStr"/>
    </row>
    <row r="274" ht="15" customHeight="1">
      <c r="A274" t="inlineStr">
        <is>
          <t>A 45244-2024</t>
        </is>
      </c>
      <c r="B274" s="1" t="n">
        <v>45576</v>
      </c>
      <c r="C274" s="1" t="n">
        <v>45934</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38787-2023</t>
        </is>
      </c>
      <c r="B275" s="1" t="n">
        <v>45163</v>
      </c>
      <c r="C275" s="1" t="n">
        <v>45934</v>
      </c>
      <c r="D275" t="inlineStr">
        <is>
          <t>GOTLANDS LÄN</t>
        </is>
      </c>
      <c r="E275" t="inlineStr">
        <is>
          <t>GOTLAND</t>
        </is>
      </c>
      <c r="G275" t="n">
        <v>0.4</v>
      </c>
      <c r="H275" t="n">
        <v>0</v>
      </c>
      <c r="I275" t="n">
        <v>0</v>
      </c>
      <c r="J275" t="n">
        <v>0</v>
      </c>
      <c r="K275" t="n">
        <v>0</v>
      </c>
      <c r="L275" t="n">
        <v>0</v>
      </c>
      <c r="M275" t="n">
        <v>0</v>
      </c>
      <c r="N275" t="n">
        <v>0</v>
      </c>
      <c r="O275" t="n">
        <v>0</v>
      </c>
      <c r="P275" t="n">
        <v>0</v>
      </c>
      <c r="Q275" t="n">
        <v>0</v>
      </c>
      <c r="R275" s="2" t="inlineStr"/>
    </row>
    <row r="276" ht="15" customHeight="1">
      <c r="A276" t="inlineStr">
        <is>
          <t>A 44405-2025</t>
        </is>
      </c>
      <c r="B276" s="1" t="n">
        <v>45916.52405092592</v>
      </c>
      <c r="C276" s="1" t="n">
        <v>45934</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56009-2024</t>
        </is>
      </c>
      <c r="B277" s="1" t="n">
        <v>45623.80864583333</v>
      </c>
      <c r="C277" s="1" t="n">
        <v>45934</v>
      </c>
      <c r="D277" t="inlineStr">
        <is>
          <t>GOTLANDS LÄN</t>
        </is>
      </c>
      <c r="E277" t="inlineStr">
        <is>
          <t>GOTLAND</t>
        </is>
      </c>
      <c r="G277" t="n">
        <v>2.8</v>
      </c>
      <c r="H277" t="n">
        <v>0</v>
      </c>
      <c r="I277" t="n">
        <v>0</v>
      </c>
      <c r="J277" t="n">
        <v>0</v>
      </c>
      <c r="K277" t="n">
        <v>0</v>
      </c>
      <c r="L277" t="n">
        <v>0</v>
      </c>
      <c r="M277" t="n">
        <v>0</v>
      </c>
      <c r="N277" t="n">
        <v>0</v>
      </c>
      <c r="O277" t="n">
        <v>0</v>
      </c>
      <c r="P277" t="n">
        <v>0</v>
      </c>
      <c r="Q277" t="n">
        <v>0</v>
      </c>
      <c r="R277" s="2" t="inlineStr"/>
    </row>
    <row r="278" ht="15" customHeight="1">
      <c r="A278" t="inlineStr">
        <is>
          <t>A 2714-2023</t>
        </is>
      </c>
      <c r="B278" s="1" t="n">
        <v>44944.54896990741</v>
      </c>
      <c r="C278" s="1" t="n">
        <v>45934</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54073-2022</t>
        </is>
      </c>
      <c r="B279" s="1" t="n">
        <v>44881.50380787037</v>
      </c>
      <c r="C279" s="1" t="n">
        <v>45934</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22897-2023</t>
        </is>
      </c>
      <c r="B280" s="1" t="n">
        <v>45072.55239583334</v>
      </c>
      <c r="C280" s="1" t="n">
        <v>45934</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4568-2025</t>
        </is>
      </c>
      <c r="B281" s="1" t="n">
        <v>45687</v>
      </c>
      <c r="C281" s="1" t="n">
        <v>45934</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1681-2023</t>
        </is>
      </c>
      <c r="B282" s="1" t="n">
        <v>44938.39715277778</v>
      </c>
      <c r="C282" s="1" t="n">
        <v>45934</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3964-2024</t>
        </is>
      </c>
      <c r="B283" s="1" t="n">
        <v>45322</v>
      </c>
      <c r="C283" s="1" t="n">
        <v>45934</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44410-2025</t>
        </is>
      </c>
      <c r="B284" s="1" t="n">
        <v>45916.53699074074</v>
      </c>
      <c r="C284" s="1" t="n">
        <v>45934</v>
      </c>
      <c r="D284" t="inlineStr">
        <is>
          <t>GOTLANDS LÄN</t>
        </is>
      </c>
      <c r="E284" t="inlineStr">
        <is>
          <t>GOTLAND</t>
        </is>
      </c>
      <c r="G284" t="n">
        <v>2.3</v>
      </c>
      <c r="H284" t="n">
        <v>0</v>
      </c>
      <c r="I284" t="n">
        <v>0</v>
      </c>
      <c r="J284" t="n">
        <v>0</v>
      </c>
      <c r="K284" t="n">
        <v>0</v>
      </c>
      <c r="L284" t="n">
        <v>0</v>
      </c>
      <c r="M284" t="n">
        <v>0</v>
      </c>
      <c r="N284" t="n">
        <v>0</v>
      </c>
      <c r="O284" t="n">
        <v>0</v>
      </c>
      <c r="P284" t="n">
        <v>0</v>
      </c>
      <c r="Q284" t="n">
        <v>0</v>
      </c>
      <c r="R284" s="2" t="inlineStr"/>
    </row>
    <row r="285" ht="15" customHeight="1">
      <c r="A285" t="inlineStr">
        <is>
          <t>A 42338-2023</t>
        </is>
      </c>
      <c r="B285" s="1" t="n">
        <v>45180</v>
      </c>
      <c r="C285" s="1" t="n">
        <v>45934</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18918-2025</t>
        </is>
      </c>
      <c r="B286" s="1" t="n">
        <v>45764</v>
      </c>
      <c r="C286" s="1" t="n">
        <v>45934</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11013-2024</t>
        </is>
      </c>
      <c r="B287" s="1" t="n">
        <v>45370</v>
      </c>
      <c r="C287" s="1" t="n">
        <v>45934</v>
      </c>
      <c r="D287" t="inlineStr">
        <is>
          <t>GOTLANDS LÄN</t>
        </is>
      </c>
      <c r="E287" t="inlineStr">
        <is>
          <t>GOTLAND</t>
        </is>
      </c>
      <c r="G287" t="n">
        <v>0.7</v>
      </c>
      <c r="H287" t="n">
        <v>0</v>
      </c>
      <c r="I287" t="n">
        <v>0</v>
      </c>
      <c r="J287" t="n">
        <v>0</v>
      </c>
      <c r="K287" t="n">
        <v>0</v>
      </c>
      <c r="L287" t="n">
        <v>0</v>
      </c>
      <c r="M287" t="n">
        <v>0</v>
      </c>
      <c r="N287" t="n">
        <v>0</v>
      </c>
      <c r="O287" t="n">
        <v>0</v>
      </c>
      <c r="P287" t="n">
        <v>0</v>
      </c>
      <c r="Q287" t="n">
        <v>0</v>
      </c>
      <c r="R287" s="2" t="inlineStr"/>
    </row>
    <row r="288" ht="15" customHeight="1">
      <c r="A288" t="inlineStr">
        <is>
          <t>A 10746-2025</t>
        </is>
      </c>
      <c r="B288" s="1" t="n">
        <v>45722.42766203704</v>
      </c>
      <c r="C288" s="1" t="n">
        <v>45934</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45106-2024</t>
        </is>
      </c>
      <c r="B289" s="1" t="n">
        <v>45575</v>
      </c>
      <c r="C289" s="1" t="n">
        <v>45934</v>
      </c>
      <c r="D289" t="inlineStr">
        <is>
          <t>GOTLANDS LÄN</t>
        </is>
      </c>
      <c r="E289" t="inlineStr">
        <is>
          <t>GOTLAND</t>
        </is>
      </c>
      <c r="G289" t="n">
        <v>10</v>
      </c>
      <c r="H289" t="n">
        <v>0</v>
      </c>
      <c r="I289" t="n">
        <v>0</v>
      </c>
      <c r="J289" t="n">
        <v>0</v>
      </c>
      <c r="K289" t="n">
        <v>0</v>
      </c>
      <c r="L289" t="n">
        <v>0</v>
      </c>
      <c r="M289" t="n">
        <v>0</v>
      </c>
      <c r="N289" t="n">
        <v>0</v>
      </c>
      <c r="O289" t="n">
        <v>0</v>
      </c>
      <c r="P289" t="n">
        <v>0</v>
      </c>
      <c r="Q289" t="n">
        <v>0</v>
      </c>
      <c r="R289" s="2" t="inlineStr"/>
    </row>
    <row r="290" ht="15" customHeight="1">
      <c r="A290" t="inlineStr">
        <is>
          <t>A 45112-2024</t>
        </is>
      </c>
      <c r="B290" s="1" t="n">
        <v>45575</v>
      </c>
      <c r="C290" s="1" t="n">
        <v>45934</v>
      </c>
      <c r="D290" t="inlineStr">
        <is>
          <t>GOTLANDS LÄN</t>
        </is>
      </c>
      <c r="E290" t="inlineStr">
        <is>
          <t>GOTLAND</t>
        </is>
      </c>
      <c r="G290" t="n">
        <v>5.1</v>
      </c>
      <c r="H290" t="n">
        <v>0</v>
      </c>
      <c r="I290" t="n">
        <v>0</v>
      </c>
      <c r="J290" t="n">
        <v>0</v>
      </c>
      <c r="K290" t="n">
        <v>0</v>
      </c>
      <c r="L290" t="n">
        <v>0</v>
      </c>
      <c r="M290" t="n">
        <v>0</v>
      </c>
      <c r="N290" t="n">
        <v>0</v>
      </c>
      <c r="O290" t="n">
        <v>0</v>
      </c>
      <c r="P290" t="n">
        <v>0</v>
      </c>
      <c r="Q290" t="n">
        <v>0</v>
      </c>
      <c r="R290" s="2" t="inlineStr"/>
    </row>
    <row r="291" ht="15" customHeight="1">
      <c r="A291" t="inlineStr">
        <is>
          <t>A 45084-2024</t>
        </is>
      </c>
      <c r="B291" s="1" t="n">
        <v>45575</v>
      </c>
      <c r="C291" s="1" t="n">
        <v>45934</v>
      </c>
      <c r="D291" t="inlineStr">
        <is>
          <t>GOTLANDS LÄN</t>
        </is>
      </c>
      <c r="E291" t="inlineStr">
        <is>
          <t>GOTLAND</t>
        </is>
      </c>
      <c r="G291" t="n">
        <v>6.8</v>
      </c>
      <c r="H291" t="n">
        <v>0</v>
      </c>
      <c r="I291" t="n">
        <v>0</v>
      </c>
      <c r="J291" t="n">
        <v>0</v>
      </c>
      <c r="K291" t="n">
        <v>0</v>
      </c>
      <c r="L291" t="n">
        <v>0</v>
      </c>
      <c r="M291" t="n">
        <v>0</v>
      </c>
      <c r="N291" t="n">
        <v>0</v>
      </c>
      <c r="O291" t="n">
        <v>0</v>
      </c>
      <c r="P291" t="n">
        <v>0</v>
      </c>
      <c r="Q291" t="n">
        <v>0</v>
      </c>
      <c r="R291" s="2" t="inlineStr"/>
    </row>
    <row r="292" ht="15" customHeight="1">
      <c r="A292" t="inlineStr">
        <is>
          <t>A 10158-2025</t>
        </is>
      </c>
      <c r="B292" s="1" t="n">
        <v>45719</v>
      </c>
      <c r="C292" s="1" t="n">
        <v>45934</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20356-2022</t>
        </is>
      </c>
      <c r="B293" s="1" t="n">
        <v>44699</v>
      </c>
      <c r="C293" s="1" t="n">
        <v>45934</v>
      </c>
      <c r="D293" t="inlineStr">
        <is>
          <t>GOTLANDS LÄN</t>
        </is>
      </c>
      <c r="E293" t="inlineStr">
        <is>
          <t>GOTLAND</t>
        </is>
      </c>
      <c r="F293" t="inlineStr">
        <is>
          <t>Övriga Aktiebolag</t>
        </is>
      </c>
      <c r="G293" t="n">
        <v>4.4</v>
      </c>
      <c r="H293" t="n">
        <v>0</v>
      </c>
      <c r="I293" t="n">
        <v>0</v>
      </c>
      <c r="J293" t="n">
        <v>0</v>
      </c>
      <c r="K293" t="n">
        <v>0</v>
      </c>
      <c r="L293" t="n">
        <v>0</v>
      </c>
      <c r="M293" t="n">
        <v>0</v>
      </c>
      <c r="N293" t="n">
        <v>0</v>
      </c>
      <c r="O293" t="n">
        <v>0</v>
      </c>
      <c r="P293" t="n">
        <v>0</v>
      </c>
      <c r="Q293" t="n">
        <v>0</v>
      </c>
      <c r="R293" s="2" t="inlineStr"/>
    </row>
    <row r="294" ht="15" customHeight="1">
      <c r="A294" t="inlineStr">
        <is>
          <t>A 7026-2023</t>
        </is>
      </c>
      <c r="B294" s="1" t="n">
        <v>44968.30340277778</v>
      </c>
      <c r="C294" s="1" t="n">
        <v>45934</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4868-2024</t>
        </is>
      </c>
      <c r="B295" s="1" t="n">
        <v>45329</v>
      </c>
      <c r="C295" s="1" t="n">
        <v>45934</v>
      </c>
      <c r="D295" t="inlineStr">
        <is>
          <t>GOTLANDS LÄN</t>
        </is>
      </c>
      <c r="E295" t="inlineStr">
        <is>
          <t>GOTLAND</t>
        </is>
      </c>
      <c r="G295" t="n">
        <v>7.1</v>
      </c>
      <c r="H295" t="n">
        <v>0</v>
      </c>
      <c r="I295" t="n">
        <v>0</v>
      </c>
      <c r="J295" t="n">
        <v>0</v>
      </c>
      <c r="K295" t="n">
        <v>0</v>
      </c>
      <c r="L295" t="n">
        <v>0</v>
      </c>
      <c r="M295" t="n">
        <v>0</v>
      </c>
      <c r="N295" t="n">
        <v>0</v>
      </c>
      <c r="O295" t="n">
        <v>0</v>
      </c>
      <c r="P295" t="n">
        <v>0</v>
      </c>
      <c r="Q295" t="n">
        <v>0</v>
      </c>
      <c r="R295" s="2" t="inlineStr"/>
    </row>
    <row r="296" ht="15" customHeight="1">
      <c r="A296" t="inlineStr">
        <is>
          <t>A 9613-2025</t>
        </is>
      </c>
      <c r="B296" s="1" t="n">
        <v>45715</v>
      </c>
      <c r="C296" s="1" t="n">
        <v>45934</v>
      </c>
      <c r="D296" t="inlineStr">
        <is>
          <t>GOTLANDS LÄN</t>
        </is>
      </c>
      <c r="E296" t="inlineStr">
        <is>
          <t>GOTLAND</t>
        </is>
      </c>
      <c r="G296" t="n">
        <v>3.5</v>
      </c>
      <c r="H296" t="n">
        <v>0</v>
      </c>
      <c r="I296" t="n">
        <v>0</v>
      </c>
      <c r="J296" t="n">
        <v>0</v>
      </c>
      <c r="K296" t="n">
        <v>0</v>
      </c>
      <c r="L296" t="n">
        <v>0</v>
      </c>
      <c r="M296" t="n">
        <v>0</v>
      </c>
      <c r="N296" t="n">
        <v>0</v>
      </c>
      <c r="O296" t="n">
        <v>0</v>
      </c>
      <c r="P296" t="n">
        <v>0</v>
      </c>
      <c r="Q296" t="n">
        <v>0</v>
      </c>
      <c r="R296" s="2" t="inlineStr"/>
    </row>
    <row r="297" ht="15" customHeight="1">
      <c r="A297" t="inlineStr">
        <is>
          <t>A 30489-2025</t>
        </is>
      </c>
      <c r="B297" s="1" t="n">
        <v>45830</v>
      </c>
      <c r="C297" s="1" t="n">
        <v>45934</v>
      </c>
      <c r="D297" t="inlineStr">
        <is>
          <t>GOTLANDS LÄN</t>
        </is>
      </c>
      <c r="E297" t="inlineStr">
        <is>
          <t>GOTLAND</t>
        </is>
      </c>
      <c r="G297" t="n">
        <v>4.6</v>
      </c>
      <c r="H297" t="n">
        <v>0</v>
      </c>
      <c r="I297" t="n">
        <v>0</v>
      </c>
      <c r="J297" t="n">
        <v>0</v>
      </c>
      <c r="K297" t="n">
        <v>0</v>
      </c>
      <c r="L297" t="n">
        <v>0</v>
      </c>
      <c r="M297" t="n">
        <v>0</v>
      </c>
      <c r="N297" t="n">
        <v>0</v>
      </c>
      <c r="O297" t="n">
        <v>0</v>
      </c>
      <c r="P297" t="n">
        <v>0</v>
      </c>
      <c r="Q297" t="n">
        <v>0</v>
      </c>
      <c r="R297" s="2" t="inlineStr"/>
    </row>
    <row r="298" ht="15" customHeight="1">
      <c r="A298" t="inlineStr">
        <is>
          <t>A 52892-2021</t>
        </is>
      </c>
      <c r="B298" s="1" t="n">
        <v>44467.49048611111</v>
      </c>
      <c r="C298" s="1" t="n">
        <v>45934</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1351-2025</t>
        </is>
      </c>
      <c r="B299" s="1" t="n">
        <v>45667.62246527777</v>
      </c>
      <c r="C299" s="1" t="n">
        <v>45934</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21142-2025</t>
        </is>
      </c>
      <c r="B300" s="1" t="n">
        <v>45779</v>
      </c>
      <c r="C300" s="1" t="n">
        <v>45934</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5386-2023</t>
        </is>
      </c>
      <c r="B301" s="1" t="n">
        <v>44959</v>
      </c>
      <c r="C301" s="1" t="n">
        <v>45934</v>
      </c>
      <c r="D301" t="inlineStr">
        <is>
          <t>GOTLANDS LÄN</t>
        </is>
      </c>
      <c r="E301" t="inlineStr">
        <is>
          <t>GOTLAND</t>
        </is>
      </c>
      <c r="G301" t="n">
        <v>5.4</v>
      </c>
      <c r="H301" t="n">
        <v>0</v>
      </c>
      <c r="I301" t="n">
        <v>0</v>
      </c>
      <c r="J301" t="n">
        <v>0</v>
      </c>
      <c r="K301" t="n">
        <v>0</v>
      </c>
      <c r="L301" t="n">
        <v>0</v>
      </c>
      <c r="M301" t="n">
        <v>0</v>
      </c>
      <c r="N301" t="n">
        <v>0</v>
      </c>
      <c r="O301" t="n">
        <v>0</v>
      </c>
      <c r="P301" t="n">
        <v>0</v>
      </c>
      <c r="Q301" t="n">
        <v>0</v>
      </c>
      <c r="R301" s="2" t="inlineStr"/>
    </row>
    <row r="302" ht="15" customHeight="1">
      <c r="A302" t="inlineStr">
        <is>
          <t>A 6108-2025</t>
        </is>
      </c>
      <c r="B302" s="1" t="n">
        <v>45698.29880787037</v>
      </c>
      <c r="C302" s="1" t="n">
        <v>45934</v>
      </c>
      <c r="D302" t="inlineStr">
        <is>
          <t>GOTLANDS LÄN</t>
        </is>
      </c>
      <c r="E302" t="inlineStr">
        <is>
          <t>GOTLAND</t>
        </is>
      </c>
      <c r="G302" t="n">
        <v>2.8</v>
      </c>
      <c r="H302" t="n">
        <v>0</v>
      </c>
      <c r="I302" t="n">
        <v>0</v>
      </c>
      <c r="J302" t="n">
        <v>0</v>
      </c>
      <c r="K302" t="n">
        <v>0</v>
      </c>
      <c r="L302" t="n">
        <v>0</v>
      </c>
      <c r="M302" t="n">
        <v>0</v>
      </c>
      <c r="N302" t="n">
        <v>0</v>
      </c>
      <c r="O302" t="n">
        <v>0</v>
      </c>
      <c r="P302" t="n">
        <v>0</v>
      </c>
      <c r="Q302" t="n">
        <v>0</v>
      </c>
      <c r="R302" s="2" t="inlineStr"/>
    </row>
    <row r="303" ht="15" customHeight="1">
      <c r="A303" t="inlineStr">
        <is>
          <t>A 49874-2024</t>
        </is>
      </c>
      <c r="B303" s="1" t="n">
        <v>45597.49274305555</v>
      </c>
      <c r="C303" s="1" t="n">
        <v>45934</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43229-2023</t>
        </is>
      </c>
      <c r="B304" s="1" t="n">
        <v>45183.46704861111</v>
      </c>
      <c r="C304" s="1" t="n">
        <v>45934</v>
      </c>
      <c r="D304" t="inlineStr">
        <is>
          <t>GOTLANDS LÄN</t>
        </is>
      </c>
      <c r="E304" t="inlineStr">
        <is>
          <t>GOTLAND</t>
        </is>
      </c>
      <c r="G304" t="n">
        <v>7.1</v>
      </c>
      <c r="H304" t="n">
        <v>0</v>
      </c>
      <c r="I304" t="n">
        <v>0</v>
      </c>
      <c r="J304" t="n">
        <v>0</v>
      </c>
      <c r="K304" t="n">
        <v>0</v>
      </c>
      <c r="L304" t="n">
        <v>0</v>
      </c>
      <c r="M304" t="n">
        <v>0</v>
      </c>
      <c r="N304" t="n">
        <v>0</v>
      </c>
      <c r="O304" t="n">
        <v>0</v>
      </c>
      <c r="P304" t="n">
        <v>0</v>
      </c>
      <c r="Q304" t="n">
        <v>0</v>
      </c>
      <c r="R304" s="2" t="inlineStr"/>
    </row>
    <row r="305" ht="15" customHeight="1">
      <c r="A305" t="inlineStr">
        <is>
          <t>A 58211-2024</t>
        </is>
      </c>
      <c r="B305" s="1" t="n">
        <v>45632.49292824074</v>
      </c>
      <c r="C305" s="1" t="n">
        <v>45934</v>
      </c>
      <c r="D305" t="inlineStr">
        <is>
          <t>GOTLANDS LÄN</t>
        </is>
      </c>
      <c r="E305" t="inlineStr">
        <is>
          <t>GOTLAND</t>
        </is>
      </c>
      <c r="G305" t="n">
        <v>5.4</v>
      </c>
      <c r="H305" t="n">
        <v>0</v>
      </c>
      <c r="I305" t="n">
        <v>0</v>
      </c>
      <c r="J305" t="n">
        <v>0</v>
      </c>
      <c r="K305" t="n">
        <v>0</v>
      </c>
      <c r="L305" t="n">
        <v>0</v>
      </c>
      <c r="M305" t="n">
        <v>0</v>
      </c>
      <c r="N305" t="n">
        <v>0</v>
      </c>
      <c r="O305" t="n">
        <v>0</v>
      </c>
      <c r="P305" t="n">
        <v>0</v>
      </c>
      <c r="Q305" t="n">
        <v>0</v>
      </c>
      <c r="R305" s="2" t="inlineStr"/>
    </row>
    <row r="306" ht="15" customHeight="1">
      <c r="A306" t="inlineStr">
        <is>
          <t>A 41038-2023</t>
        </is>
      </c>
      <c r="B306" s="1" t="n">
        <v>45173.60959490741</v>
      </c>
      <c r="C306" s="1" t="n">
        <v>45934</v>
      </c>
      <c r="D306" t="inlineStr">
        <is>
          <t>GOTLANDS LÄN</t>
        </is>
      </c>
      <c r="E306" t="inlineStr">
        <is>
          <t>GOTLAND</t>
        </is>
      </c>
      <c r="G306" t="n">
        <v>2.7</v>
      </c>
      <c r="H306" t="n">
        <v>0</v>
      </c>
      <c r="I306" t="n">
        <v>0</v>
      </c>
      <c r="J306" t="n">
        <v>0</v>
      </c>
      <c r="K306" t="n">
        <v>0</v>
      </c>
      <c r="L306" t="n">
        <v>0</v>
      </c>
      <c r="M306" t="n">
        <v>0</v>
      </c>
      <c r="N306" t="n">
        <v>0</v>
      </c>
      <c r="O306" t="n">
        <v>0</v>
      </c>
      <c r="P306" t="n">
        <v>0</v>
      </c>
      <c r="Q306" t="n">
        <v>0</v>
      </c>
      <c r="R306" s="2" t="inlineStr"/>
    </row>
    <row r="307" ht="15" customHeight="1">
      <c r="A307" t="inlineStr">
        <is>
          <t>A 11634-2024</t>
        </is>
      </c>
      <c r="B307" s="1" t="n">
        <v>45373</v>
      </c>
      <c r="C307" s="1" t="n">
        <v>45934</v>
      </c>
      <c r="D307" t="inlineStr">
        <is>
          <t>GOTLANDS LÄN</t>
        </is>
      </c>
      <c r="E307" t="inlineStr">
        <is>
          <t>GOTLAND</t>
        </is>
      </c>
      <c r="G307" t="n">
        <v>3</v>
      </c>
      <c r="H307" t="n">
        <v>0</v>
      </c>
      <c r="I307" t="n">
        <v>0</v>
      </c>
      <c r="J307" t="n">
        <v>0</v>
      </c>
      <c r="K307" t="n">
        <v>0</v>
      </c>
      <c r="L307" t="n">
        <v>0</v>
      </c>
      <c r="M307" t="n">
        <v>0</v>
      </c>
      <c r="N307" t="n">
        <v>0</v>
      </c>
      <c r="O307" t="n">
        <v>0</v>
      </c>
      <c r="P307" t="n">
        <v>0</v>
      </c>
      <c r="Q307" t="n">
        <v>0</v>
      </c>
      <c r="R307" s="2" t="inlineStr"/>
    </row>
    <row r="308" ht="15" customHeight="1">
      <c r="A308" t="inlineStr">
        <is>
          <t>A 5884-2025</t>
        </is>
      </c>
      <c r="B308" s="1" t="n">
        <v>45695.37482638889</v>
      </c>
      <c r="C308" s="1" t="n">
        <v>45934</v>
      </c>
      <c r="D308" t="inlineStr">
        <is>
          <t>GOTLANDS LÄN</t>
        </is>
      </c>
      <c r="E308" t="inlineStr">
        <is>
          <t>GOTLAND</t>
        </is>
      </c>
      <c r="G308" t="n">
        <v>2.1</v>
      </c>
      <c r="H308" t="n">
        <v>0</v>
      </c>
      <c r="I308" t="n">
        <v>0</v>
      </c>
      <c r="J308" t="n">
        <v>0</v>
      </c>
      <c r="K308" t="n">
        <v>0</v>
      </c>
      <c r="L308" t="n">
        <v>0</v>
      </c>
      <c r="M308" t="n">
        <v>0</v>
      </c>
      <c r="N308" t="n">
        <v>0</v>
      </c>
      <c r="O308" t="n">
        <v>0</v>
      </c>
      <c r="P308" t="n">
        <v>0</v>
      </c>
      <c r="Q308" t="n">
        <v>0</v>
      </c>
      <c r="R308" s="2" t="inlineStr"/>
    </row>
    <row r="309" ht="15" customHeight="1">
      <c r="A309" t="inlineStr">
        <is>
          <t>A 5897-2025</t>
        </is>
      </c>
      <c r="B309" s="1" t="n">
        <v>45695.39273148148</v>
      </c>
      <c r="C309" s="1" t="n">
        <v>45934</v>
      </c>
      <c r="D309" t="inlineStr">
        <is>
          <t>GOTLANDS LÄN</t>
        </is>
      </c>
      <c r="E309" t="inlineStr">
        <is>
          <t>GOTLAND</t>
        </is>
      </c>
      <c r="G309" t="n">
        <v>3.7</v>
      </c>
      <c r="H309" t="n">
        <v>0</v>
      </c>
      <c r="I309" t="n">
        <v>0</v>
      </c>
      <c r="J309" t="n">
        <v>0</v>
      </c>
      <c r="K309" t="n">
        <v>0</v>
      </c>
      <c r="L309" t="n">
        <v>0</v>
      </c>
      <c r="M309" t="n">
        <v>0</v>
      </c>
      <c r="N309" t="n">
        <v>0</v>
      </c>
      <c r="O309" t="n">
        <v>0</v>
      </c>
      <c r="P309" t="n">
        <v>0</v>
      </c>
      <c r="Q309" t="n">
        <v>0</v>
      </c>
      <c r="R309" s="2" t="inlineStr"/>
    </row>
    <row r="310" ht="15" customHeight="1">
      <c r="A310" t="inlineStr">
        <is>
          <t>A 5909-2025</t>
        </is>
      </c>
      <c r="B310" s="1" t="n">
        <v>45695.40634259259</v>
      </c>
      <c r="C310" s="1" t="n">
        <v>45934</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17343-2025</t>
        </is>
      </c>
      <c r="B311" s="1" t="n">
        <v>45756.6687037037</v>
      </c>
      <c r="C311" s="1" t="n">
        <v>45934</v>
      </c>
      <c r="D311" t="inlineStr">
        <is>
          <t>GOTLANDS LÄN</t>
        </is>
      </c>
      <c r="E311" t="inlineStr">
        <is>
          <t>GOTLAND</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60086-2022</t>
        </is>
      </c>
      <c r="B312" s="1" t="n">
        <v>44909</v>
      </c>
      <c r="C312" s="1" t="n">
        <v>45934</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22704-2023</t>
        </is>
      </c>
      <c r="B313" s="1" t="n">
        <v>45071</v>
      </c>
      <c r="C313" s="1" t="n">
        <v>45934</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18938-2025</t>
        </is>
      </c>
      <c r="B314" s="1" t="n">
        <v>45764.49172453704</v>
      </c>
      <c r="C314" s="1" t="n">
        <v>45934</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51782-2023</t>
        </is>
      </c>
      <c r="B315" s="1" t="n">
        <v>45222.80952546297</v>
      </c>
      <c r="C315" s="1" t="n">
        <v>45934</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20307-2025</t>
        </is>
      </c>
      <c r="B316" s="1" t="n">
        <v>45774.95546296296</v>
      </c>
      <c r="C316" s="1" t="n">
        <v>45934</v>
      </c>
      <c r="D316" t="inlineStr">
        <is>
          <t>GOTLANDS LÄN</t>
        </is>
      </c>
      <c r="E316" t="inlineStr">
        <is>
          <t>GOTLAND</t>
        </is>
      </c>
      <c r="G316" t="n">
        <v>6.8</v>
      </c>
      <c r="H316" t="n">
        <v>0</v>
      </c>
      <c r="I316" t="n">
        <v>0</v>
      </c>
      <c r="J316" t="n">
        <v>0</v>
      </c>
      <c r="K316" t="n">
        <v>0</v>
      </c>
      <c r="L316" t="n">
        <v>0</v>
      </c>
      <c r="M316" t="n">
        <v>0</v>
      </c>
      <c r="N316" t="n">
        <v>0</v>
      </c>
      <c r="O316" t="n">
        <v>0</v>
      </c>
      <c r="P316" t="n">
        <v>0</v>
      </c>
      <c r="Q316" t="n">
        <v>0</v>
      </c>
      <c r="R316" s="2" t="inlineStr"/>
    </row>
    <row r="317" ht="15" customHeight="1">
      <c r="A317" t="inlineStr">
        <is>
          <t>A 60675-2021</t>
        </is>
      </c>
      <c r="B317" s="1" t="n">
        <v>44496.64855324074</v>
      </c>
      <c r="C317" s="1" t="n">
        <v>45934</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24966-2023</t>
        </is>
      </c>
      <c r="B318" s="1" t="n">
        <v>45085</v>
      </c>
      <c r="C318" s="1" t="n">
        <v>45934</v>
      </c>
      <c r="D318" t="inlineStr">
        <is>
          <t>GOTLANDS LÄN</t>
        </is>
      </c>
      <c r="E318" t="inlineStr">
        <is>
          <t>GOTLAND</t>
        </is>
      </c>
      <c r="G318" t="n">
        <v>7</v>
      </c>
      <c r="H318" t="n">
        <v>0</v>
      </c>
      <c r="I318" t="n">
        <v>0</v>
      </c>
      <c r="J318" t="n">
        <v>0</v>
      </c>
      <c r="K318" t="n">
        <v>0</v>
      </c>
      <c r="L318" t="n">
        <v>0</v>
      </c>
      <c r="M318" t="n">
        <v>0</v>
      </c>
      <c r="N318" t="n">
        <v>0</v>
      </c>
      <c r="O318" t="n">
        <v>0</v>
      </c>
      <c r="P318" t="n">
        <v>0</v>
      </c>
      <c r="Q318" t="n">
        <v>0</v>
      </c>
      <c r="R318" s="2" t="inlineStr"/>
    </row>
    <row r="319" ht="15" customHeight="1">
      <c r="A319" t="inlineStr">
        <is>
          <t>A 57652-2023</t>
        </is>
      </c>
      <c r="B319" s="1" t="n">
        <v>45246</v>
      </c>
      <c r="C319" s="1" t="n">
        <v>45934</v>
      </c>
      <c r="D319" t="inlineStr">
        <is>
          <t>GOTLANDS LÄN</t>
        </is>
      </c>
      <c r="E319" t="inlineStr">
        <is>
          <t>GOTLAND</t>
        </is>
      </c>
      <c r="G319" t="n">
        <v>7.2</v>
      </c>
      <c r="H319" t="n">
        <v>0</v>
      </c>
      <c r="I319" t="n">
        <v>0</v>
      </c>
      <c r="J319" t="n">
        <v>0</v>
      </c>
      <c r="K319" t="n">
        <v>0</v>
      </c>
      <c r="L319" t="n">
        <v>0</v>
      </c>
      <c r="M319" t="n">
        <v>0</v>
      </c>
      <c r="N319" t="n">
        <v>0</v>
      </c>
      <c r="O319" t="n">
        <v>0</v>
      </c>
      <c r="P319" t="n">
        <v>0</v>
      </c>
      <c r="Q319" t="n">
        <v>0</v>
      </c>
      <c r="R319" s="2" t="inlineStr"/>
    </row>
    <row r="320" ht="15" customHeight="1">
      <c r="A320" t="inlineStr">
        <is>
          <t>A 46189-2022</t>
        </is>
      </c>
      <c r="B320" s="1" t="n">
        <v>44847</v>
      </c>
      <c r="C320" s="1" t="n">
        <v>45934</v>
      </c>
      <c r="D320" t="inlineStr">
        <is>
          <t>GOTLANDS LÄN</t>
        </is>
      </c>
      <c r="E320" t="inlineStr">
        <is>
          <t>GOTLAND</t>
        </is>
      </c>
      <c r="G320" t="n">
        <v>0.4</v>
      </c>
      <c r="H320" t="n">
        <v>0</v>
      </c>
      <c r="I320" t="n">
        <v>0</v>
      </c>
      <c r="J320" t="n">
        <v>0</v>
      </c>
      <c r="K320" t="n">
        <v>0</v>
      </c>
      <c r="L320" t="n">
        <v>0</v>
      </c>
      <c r="M320" t="n">
        <v>0</v>
      </c>
      <c r="N320" t="n">
        <v>0</v>
      </c>
      <c r="O320" t="n">
        <v>0</v>
      </c>
      <c r="P320" t="n">
        <v>0</v>
      </c>
      <c r="Q320" t="n">
        <v>0</v>
      </c>
      <c r="R320" s="2" t="inlineStr"/>
    </row>
    <row r="321" ht="15" customHeight="1">
      <c r="A321" t="inlineStr">
        <is>
          <t>A 5217-2023</t>
        </is>
      </c>
      <c r="B321" s="1" t="n">
        <v>44959.39582175926</v>
      </c>
      <c r="C321" s="1" t="n">
        <v>45934</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14638-2025</t>
        </is>
      </c>
      <c r="B322" s="1" t="n">
        <v>45742</v>
      </c>
      <c r="C322" s="1" t="n">
        <v>45934</v>
      </c>
      <c r="D322" t="inlineStr">
        <is>
          <t>GOTLANDS LÄN</t>
        </is>
      </c>
      <c r="E322" t="inlineStr">
        <is>
          <t>GOTLAND</t>
        </is>
      </c>
      <c r="G322" t="n">
        <v>13.4</v>
      </c>
      <c r="H322" t="n">
        <v>0</v>
      </c>
      <c r="I322" t="n">
        <v>0</v>
      </c>
      <c r="J322" t="n">
        <v>0</v>
      </c>
      <c r="K322" t="n">
        <v>0</v>
      </c>
      <c r="L322" t="n">
        <v>0</v>
      </c>
      <c r="M322" t="n">
        <v>0</v>
      </c>
      <c r="N322" t="n">
        <v>0</v>
      </c>
      <c r="O322" t="n">
        <v>0</v>
      </c>
      <c r="P322" t="n">
        <v>0</v>
      </c>
      <c r="Q322" t="n">
        <v>0</v>
      </c>
      <c r="R322" s="2" t="inlineStr"/>
    </row>
    <row r="323" ht="15" customHeight="1">
      <c r="A323" t="inlineStr">
        <is>
          <t>A 25866-2022</t>
        </is>
      </c>
      <c r="B323" s="1" t="n">
        <v>44733</v>
      </c>
      <c r="C323" s="1" t="n">
        <v>45934</v>
      </c>
      <c r="D323" t="inlineStr">
        <is>
          <t>GOTLANDS LÄN</t>
        </is>
      </c>
      <c r="E323" t="inlineStr">
        <is>
          <t>GOTLAND</t>
        </is>
      </c>
      <c r="G323" t="n">
        <v>2.9</v>
      </c>
      <c r="H323" t="n">
        <v>0</v>
      </c>
      <c r="I323" t="n">
        <v>0</v>
      </c>
      <c r="J323" t="n">
        <v>0</v>
      </c>
      <c r="K323" t="n">
        <v>0</v>
      </c>
      <c r="L323" t="n">
        <v>0</v>
      </c>
      <c r="M323" t="n">
        <v>0</v>
      </c>
      <c r="N323" t="n">
        <v>0</v>
      </c>
      <c r="O323" t="n">
        <v>0</v>
      </c>
      <c r="P323" t="n">
        <v>0</v>
      </c>
      <c r="Q323" t="n">
        <v>0</v>
      </c>
      <c r="R323" s="2" t="inlineStr"/>
    </row>
    <row r="324" ht="15" customHeight="1">
      <c r="A324" t="inlineStr">
        <is>
          <t>A 57522-2022</t>
        </is>
      </c>
      <c r="B324" s="1" t="n">
        <v>44896</v>
      </c>
      <c r="C324" s="1" t="n">
        <v>45934</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14797-2024</t>
        </is>
      </c>
      <c r="B325" s="1" t="n">
        <v>45397.87030092593</v>
      </c>
      <c r="C325" s="1" t="n">
        <v>45934</v>
      </c>
      <c r="D325" t="inlineStr">
        <is>
          <t>GOTLANDS LÄN</t>
        </is>
      </c>
      <c r="E325" t="inlineStr">
        <is>
          <t>GOTLAND</t>
        </is>
      </c>
      <c r="G325" t="n">
        <v>8.1</v>
      </c>
      <c r="H325" t="n">
        <v>0</v>
      </c>
      <c r="I325" t="n">
        <v>0</v>
      </c>
      <c r="J325" t="n">
        <v>0</v>
      </c>
      <c r="K325" t="n">
        <v>0</v>
      </c>
      <c r="L325" t="n">
        <v>0</v>
      </c>
      <c r="M325" t="n">
        <v>0</v>
      </c>
      <c r="N325" t="n">
        <v>0</v>
      </c>
      <c r="O325" t="n">
        <v>0</v>
      </c>
      <c r="P325" t="n">
        <v>0</v>
      </c>
      <c r="Q325" t="n">
        <v>0</v>
      </c>
      <c r="R325" s="2" t="inlineStr"/>
    </row>
    <row r="326" ht="15" customHeight="1">
      <c r="A326" t="inlineStr">
        <is>
          <t>A 4421-2024</t>
        </is>
      </c>
      <c r="B326" s="1" t="n">
        <v>45327.45173611111</v>
      </c>
      <c r="C326" s="1" t="n">
        <v>45934</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7837-2024</t>
        </is>
      </c>
      <c r="B327" s="1" t="n">
        <v>45349.83787037037</v>
      </c>
      <c r="C327" s="1" t="n">
        <v>45934</v>
      </c>
      <c r="D327" t="inlineStr">
        <is>
          <t>GOTLANDS LÄN</t>
        </is>
      </c>
      <c r="E327" t="inlineStr">
        <is>
          <t>GOTLAND</t>
        </is>
      </c>
      <c r="G327" t="n">
        <v>5</v>
      </c>
      <c r="H327" t="n">
        <v>0</v>
      </c>
      <c r="I327" t="n">
        <v>0</v>
      </c>
      <c r="J327" t="n">
        <v>0</v>
      </c>
      <c r="K327" t="n">
        <v>0</v>
      </c>
      <c r="L327" t="n">
        <v>0</v>
      </c>
      <c r="M327" t="n">
        <v>0</v>
      </c>
      <c r="N327" t="n">
        <v>0</v>
      </c>
      <c r="O327" t="n">
        <v>0</v>
      </c>
      <c r="P327" t="n">
        <v>0</v>
      </c>
      <c r="Q327" t="n">
        <v>0</v>
      </c>
      <c r="R327" s="2" t="inlineStr"/>
    </row>
    <row r="328" ht="15" customHeight="1">
      <c r="A328" t="inlineStr">
        <is>
          <t>A 20165-2022</t>
        </is>
      </c>
      <c r="B328" s="1" t="n">
        <v>44698.49854166667</v>
      </c>
      <c r="C328" s="1" t="n">
        <v>45934</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9887-2025</t>
        </is>
      </c>
      <c r="B329" s="1" t="n">
        <v>45716</v>
      </c>
      <c r="C329" s="1" t="n">
        <v>45934</v>
      </c>
      <c r="D329" t="inlineStr">
        <is>
          <t>GOTLANDS LÄN</t>
        </is>
      </c>
      <c r="E329" t="inlineStr">
        <is>
          <t>GOTLAND</t>
        </is>
      </c>
      <c r="G329" t="n">
        <v>7.5</v>
      </c>
      <c r="H329" t="n">
        <v>0</v>
      </c>
      <c r="I329" t="n">
        <v>0</v>
      </c>
      <c r="J329" t="n">
        <v>0</v>
      </c>
      <c r="K329" t="n">
        <v>0</v>
      </c>
      <c r="L329" t="n">
        <v>0</v>
      </c>
      <c r="M329" t="n">
        <v>0</v>
      </c>
      <c r="N329" t="n">
        <v>0</v>
      </c>
      <c r="O329" t="n">
        <v>0</v>
      </c>
      <c r="P329" t="n">
        <v>0</v>
      </c>
      <c r="Q329" t="n">
        <v>0</v>
      </c>
      <c r="R329" s="2" t="inlineStr"/>
    </row>
    <row r="330" ht="15" customHeight="1">
      <c r="A330" t="inlineStr">
        <is>
          <t>A 12209-2024</t>
        </is>
      </c>
      <c r="B330" s="1" t="n">
        <v>45378</v>
      </c>
      <c r="C330" s="1" t="n">
        <v>45934</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12210-2024</t>
        </is>
      </c>
      <c r="B331" s="1" t="n">
        <v>45378</v>
      </c>
      <c r="C331" s="1" t="n">
        <v>45934</v>
      </c>
      <c r="D331" t="inlineStr">
        <is>
          <t>GOTLANDS LÄN</t>
        </is>
      </c>
      <c r="E331" t="inlineStr">
        <is>
          <t>GOTLAND</t>
        </is>
      </c>
      <c r="G331" t="n">
        <v>4.1</v>
      </c>
      <c r="H331" t="n">
        <v>0</v>
      </c>
      <c r="I331" t="n">
        <v>0</v>
      </c>
      <c r="J331" t="n">
        <v>0</v>
      </c>
      <c r="K331" t="n">
        <v>0</v>
      </c>
      <c r="L331" t="n">
        <v>0</v>
      </c>
      <c r="M331" t="n">
        <v>0</v>
      </c>
      <c r="N331" t="n">
        <v>0</v>
      </c>
      <c r="O331" t="n">
        <v>0</v>
      </c>
      <c r="P331" t="n">
        <v>0</v>
      </c>
      <c r="Q331" t="n">
        <v>0</v>
      </c>
      <c r="R331" s="2" t="inlineStr"/>
    </row>
    <row r="332" ht="15" customHeight="1">
      <c r="A332" t="inlineStr">
        <is>
          <t>A 1394-2023</t>
        </is>
      </c>
      <c r="B332" s="1" t="n">
        <v>44936.72997685185</v>
      </c>
      <c r="C332" s="1" t="n">
        <v>45934</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59986-2022</t>
        </is>
      </c>
      <c r="B333" s="1" t="n">
        <v>44909</v>
      </c>
      <c r="C333" s="1" t="n">
        <v>45934</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2676-2023</t>
        </is>
      </c>
      <c r="B334" s="1" t="n">
        <v>44944</v>
      </c>
      <c r="C334" s="1" t="n">
        <v>45934</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4387-2023</t>
        </is>
      </c>
      <c r="B335" s="1" t="n">
        <v>44955.73359953704</v>
      </c>
      <c r="C335" s="1" t="n">
        <v>45934</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31264-2021</t>
        </is>
      </c>
      <c r="B336" s="1" t="n">
        <v>44368</v>
      </c>
      <c r="C336" s="1" t="n">
        <v>45934</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49411-2023</t>
        </is>
      </c>
      <c r="B337" s="1" t="n">
        <v>45205</v>
      </c>
      <c r="C337" s="1" t="n">
        <v>45934</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37728-2024</t>
        </is>
      </c>
      <c r="B338" s="1" t="n">
        <v>45541</v>
      </c>
      <c r="C338" s="1" t="n">
        <v>45934</v>
      </c>
      <c r="D338" t="inlineStr">
        <is>
          <t>GOTLANDS LÄN</t>
        </is>
      </c>
      <c r="E338" t="inlineStr">
        <is>
          <t>GOTLAND</t>
        </is>
      </c>
      <c r="G338" t="n">
        <v>0.4</v>
      </c>
      <c r="H338" t="n">
        <v>0</v>
      </c>
      <c r="I338" t="n">
        <v>0</v>
      </c>
      <c r="J338" t="n">
        <v>0</v>
      </c>
      <c r="K338" t="n">
        <v>0</v>
      </c>
      <c r="L338" t="n">
        <v>0</v>
      </c>
      <c r="M338" t="n">
        <v>0</v>
      </c>
      <c r="N338" t="n">
        <v>0</v>
      </c>
      <c r="O338" t="n">
        <v>0</v>
      </c>
      <c r="P338" t="n">
        <v>0</v>
      </c>
      <c r="Q338" t="n">
        <v>0</v>
      </c>
      <c r="R338" s="2" t="inlineStr"/>
    </row>
    <row r="339" ht="15" customHeight="1">
      <c r="A339" t="inlineStr">
        <is>
          <t>A 33876-2024</t>
        </is>
      </c>
      <c r="B339" s="1" t="n">
        <v>45521.87988425926</v>
      </c>
      <c r="C339" s="1" t="n">
        <v>45934</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2241-2025</t>
        </is>
      </c>
      <c r="B340" s="1" t="n">
        <v>45673.48710648148</v>
      </c>
      <c r="C340" s="1" t="n">
        <v>45934</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16373-2025</t>
        </is>
      </c>
      <c r="B341" s="1" t="n">
        <v>45751</v>
      </c>
      <c r="C341" s="1" t="n">
        <v>45934</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18993-2025</t>
        </is>
      </c>
      <c r="B342" s="1" t="n">
        <v>45764</v>
      </c>
      <c r="C342" s="1" t="n">
        <v>45934</v>
      </c>
      <c r="D342" t="inlineStr">
        <is>
          <t>GOTLANDS LÄN</t>
        </is>
      </c>
      <c r="E342" t="inlineStr">
        <is>
          <t>GOTLAND</t>
        </is>
      </c>
      <c r="G342" t="n">
        <v>3</v>
      </c>
      <c r="H342" t="n">
        <v>0</v>
      </c>
      <c r="I342" t="n">
        <v>0</v>
      </c>
      <c r="J342" t="n">
        <v>0</v>
      </c>
      <c r="K342" t="n">
        <v>0</v>
      </c>
      <c r="L342" t="n">
        <v>0</v>
      </c>
      <c r="M342" t="n">
        <v>0</v>
      </c>
      <c r="N342" t="n">
        <v>0</v>
      </c>
      <c r="O342" t="n">
        <v>0</v>
      </c>
      <c r="P342" t="n">
        <v>0</v>
      </c>
      <c r="Q342" t="n">
        <v>0</v>
      </c>
      <c r="R342" s="2" t="inlineStr"/>
    </row>
    <row r="343" ht="15" customHeight="1">
      <c r="A343" t="inlineStr">
        <is>
          <t>A 30135-2025</t>
        </is>
      </c>
      <c r="B343" s="1" t="n">
        <v>45826</v>
      </c>
      <c r="C343" s="1" t="n">
        <v>45934</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43223-2023</t>
        </is>
      </c>
      <c r="B344" s="1" t="n">
        <v>45183.45642361111</v>
      </c>
      <c r="C344" s="1" t="n">
        <v>45934</v>
      </c>
      <c r="D344" t="inlineStr">
        <is>
          <t>GOTLANDS LÄN</t>
        </is>
      </c>
      <c r="E344" t="inlineStr">
        <is>
          <t>GOTLAND</t>
        </is>
      </c>
      <c r="G344" t="n">
        <v>1.8</v>
      </c>
      <c r="H344" t="n">
        <v>0</v>
      </c>
      <c r="I344" t="n">
        <v>0</v>
      </c>
      <c r="J344" t="n">
        <v>0</v>
      </c>
      <c r="K344" t="n">
        <v>0</v>
      </c>
      <c r="L344" t="n">
        <v>0</v>
      </c>
      <c r="M344" t="n">
        <v>0</v>
      </c>
      <c r="N344" t="n">
        <v>0</v>
      </c>
      <c r="O344" t="n">
        <v>0</v>
      </c>
      <c r="P344" t="n">
        <v>0</v>
      </c>
      <c r="Q344" t="n">
        <v>0</v>
      </c>
      <c r="R344" s="2" t="inlineStr"/>
    </row>
    <row r="345" ht="15" customHeight="1">
      <c r="A345" t="inlineStr">
        <is>
          <t>A 61962-2024</t>
        </is>
      </c>
      <c r="B345" s="1" t="n">
        <v>45653.54340277778</v>
      </c>
      <c r="C345" s="1" t="n">
        <v>45934</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31802-2024</t>
        </is>
      </c>
      <c r="B346" s="1" t="n">
        <v>45509</v>
      </c>
      <c r="C346" s="1" t="n">
        <v>45934</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20993-2023</t>
        </is>
      </c>
      <c r="B347" s="1" t="n">
        <v>45056</v>
      </c>
      <c r="C347" s="1" t="n">
        <v>45934</v>
      </c>
      <c r="D347" t="inlineStr">
        <is>
          <t>GOTLANDS LÄN</t>
        </is>
      </c>
      <c r="E347" t="inlineStr">
        <is>
          <t>GOTLAND</t>
        </is>
      </c>
      <c r="G347" t="n">
        <v>7.1</v>
      </c>
      <c r="H347" t="n">
        <v>0</v>
      </c>
      <c r="I347" t="n">
        <v>0</v>
      </c>
      <c r="J347" t="n">
        <v>0</v>
      </c>
      <c r="K347" t="n">
        <v>0</v>
      </c>
      <c r="L347" t="n">
        <v>0</v>
      </c>
      <c r="M347" t="n">
        <v>0</v>
      </c>
      <c r="N347" t="n">
        <v>0</v>
      </c>
      <c r="O347" t="n">
        <v>0</v>
      </c>
      <c r="P347" t="n">
        <v>0</v>
      </c>
      <c r="Q347" t="n">
        <v>0</v>
      </c>
      <c r="R347" s="2" t="inlineStr"/>
    </row>
    <row r="348" ht="15" customHeight="1">
      <c r="A348" t="inlineStr">
        <is>
          <t>A 15042-2025</t>
        </is>
      </c>
      <c r="B348" s="1" t="n">
        <v>45743</v>
      </c>
      <c r="C348" s="1" t="n">
        <v>45934</v>
      </c>
      <c r="D348" t="inlineStr">
        <is>
          <t>GOTLANDS LÄN</t>
        </is>
      </c>
      <c r="E348" t="inlineStr">
        <is>
          <t>GOTLAND</t>
        </is>
      </c>
      <c r="G348" t="n">
        <v>8.5</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45934</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27930-2021</t>
        </is>
      </c>
      <c r="B350" s="1" t="n">
        <v>44354</v>
      </c>
      <c r="C350" s="1" t="n">
        <v>45934</v>
      </c>
      <c r="D350" t="inlineStr">
        <is>
          <t>GOTLANDS LÄN</t>
        </is>
      </c>
      <c r="E350" t="inlineStr">
        <is>
          <t>GOTLAND</t>
        </is>
      </c>
      <c r="G350" t="n">
        <v>2.5</v>
      </c>
      <c r="H350" t="n">
        <v>0</v>
      </c>
      <c r="I350" t="n">
        <v>0</v>
      </c>
      <c r="J350" t="n">
        <v>0</v>
      </c>
      <c r="K350" t="n">
        <v>0</v>
      </c>
      <c r="L350" t="n">
        <v>0</v>
      </c>
      <c r="M350" t="n">
        <v>0</v>
      </c>
      <c r="N350" t="n">
        <v>0</v>
      </c>
      <c r="O350" t="n">
        <v>0</v>
      </c>
      <c r="P350" t="n">
        <v>0</v>
      </c>
      <c r="Q350" t="n">
        <v>0</v>
      </c>
      <c r="R350" s="2" t="inlineStr"/>
    </row>
    <row r="351" ht="15" customHeight="1">
      <c r="A351" t="inlineStr">
        <is>
          <t>A 59469-2024</t>
        </is>
      </c>
      <c r="B351" s="1" t="n">
        <v>45638</v>
      </c>
      <c r="C351" s="1" t="n">
        <v>45934</v>
      </c>
      <c r="D351" t="inlineStr">
        <is>
          <t>GOTLANDS LÄN</t>
        </is>
      </c>
      <c r="E351" t="inlineStr">
        <is>
          <t>GOTLAND</t>
        </is>
      </c>
      <c r="G351" t="n">
        <v>0.4</v>
      </c>
      <c r="H351" t="n">
        <v>0</v>
      </c>
      <c r="I351" t="n">
        <v>0</v>
      </c>
      <c r="J351" t="n">
        <v>0</v>
      </c>
      <c r="K351" t="n">
        <v>0</v>
      </c>
      <c r="L351" t="n">
        <v>0</v>
      </c>
      <c r="M351" t="n">
        <v>0</v>
      </c>
      <c r="N351" t="n">
        <v>0</v>
      </c>
      <c r="O351" t="n">
        <v>0</v>
      </c>
      <c r="P351" t="n">
        <v>0</v>
      </c>
      <c r="Q351" t="n">
        <v>0</v>
      </c>
      <c r="R351" s="2" t="inlineStr"/>
    </row>
    <row r="352" ht="15" customHeight="1">
      <c r="A352" t="inlineStr">
        <is>
          <t>A 12327-2025</t>
        </is>
      </c>
      <c r="B352" s="1" t="n">
        <v>45730</v>
      </c>
      <c r="C352" s="1" t="n">
        <v>45934</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4420-2025</t>
        </is>
      </c>
      <c r="B353" s="1" t="n">
        <v>45686.47157407407</v>
      </c>
      <c r="C353" s="1" t="n">
        <v>45934</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5751-2024</t>
        </is>
      </c>
      <c r="B354" s="1" t="n">
        <v>45335.32702546296</v>
      </c>
      <c r="C354" s="1" t="n">
        <v>45934</v>
      </c>
      <c r="D354" t="inlineStr">
        <is>
          <t>GOTLANDS LÄN</t>
        </is>
      </c>
      <c r="E354" t="inlineStr">
        <is>
          <t>GOTLAND</t>
        </is>
      </c>
      <c r="G354" t="n">
        <v>4.2</v>
      </c>
      <c r="H354" t="n">
        <v>0</v>
      </c>
      <c r="I354" t="n">
        <v>0</v>
      </c>
      <c r="J354" t="n">
        <v>0</v>
      </c>
      <c r="K354" t="n">
        <v>0</v>
      </c>
      <c r="L354" t="n">
        <v>0</v>
      </c>
      <c r="M354" t="n">
        <v>0</v>
      </c>
      <c r="N354" t="n">
        <v>0</v>
      </c>
      <c r="O354" t="n">
        <v>0</v>
      </c>
      <c r="P354" t="n">
        <v>0</v>
      </c>
      <c r="Q354" t="n">
        <v>0</v>
      </c>
      <c r="R354" s="2" t="inlineStr"/>
    </row>
    <row r="355" ht="15" customHeight="1">
      <c r="A355" t="inlineStr">
        <is>
          <t>A 6696-2023</t>
        </is>
      </c>
      <c r="B355" s="1" t="n">
        <v>44966.66425925926</v>
      </c>
      <c r="C355" s="1" t="n">
        <v>45934</v>
      </c>
      <c r="D355" t="inlineStr">
        <is>
          <t>GOTLANDS LÄN</t>
        </is>
      </c>
      <c r="E355" t="inlineStr">
        <is>
          <t>GOTLAND</t>
        </is>
      </c>
      <c r="G355" t="n">
        <v>1.5</v>
      </c>
      <c r="H355" t="n">
        <v>0</v>
      </c>
      <c r="I355" t="n">
        <v>0</v>
      </c>
      <c r="J355" t="n">
        <v>0</v>
      </c>
      <c r="K355" t="n">
        <v>0</v>
      </c>
      <c r="L355" t="n">
        <v>0</v>
      </c>
      <c r="M355" t="n">
        <v>0</v>
      </c>
      <c r="N355" t="n">
        <v>0</v>
      </c>
      <c r="O355" t="n">
        <v>0</v>
      </c>
      <c r="P355" t="n">
        <v>0</v>
      </c>
      <c r="Q355" t="n">
        <v>0</v>
      </c>
      <c r="R355" s="2" t="inlineStr"/>
    </row>
    <row r="356" ht="15" customHeight="1">
      <c r="A356" t="inlineStr">
        <is>
          <t>A 14427-2024</t>
        </is>
      </c>
      <c r="B356" s="1" t="n">
        <v>45394</v>
      </c>
      <c r="C356" s="1" t="n">
        <v>45934</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28480-2023</t>
        </is>
      </c>
      <c r="B357" s="1" t="n">
        <v>45103</v>
      </c>
      <c r="C357" s="1" t="n">
        <v>45934</v>
      </c>
      <c r="D357" t="inlineStr">
        <is>
          <t>GOTLANDS LÄN</t>
        </is>
      </c>
      <c r="E357" t="inlineStr">
        <is>
          <t>GOTLAND</t>
        </is>
      </c>
      <c r="G357" t="n">
        <v>5.7</v>
      </c>
      <c r="H357" t="n">
        <v>0</v>
      </c>
      <c r="I357" t="n">
        <v>0</v>
      </c>
      <c r="J357" t="n">
        <v>0</v>
      </c>
      <c r="K357" t="n">
        <v>0</v>
      </c>
      <c r="L357" t="n">
        <v>0</v>
      </c>
      <c r="M357" t="n">
        <v>0</v>
      </c>
      <c r="N357" t="n">
        <v>0</v>
      </c>
      <c r="O357" t="n">
        <v>0</v>
      </c>
      <c r="P357" t="n">
        <v>0</v>
      </c>
      <c r="Q357" t="n">
        <v>0</v>
      </c>
      <c r="R357" s="2" t="inlineStr"/>
    </row>
    <row r="358" ht="15" customHeight="1">
      <c r="A358" t="inlineStr">
        <is>
          <t>A 28485-2023</t>
        </is>
      </c>
      <c r="B358" s="1" t="n">
        <v>45103.43731481482</v>
      </c>
      <c r="C358" s="1" t="n">
        <v>45934</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4990-2025</t>
        </is>
      </c>
      <c r="B359" s="1" t="n">
        <v>45691</v>
      </c>
      <c r="C359" s="1" t="n">
        <v>45934</v>
      </c>
      <c r="D359" t="inlineStr">
        <is>
          <t>GOTLANDS LÄN</t>
        </is>
      </c>
      <c r="E359" t="inlineStr">
        <is>
          <t>GOTLAND</t>
        </is>
      </c>
      <c r="G359" t="n">
        <v>7.7</v>
      </c>
      <c r="H359" t="n">
        <v>0</v>
      </c>
      <c r="I359" t="n">
        <v>0</v>
      </c>
      <c r="J359" t="n">
        <v>0</v>
      </c>
      <c r="K359" t="n">
        <v>0</v>
      </c>
      <c r="L359" t="n">
        <v>0</v>
      </c>
      <c r="M359" t="n">
        <v>0</v>
      </c>
      <c r="N359" t="n">
        <v>0</v>
      </c>
      <c r="O359" t="n">
        <v>0</v>
      </c>
      <c r="P359" t="n">
        <v>0</v>
      </c>
      <c r="Q359" t="n">
        <v>0</v>
      </c>
      <c r="R359" s="2" t="inlineStr"/>
    </row>
    <row r="360" ht="15" customHeight="1">
      <c r="A360" t="inlineStr">
        <is>
          <t>A 12599-2025</t>
        </is>
      </c>
      <c r="B360" s="1" t="n">
        <v>45733.29546296296</v>
      </c>
      <c r="C360" s="1" t="n">
        <v>45934</v>
      </c>
      <c r="D360" t="inlineStr">
        <is>
          <t>GOTLANDS LÄN</t>
        </is>
      </c>
      <c r="E360" t="inlineStr">
        <is>
          <t>GOTLAND</t>
        </is>
      </c>
      <c r="G360" t="n">
        <v>4.7</v>
      </c>
      <c r="H360" t="n">
        <v>0</v>
      </c>
      <c r="I360" t="n">
        <v>0</v>
      </c>
      <c r="J360" t="n">
        <v>0</v>
      </c>
      <c r="K360" t="n">
        <v>0</v>
      </c>
      <c r="L360" t="n">
        <v>0</v>
      </c>
      <c r="M360" t="n">
        <v>0</v>
      </c>
      <c r="N360" t="n">
        <v>0</v>
      </c>
      <c r="O360" t="n">
        <v>0</v>
      </c>
      <c r="P360" t="n">
        <v>0</v>
      </c>
      <c r="Q360" t="n">
        <v>0</v>
      </c>
      <c r="R360" s="2" t="inlineStr"/>
    </row>
    <row r="361" ht="15" customHeight="1">
      <c r="A361" t="inlineStr">
        <is>
          <t>A 38165-2023</t>
        </is>
      </c>
      <c r="B361" s="1" t="n">
        <v>45161</v>
      </c>
      <c r="C361" s="1" t="n">
        <v>45934</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49257-2024</t>
        </is>
      </c>
      <c r="B362" s="1" t="n">
        <v>45595.47627314815</v>
      </c>
      <c r="C362" s="1" t="n">
        <v>45934</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22275-2023</t>
        </is>
      </c>
      <c r="B363" s="1" t="n">
        <v>45070.39875</v>
      </c>
      <c r="C363" s="1" t="n">
        <v>45934</v>
      </c>
      <c r="D363" t="inlineStr">
        <is>
          <t>GOTLANDS LÄN</t>
        </is>
      </c>
      <c r="E363" t="inlineStr">
        <is>
          <t>GOTLAND</t>
        </is>
      </c>
      <c r="G363" t="n">
        <v>7.2</v>
      </c>
      <c r="H363" t="n">
        <v>0</v>
      </c>
      <c r="I363" t="n">
        <v>0</v>
      </c>
      <c r="J363" t="n">
        <v>0</v>
      </c>
      <c r="K363" t="n">
        <v>0</v>
      </c>
      <c r="L363" t="n">
        <v>0</v>
      </c>
      <c r="M363" t="n">
        <v>0</v>
      </c>
      <c r="N363" t="n">
        <v>0</v>
      </c>
      <c r="O363" t="n">
        <v>0</v>
      </c>
      <c r="P363" t="n">
        <v>0</v>
      </c>
      <c r="Q363" t="n">
        <v>0</v>
      </c>
      <c r="R363" s="2" t="inlineStr"/>
    </row>
    <row r="364" ht="15" customHeight="1">
      <c r="A364" t="inlineStr">
        <is>
          <t>A 49315-2024</t>
        </is>
      </c>
      <c r="B364" s="1" t="n">
        <v>45595</v>
      </c>
      <c r="C364" s="1" t="n">
        <v>45934</v>
      </c>
      <c r="D364" t="inlineStr">
        <is>
          <t>GOTLANDS LÄN</t>
        </is>
      </c>
      <c r="E364" t="inlineStr">
        <is>
          <t>GOTLAND</t>
        </is>
      </c>
      <c r="G364" t="n">
        <v>1.5</v>
      </c>
      <c r="H364" t="n">
        <v>0</v>
      </c>
      <c r="I364" t="n">
        <v>0</v>
      </c>
      <c r="J364" t="n">
        <v>0</v>
      </c>
      <c r="K364" t="n">
        <v>0</v>
      </c>
      <c r="L364" t="n">
        <v>0</v>
      </c>
      <c r="M364" t="n">
        <v>0</v>
      </c>
      <c r="N364" t="n">
        <v>0</v>
      </c>
      <c r="O364" t="n">
        <v>0</v>
      </c>
      <c r="P364" t="n">
        <v>0</v>
      </c>
      <c r="Q364" t="n">
        <v>0</v>
      </c>
      <c r="R364" s="2" t="inlineStr"/>
    </row>
    <row r="365" ht="15" customHeight="1">
      <c r="A365" t="inlineStr">
        <is>
          <t>A 14635-2023</t>
        </is>
      </c>
      <c r="B365" s="1" t="n">
        <v>45013.69365740741</v>
      </c>
      <c r="C365" s="1" t="n">
        <v>45934</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45934</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7635-2025</t>
        </is>
      </c>
      <c r="B367" s="1" t="n">
        <v>45705</v>
      </c>
      <c r="C367" s="1" t="n">
        <v>45934</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7636-2025</t>
        </is>
      </c>
      <c r="B368" s="1" t="n">
        <v>45705.7687962963</v>
      </c>
      <c r="C368" s="1" t="n">
        <v>45934</v>
      </c>
      <c r="D368" t="inlineStr">
        <is>
          <t>GOTLANDS LÄN</t>
        </is>
      </c>
      <c r="E368" t="inlineStr">
        <is>
          <t>GOTLAND</t>
        </is>
      </c>
      <c r="G368" t="n">
        <v>0.6</v>
      </c>
      <c r="H368" t="n">
        <v>0</v>
      </c>
      <c r="I368" t="n">
        <v>0</v>
      </c>
      <c r="J368" t="n">
        <v>0</v>
      </c>
      <c r="K368" t="n">
        <v>0</v>
      </c>
      <c r="L368" t="n">
        <v>0</v>
      </c>
      <c r="M368" t="n">
        <v>0</v>
      </c>
      <c r="N368" t="n">
        <v>0</v>
      </c>
      <c r="O368" t="n">
        <v>0</v>
      </c>
      <c r="P368" t="n">
        <v>0</v>
      </c>
      <c r="Q368" t="n">
        <v>0</v>
      </c>
      <c r="R368" s="2" t="inlineStr"/>
    </row>
    <row r="369" ht="15" customHeight="1">
      <c r="A369" t="inlineStr">
        <is>
          <t>A 7639-2025</t>
        </is>
      </c>
      <c r="B369" s="1" t="n">
        <v>45705.77465277778</v>
      </c>
      <c r="C369" s="1" t="n">
        <v>45934</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61682-2024</t>
        </is>
      </c>
      <c r="B370" s="1" t="n">
        <v>45647.48824074074</v>
      </c>
      <c r="C370" s="1" t="n">
        <v>45934</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15434-2024</t>
        </is>
      </c>
      <c r="B371" s="1" t="n">
        <v>45401.38836805556</v>
      </c>
      <c r="C371" s="1" t="n">
        <v>45934</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49693-2023</t>
        </is>
      </c>
      <c r="B372" s="1" t="n">
        <v>45212.38138888889</v>
      </c>
      <c r="C372" s="1" t="n">
        <v>45934</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49697-2023</t>
        </is>
      </c>
      <c r="B373" s="1" t="n">
        <v>45212.38909722222</v>
      </c>
      <c r="C373" s="1" t="n">
        <v>45934</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7034-2023</t>
        </is>
      </c>
      <c r="B374" s="1" t="n">
        <v>44968.32108796296</v>
      </c>
      <c r="C374" s="1" t="n">
        <v>45934</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7042-2023</t>
        </is>
      </c>
      <c r="B375" s="1" t="n">
        <v>44968</v>
      </c>
      <c r="C375" s="1" t="n">
        <v>45934</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34312-2024</t>
        </is>
      </c>
      <c r="B376" s="1" t="n">
        <v>45524.69703703704</v>
      </c>
      <c r="C376" s="1" t="n">
        <v>45934</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2180-2025</t>
        </is>
      </c>
      <c r="B377" s="1" t="n">
        <v>45673</v>
      </c>
      <c r="C377" s="1" t="n">
        <v>45934</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27596-2023</t>
        </is>
      </c>
      <c r="B378" s="1" t="n">
        <v>45097</v>
      </c>
      <c r="C378" s="1" t="n">
        <v>45934</v>
      </c>
      <c r="D378" t="inlineStr">
        <is>
          <t>GOTLANDS LÄN</t>
        </is>
      </c>
      <c r="E378" t="inlineStr">
        <is>
          <t>GOTLAND</t>
        </is>
      </c>
      <c r="G378" t="n">
        <v>3.6</v>
      </c>
      <c r="H378" t="n">
        <v>0</v>
      </c>
      <c r="I378" t="n">
        <v>0</v>
      </c>
      <c r="J378" t="n">
        <v>0</v>
      </c>
      <c r="K378" t="n">
        <v>0</v>
      </c>
      <c r="L378" t="n">
        <v>0</v>
      </c>
      <c r="M378" t="n">
        <v>0</v>
      </c>
      <c r="N378" t="n">
        <v>0</v>
      </c>
      <c r="O378" t="n">
        <v>0</v>
      </c>
      <c r="P378" t="n">
        <v>0</v>
      </c>
      <c r="Q378" t="n">
        <v>0</v>
      </c>
      <c r="R378" s="2" t="inlineStr"/>
    </row>
    <row r="379" ht="15" customHeight="1">
      <c r="A379" t="inlineStr">
        <is>
          <t>A 48503-2023</t>
        </is>
      </c>
      <c r="B379" s="1" t="n">
        <v>45207</v>
      </c>
      <c r="C379" s="1" t="n">
        <v>45934</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56115-2023</t>
        </is>
      </c>
      <c r="B380" s="1" t="n">
        <v>45236</v>
      </c>
      <c r="C380" s="1" t="n">
        <v>45934</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64969-2023</t>
        </is>
      </c>
      <c r="B381" s="1" t="n">
        <v>45284.54009259259</v>
      </c>
      <c r="C381" s="1" t="n">
        <v>45934</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33853-2024</t>
        </is>
      </c>
      <c r="B382" s="1" t="n">
        <v>45520.64298611111</v>
      </c>
      <c r="C382" s="1" t="n">
        <v>45934</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54074-2022</t>
        </is>
      </c>
      <c r="B383" s="1" t="n">
        <v>44881</v>
      </c>
      <c r="C383" s="1" t="n">
        <v>45934</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24825-2024</t>
        </is>
      </c>
      <c r="B384" s="1" t="n">
        <v>45461</v>
      </c>
      <c r="C384" s="1" t="n">
        <v>45934</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61694-2023</t>
        </is>
      </c>
      <c r="B385" s="1" t="n">
        <v>45264</v>
      </c>
      <c r="C385" s="1" t="n">
        <v>45934</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20356-2022</t>
        </is>
      </c>
      <c r="B386" s="1" t="n">
        <v>44699</v>
      </c>
      <c r="C386" s="1" t="n">
        <v>45934</v>
      </c>
      <c r="D386" t="inlineStr">
        <is>
          <t>GOTLANDS LÄN</t>
        </is>
      </c>
      <c r="E386" t="inlineStr">
        <is>
          <t>GOTLAND</t>
        </is>
      </c>
      <c r="F386" t="inlineStr">
        <is>
          <t>Övriga Aktiebolag</t>
        </is>
      </c>
      <c r="G386" t="n">
        <v>4.4</v>
      </c>
      <c r="H386" t="n">
        <v>0</v>
      </c>
      <c r="I386" t="n">
        <v>0</v>
      </c>
      <c r="J386" t="n">
        <v>0</v>
      </c>
      <c r="K386" t="n">
        <v>0</v>
      </c>
      <c r="L386" t="n">
        <v>0</v>
      </c>
      <c r="M386" t="n">
        <v>0</v>
      </c>
      <c r="N386" t="n">
        <v>0</v>
      </c>
      <c r="O386" t="n">
        <v>0</v>
      </c>
      <c r="P386" t="n">
        <v>0</v>
      </c>
      <c r="Q386" t="n">
        <v>0</v>
      </c>
      <c r="R386" s="2" t="inlineStr"/>
    </row>
    <row r="387" ht="15" customHeight="1">
      <c r="A387" t="inlineStr">
        <is>
          <t>A 18223-2025</t>
        </is>
      </c>
      <c r="B387" s="1" t="n">
        <v>45761</v>
      </c>
      <c r="C387" s="1" t="n">
        <v>45934</v>
      </c>
      <c r="D387" t="inlineStr">
        <is>
          <t>GOTLANDS LÄN</t>
        </is>
      </c>
      <c r="E387" t="inlineStr">
        <is>
          <t>GOTLAND</t>
        </is>
      </c>
      <c r="G387" t="n">
        <v>0.7</v>
      </c>
      <c r="H387" t="n">
        <v>0</v>
      </c>
      <c r="I387" t="n">
        <v>0</v>
      </c>
      <c r="J387" t="n">
        <v>0</v>
      </c>
      <c r="K387" t="n">
        <v>0</v>
      </c>
      <c r="L387" t="n">
        <v>0</v>
      </c>
      <c r="M387" t="n">
        <v>0</v>
      </c>
      <c r="N387" t="n">
        <v>0</v>
      </c>
      <c r="O387" t="n">
        <v>0</v>
      </c>
      <c r="P387" t="n">
        <v>0</v>
      </c>
      <c r="Q387" t="n">
        <v>0</v>
      </c>
      <c r="R387" s="2" t="inlineStr"/>
    </row>
    <row r="388" ht="15" customHeight="1">
      <c r="A388" t="inlineStr">
        <is>
          <t>A 64208-2021</t>
        </is>
      </c>
      <c r="B388" s="1" t="n">
        <v>44510</v>
      </c>
      <c r="C388" s="1" t="n">
        <v>45934</v>
      </c>
      <c r="D388" t="inlineStr">
        <is>
          <t>GOTLANDS LÄN</t>
        </is>
      </c>
      <c r="E388" t="inlineStr">
        <is>
          <t>GOTLAND</t>
        </is>
      </c>
      <c r="G388" t="n">
        <v>4.7</v>
      </c>
      <c r="H388" t="n">
        <v>0</v>
      </c>
      <c r="I388" t="n">
        <v>0</v>
      </c>
      <c r="J388" t="n">
        <v>0</v>
      </c>
      <c r="K388" t="n">
        <v>0</v>
      </c>
      <c r="L388" t="n">
        <v>0</v>
      </c>
      <c r="M388" t="n">
        <v>0</v>
      </c>
      <c r="N388" t="n">
        <v>0</v>
      </c>
      <c r="O388" t="n">
        <v>0</v>
      </c>
      <c r="P388" t="n">
        <v>0</v>
      </c>
      <c r="Q388" t="n">
        <v>0</v>
      </c>
      <c r="R388" s="2" t="inlineStr"/>
    </row>
    <row r="389" ht="15" customHeight="1">
      <c r="A389" t="inlineStr">
        <is>
          <t>A 46949-2024</t>
        </is>
      </c>
      <c r="B389" s="1" t="n">
        <v>45585</v>
      </c>
      <c r="C389" s="1" t="n">
        <v>45934</v>
      </c>
      <c r="D389" t="inlineStr">
        <is>
          <t>GOTLANDS LÄN</t>
        </is>
      </c>
      <c r="E389" t="inlineStr">
        <is>
          <t>GOTLAND</t>
        </is>
      </c>
      <c r="G389" t="n">
        <v>0.6</v>
      </c>
      <c r="H389" t="n">
        <v>0</v>
      </c>
      <c r="I389" t="n">
        <v>0</v>
      </c>
      <c r="J389" t="n">
        <v>0</v>
      </c>
      <c r="K389" t="n">
        <v>0</v>
      </c>
      <c r="L389" t="n">
        <v>0</v>
      </c>
      <c r="M389" t="n">
        <v>0</v>
      </c>
      <c r="N389" t="n">
        <v>0</v>
      </c>
      <c r="O389" t="n">
        <v>0</v>
      </c>
      <c r="P389" t="n">
        <v>0</v>
      </c>
      <c r="Q389" t="n">
        <v>0</v>
      </c>
      <c r="R389" s="2" t="inlineStr"/>
    </row>
    <row r="390" ht="15" customHeight="1">
      <c r="A390" t="inlineStr">
        <is>
          <t>A 54268-2022</t>
        </is>
      </c>
      <c r="B390" s="1" t="n">
        <v>44882</v>
      </c>
      <c r="C390" s="1" t="n">
        <v>45934</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22031-2024</t>
        </is>
      </c>
      <c r="B391" s="1" t="n">
        <v>45443.60075231481</v>
      </c>
      <c r="C391" s="1" t="n">
        <v>45934</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17688-2024</t>
        </is>
      </c>
      <c r="B392" s="1" t="n">
        <v>45418.43575231481</v>
      </c>
      <c r="C392" s="1" t="n">
        <v>45934</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1446-2025</t>
        </is>
      </c>
      <c r="B393" s="1" t="n">
        <v>45669.86035879629</v>
      </c>
      <c r="C393" s="1" t="n">
        <v>45934</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1462-2025</t>
        </is>
      </c>
      <c r="B394" s="1" t="n">
        <v>45670.36319444444</v>
      </c>
      <c r="C394" s="1" t="n">
        <v>45934</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57685-2022</t>
        </is>
      </c>
      <c r="B395" s="1" t="n">
        <v>44897.4777662037</v>
      </c>
      <c r="C395" s="1" t="n">
        <v>45934</v>
      </c>
      <c r="D395" t="inlineStr">
        <is>
          <t>GOTLANDS LÄN</t>
        </is>
      </c>
      <c r="E395" t="inlineStr">
        <is>
          <t>GOTLAND</t>
        </is>
      </c>
      <c r="G395" t="n">
        <v>3.7</v>
      </c>
      <c r="H395" t="n">
        <v>0</v>
      </c>
      <c r="I395" t="n">
        <v>0</v>
      </c>
      <c r="J395" t="n">
        <v>0</v>
      </c>
      <c r="K395" t="n">
        <v>0</v>
      </c>
      <c r="L395" t="n">
        <v>0</v>
      </c>
      <c r="M395" t="n">
        <v>0</v>
      </c>
      <c r="N395" t="n">
        <v>0</v>
      </c>
      <c r="O395" t="n">
        <v>0</v>
      </c>
      <c r="P395" t="n">
        <v>0</v>
      </c>
      <c r="Q395" t="n">
        <v>0</v>
      </c>
      <c r="R395" s="2" t="inlineStr"/>
    </row>
    <row r="396" ht="15" customHeight="1">
      <c r="A396" t="inlineStr">
        <is>
          <t>A 811-2023</t>
        </is>
      </c>
      <c r="B396" s="1" t="n">
        <v>44931</v>
      </c>
      <c r="C396" s="1" t="n">
        <v>45934</v>
      </c>
      <c r="D396" t="inlineStr">
        <is>
          <t>GOTLANDS LÄN</t>
        </is>
      </c>
      <c r="E396" t="inlineStr">
        <is>
          <t>GOTLAND</t>
        </is>
      </c>
      <c r="G396" t="n">
        <v>0.6</v>
      </c>
      <c r="H396" t="n">
        <v>0</v>
      </c>
      <c r="I396" t="n">
        <v>0</v>
      </c>
      <c r="J396" t="n">
        <v>0</v>
      </c>
      <c r="K396" t="n">
        <v>0</v>
      </c>
      <c r="L396" t="n">
        <v>0</v>
      </c>
      <c r="M396" t="n">
        <v>0</v>
      </c>
      <c r="N396" t="n">
        <v>0</v>
      </c>
      <c r="O396" t="n">
        <v>0</v>
      </c>
      <c r="P396" t="n">
        <v>0</v>
      </c>
      <c r="Q396" t="n">
        <v>0</v>
      </c>
      <c r="R396" s="2" t="inlineStr"/>
    </row>
    <row r="397" ht="15" customHeight="1">
      <c r="A397" t="inlineStr">
        <is>
          <t>A 24001-2021</t>
        </is>
      </c>
      <c r="B397" s="1" t="n">
        <v>44335</v>
      </c>
      <c r="C397" s="1" t="n">
        <v>45934</v>
      </c>
      <c r="D397" t="inlineStr">
        <is>
          <t>GOTLANDS LÄN</t>
        </is>
      </c>
      <c r="E397" t="inlineStr">
        <is>
          <t>GOTLAND</t>
        </is>
      </c>
      <c r="G397" t="n">
        <v>3.4</v>
      </c>
      <c r="H397" t="n">
        <v>0</v>
      </c>
      <c r="I397" t="n">
        <v>0</v>
      </c>
      <c r="J397" t="n">
        <v>0</v>
      </c>
      <c r="K397" t="n">
        <v>0</v>
      </c>
      <c r="L397" t="n">
        <v>0</v>
      </c>
      <c r="M397" t="n">
        <v>0</v>
      </c>
      <c r="N397" t="n">
        <v>0</v>
      </c>
      <c r="O397" t="n">
        <v>0</v>
      </c>
      <c r="P397" t="n">
        <v>0</v>
      </c>
      <c r="Q397" t="n">
        <v>0</v>
      </c>
      <c r="R397" s="2" t="inlineStr"/>
    </row>
    <row r="398" ht="15" customHeight="1">
      <c r="A398" t="inlineStr">
        <is>
          <t>A 39479-2022</t>
        </is>
      </c>
      <c r="B398" s="1" t="n">
        <v>44818</v>
      </c>
      <c r="C398" s="1" t="n">
        <v>45934</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39496-2022</t>
        </is>
      </c>
      <c r="B399" s="1" t="n">
        <v>44818</v>
      </c>
      <c r="C399" s="1" t="n">
        <v>45934</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45934</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35142-2025</t>
        </is>
      </c>
      <c r="B401" s="1" t="n">
        <v>45852.65532407408</v>
      </c>
      <c r="C401" s="1" t="n">
        <v>45934</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45934</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5905-2024</t>
        </is>
      </c>
      <c r="B403" s="1" t="n">
        <v>45335.88993055555</v>
      </c>
      <c r="C403" s="1" t="n">
        <v>45934</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3431-2025</t>
        </is>
      </c>
      <c r="B404" s="1" t="n">
        <v>45680.42935185185</v>
      </c>
      <c r="C404" s="1" t="n">
        <v>45934</v>
      </c>
      <c r="D404" t="inlineStr">
        <is>
          <t>GOTLANDS LÄN</t>
        </is>
      </c>
      <c r="E404" t="inlineStr">
        <is>
          <t>GOTLAND</t>
        </is>
      </c>
      <c r="G404" t="n">
        <v>4.8</v>
      </c>
      <c r="H404" t="n">
        <v>0</v>
      </c>
      <c r="I404" t="n">
        <v>0</v>
      </c>
      <c r="J404" t="n">
        <v>0</v>
      </c>
      <c r="K404" t="n">
        <v>0</v>
      </c>
      <c r="L404" t="n">
        <v>0</v>
      </c>
      <c r="M404" t="n">
        <v>0</v>
      </c>
      <c r="N404" t="n">
        <v>0</v>
      </c>
      <c r="O404" t="n">
        <v>0</v>
      </c>
      <c r="P404" t="n">
        <v>0</v>
      </c>
      <c r="Q404" t="n">
        <v>0</v>
      </c>
      <c r="R404" s="2" t="inlineStr"/>
    </row>
    <row r="405" ht="15" customHeight="1">
      <c r="A405" t="inlineStr">
        <is>
          <t>A 35141-2025</t>
        </is>
      </c>
      <c r="B405" s="1" t="n">
        <v>45852.65206018519</v>
      </c>
      <c r="C405" s="1" t="n">
        <v>45934</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39764-2022</t>
        </is>
      </c>
      <c r="B406" s="1" t="n">
        <v>44819</v>
      </c>
      <c r="C406" s="1" t="n">
        <v>45934</v>
      </c>
      <c r="D406" t="inlineStr">
        <is>
          <t>GOTLANDS LÄN</t>
        </is>
      </c>
      <c r="E406" t="inlineStr">
        <is>
          <t>GOTLAND</t>
        </is>
      </c>
      <c r="F406" t="inlineStr">
        <is>
          <t>Kyrkan</t>
        </is>
      </c>
      <c r="G406" t="n">
        <v>3.7</v>
      </c>
      <c r="H406" t="n">
        <v>0</v>
      </c>
      <c r="I406" t="n">
        <v>0</v>
      </c>
      <c r="J406" t="n">
        <v>0</v>
      </c>
      <c r="K406" t="n">
        <v>0</v>
      </c>
      <c r="L406" t="n">
        <v>0</v>
      </c>
      <c r="M406" t="n">
        <v>0</v>
      </c>
      <c r="N406" t="n">
        <v>0</v>
      </c>
      <c r="O406" t="n">
        <v>0</v>
      </c>
      <c r="P406" t="n">
        <v>0</v>
      </c>
      <c r="Q406" t="n">
        <v>0</v>
      </c>
      <c r="R406" s="2" t="inlineStr"/>
    </row>
    <row r="407" ht="15" customHeight="1">
      <c r="A407" t="inlineStr">
        <is>
          <t>A 34407-2023</t>
        </is>
      </c>
      <c r="B407" s="1" t="n">
        <v>45132</v>
      </c>
      <c r="C407" s="1" t="n">
        <v>45934</v>
      </c>
      <c r="D407" t="inlineStr">
        <is>
          <t>GOTLANDS LÄN</t>
        </is>
      </c>
      <c r="E407" t="inlineStr">
        <is>
          <t>GOTLAND</t>
        </is>
      </c>
      <c r="G407" t="n">
        <v>4.4</v>
      </c>
      <c r="H407" t="n">
        <v>0</v>
      </c>
      <c r="I407" t="n">
        <v>0</v>
      </c>
      <c r="J407" t="n">
        <v>0</v>
      </c>
      <c r="K407" t="n">
        <v>0</v>
      </c>
      <c r="L407" t="n">
        <v>0</v>
      </c>
      <c r="M407" t="n">
        <v>0</v>
      </c>
      <c r="N407" t="n">
        <v>0</v>
      </c>
      <c r="O407" t="n">
        <v>0</v>
      </c>
      <c r="P407" t="n">
        <v>0</v>
      </c>
      <c r="Q407" t="n">
        <v>0</v>
      </c>
      <c r="R407" s="2" t="inlineStr"/>
    </row>
    <row r="408" ht="15" customHeight="1">
      <c r="A408" t="inlineStr">
        <is>
          <t>A 30892-2024</t>
        </is>
      </c>
      <c r="B408" s="1" t="n">
        <v>45491</v>
      </c>
      <c r="C408" s="1" t="n">
        <v>45934</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46389-2021</t>
        </is>
      </c>
      <c r="B409" s="1" t="n">
        <v>44443</v>
      </c>
      <c r="C409" s="1" t="n">
        <v>45934</v>
      </c>
      <c r="D409" t="inlineStr">
        <is>
          <t>GOTLANDS LÄN</t>
        </is>
      </c>
      <c r="E409" t="inlineStr">
        <is>
          <t>GOTLAND</t>
        </is>
      </c>
      <c r="F409" t="inlineStr">
        <is>
          <t>Kyrkan</t>
        </is>
      </c>
      <c r="G409" t="n">
        <v>2.1</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45934</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6099-2024</t>
        </is>
      </c>
      <c r="B411" s="1" t="n">
        <v>45337</v>
      </c>
      <c r="C411" s="1" t="n">
        <v>45934</v>
      </c>
      <c r="D411" t="inlineStr">
        <is>
          <t>GOTLANDS LÄN</t>
        </is>
      </c>
      <c r="E411" t="inlineStr">
        <is>
          <t>GOTLAND</t>
        </is>
      </c>
      <c r="G411" t="n">
        <v>12.6</v>
      </c>
      <c r="H411" t="n">
        <v>0</v>
      </c>
      <c r="I411" t="n">
        <v>0</v>
      </c>
      <c r="J411" t="n">
        <v>0</v>
      </c>
      <c r="K411" t="n">
        <v>0</v>
      </c>
      <c r="L411" t="n">
        <v>0</v>
      </c>
      <c r="M411" t="n">
        <v>0</v>
      </c>
      <c r="N411" t="n">
        <v>0</v>
      </c>
      <c r="O411" t="n">
        <v>0</v>
      </c>
      <c r="P411" t="n">
        <v>0</v>
      </c>
      <c r="Q411" t="n">
        <v>0</v>
      </c>
      <c r="R411" s="2" t="inlineStr"/>
    </row>
    <row r="412" ht="15" customHeight="1">
      <c r="A412" t="inlineStr">
        <is>
          <t>A 8260-2023</t>
        </is>
      </c>
      <c r="B412" s="1" t="n">
        <v>44974.61608796296</v>
      </c>
      <c r="C412" s="1" t="n">
        <v>45934</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7858-2025</t>
        </is>
      </c>
      <c r="B413" s="1" t="n">
        <v>45706.68633101852</v>
      </c>
      <c r="C413" s="1" t="n">
        <v>45934</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45934</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44949-2023</t>
        </is>
      </c>
      <c r="B415" s="1" t="n">
        <v>45190.69520833333</v>
      </c>
      <c r="C415" s="1" t="n">
        <v>45934</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999-2023</t>
        </is>
      </c>
      <c r="B416" s="1" t="n">
        <v>44935</v>
      </c>
      <c r="C416" s="1" t="n">
        <v>45934</v>
      </c>
      <c r="D416" t="inlineStr">
        <is>
          <t>GOTLANDS LÄN</t>
        </is>
      </c>
      <c r="E416" t="inlineStr">
        <is>
          <t>GOTLAND</t>
        </is>
      </c>
      <c r="G416" t="n">
        <v>4.7</v>
      </c>
      <c r="H416" t="n">
        <v>0</v>
      </c>
      <c r="I416" t="n">
        <v>0</v>
      </c>
      <c r="J416" t="n">
        <v>0</v>
      </c>
      <c r="K416" t="n">
        <v>0</v>
      </c>
      <c r="L416" t="n">
        <v>0</v>
      </c>
      <c r="M416" t="n">
        <v>0</v>
      </c>
      <c r="N416" t="n">
        <v>0</v>
      </c>
      <c r="O416" t="n">
        <v>0</v>
      </c>
      <c r="P416" t="n">
        <v>0</v>
      </c>
      <c r="Q416" t="n">
        <v>0</v>
      </c>
      <c r="R416" s="2" t="inlineStr"/>
    </row>
    <row r="417" ht="15" customHeight="1">
      <c r="A417" t="inlineStr">
        <is>
          <t>A 22287-2022</t>
        </is>
      </c>
      <c r="B417" s="1" t="n">
        <v>44712</v>
      </c>
      <c r="C417" s="1" t="n">
        <v>45934</v>
      </c>
      <c r="D417" t="inlineStr">
        <is>
          <t>GOTLANDS LÄN</t>
        </is>
      </c>
      <c r="E417" t="inlineStr">
        <is>
          <t>GOTLAND</t>
        </is>
      </c>
      <c r="G417" t="n">
        <v>6.1</v>
      </c>
      <c r="H417" t="n">
        <v>0</v>
      </c>
      <c r="I417" t="n">
        <v>0</v>
      </c>
      <c r="J417" t="n">
        <v>0</v>
      </c>
      <c r="K417" t="n">
        <v>0</v>
      </c>
      <c r="L417" t="n">
        <v>0</v>
      </c>
      <c r="M417" t="n">
        <v>0</v>
      </c>
      <c r="N417" t="n">
        <v>0</v>
      </c>
      <c r="O417" t="n">
        <v>0</v>
      </c>
      <c r="P417" t="n">
        <v>0</v>
      </c>
      <c r="Q417" t="n">
        <v>0</v>
      </c>
      <c r="R417" s="2" t="inlineStr"/>
    </row>
    <row r="418" ht="15" customHeight="1">
      <c r="A418" t="inlineStr">
        <is>
          <t>A 1364-2025</t>
        </is>
      </c>
      <c r="B418" s="1" t="n">
        <v>45667.63929398148</v>
      </c>
      <c r="C418" s="1" t="n">
        <v>45934</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2125-2025</t>
        </is>
      </c>
      <c r="B419" s="1" t="n">
        <v>45672.64940972222</v>
      </c>
      <c r="C419" s="1" t="n">
        <v>45934</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57534-2022</t>
        </is>
      </c>
      <c r="B420" s="1" t="n">
        <v>44896</v>
      </c>
      <c r="C420" s="1" t="n">
        <v>45934</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8684-2025</t>
        </is>
      </c>
      <c r="B421" s="1" t="n">
        <v>45712.45605324074</v>
      </c>
      <c r="C421" s="1" t="n">
        <v>45934</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17682-2024</t>
        </is>
      </c>
      <c r="B422" s="1" t="n">
        <v>45418.42966435185</v>
      </c>
      <c r="C422" s="1" t="n">
        <v>45934</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61897-2024</t>
        </is>
      </c>
      <c r="B423" s="1" t="n">
        <v>45652.75685185185</v>
      </c>
      <c r="C423" s="1" t="n">
        <v>45934</v>
      </c>
      <c r="D423" t="inlineStr">
        <is>
          <t>GOTLANDS LÄN</t>
        </is>
      </c>
      <c r="E423" t="inlineStr">
        <is>
          <t>GOTLAND</t>
        </is>
      </c>
      <c r="G423" t="n">
        <v>6.4</v>
      </c>
      <c r="H423" t="n">
        <v>0</v>
      </c>
      <c r="I423" t="n">
        <v>0</v>
      </c>
      <c r="J423" t="n">
        <v>0</v>
      </c>
      <c r="K423" t="n">
        <v>0</v>
      </c>
      <c r="L423" t="n">
        <v>0</v>
      </c>
      <c r="M423" t="n">
        <v>0</v>
      </c>
      <c r="N423" t="n">
        <v>0</v>
      </c>
      <c r="O423" t="n">
        <v>0</v>
      </c>
      <c r="P423" t="n">
        <v>0</v>
      </c>
      <c r="Q423" t="n">
        <v>0</v>
      </c>
      <c r="R423" s="2" t="inlineStr"/>
    </row>
    <row r="424" ht="15" customHeight="1">
      <c r="A424" t="inlineStr">
        <is>
          <t>A 12032-2025</t>
        </is>
      </c>
      <c r="B424" s="1" t="n">
        <v>45728.64472222222</v>
      </c>
      <c r="C424" s="1" t="n">
        <v>45934</v>
      </c>
      <c r="D424" t="inlineStr">
        <is>
          <t>GOTLANDS LÄN</t>
        </is>
      </c>
      <c r="E424" t="inlineStr">
        <is>
          <t>GOTLAND</t>
        </is>
      </c>
      <c r="G424" t="n">
        <v>1.4</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45934</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15595-2024</t>
        </is>
      </c>
      <c r="B426" s="1" t="n">
        <v>45401.81480324074</v>
      </c>
      <c r="C426" s="1" t="n">
        <v>45934</v>
      </c>
      <c r="D426" t="inlineStr">
        <is>
          <t>GOTLANDS LÄN</t>
        </is>
      </c>
      <c r="E426" t="inlineStr">
        <is>
          <t>GOTLAND</t>
        </is>
      </c>
      <c r="G426" t="n">
        <v>6.4</v>
      </c>
      <c r="H426" t="n">
        <v>0</v>
      </c>
      <c r="I426" t="n">
        <v>0</v>
      </c>
      <c r="J426" t="n">
        <v>0</v>
      </c>
      <c r="K426" t="n">
        <v>0</v>
      </c>
      <c r="L426" t="n">
        <v>0</v>
      </c>
      <c r="M426" t="n">
        <v>0</v>
      </c>
      <c r="N426" t="n">
        <v>0</v>
      </c>
      <c r="O426" t="n">
        <v>0</v>
      </c>
      <c r="P426" t="n">
        <v>0</v>
      </c>
      <c r="Q426" t="n">
        <v>0</v>
      </c>
      <c r="R426" s="2" t="inlineStr"/>
    </row>
    <row r="427" ht="15" customHeight="1">
      <c r="A427" t="inlineStr">
        <is>
          <t>A 12155-2023</t>
        </is>
      </c>
      <c r="B427" s="1" t="n">
        <v>44998.49106481481</v>
      </c>
      <c r="C427" s="1" t="n">
        <v>45934</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64660-2023</t>
        </is>
      </c>
      <c r="B428" s="1" t="n">
        <v>45281.60122685185</v>
      </c>
      <c r="C428" s="1" t="n">
        <v>45934</v>
      </c>
      <c r="D428" t="inlineStr">
        <is>
          <t>GOTLANDS LÄN</t>
        </is>
      </c>
      <c r="E428" t="inlineStr">
        <is>
          <t>GOTLAND</t>
        </is>
      </c>
      <c r="G428" t="n">
        <v>6.3</v>
      </c>
      <c r="H428" t="n">
        <v>0</v>
      </c>
      <c r="I428" t="n">
        <v>0</v>
      </c>
      <c r="J428" t="n">
        <v>0</v>
      </c>
      <c r="K428" t="n">
        <v>0</v>
      </c>
      <c r="L428" t="n">
        <v>0</v>
      </c>
      <c r="M428" t="n">
        <v>0</v>
      </c>
      <c r="N428" t="n">
        <v>0</v>
      </c>
      <c r="O428" t="n">
        <v>0</v>
      </c>
      <c r="P428" t="n">
        <v>0</v>
      </c>
      <c r="Q428" t="n">
        <v>0</v>
      </c>
      <c r="R428" s="2" t="inlineStr"/>
    </row>
    <row r="429" ht="15" customHeight="1">
      <c r="A429" t="inlineStr">
        <is>
          <t>A 2774-2024</t>
        </is>
      </c>
      <c r="B429" s="1" t="n">
        <v>45314.62375</v>
      </c>
      <c r="C429" s="1" t="n">
        <v>45934</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47637-2025</t>
        </is>
      </c>
      <c r="B430" s="1" t="n">
        <v>45931.49753472222</v>
      </c>
      <c r="C430" s="1" t="n">
        <v>45934</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9947-2024</t>
        </is>
      </c>
      <c r="B431" s="1" t="n">
        <v>45363</v>
      </c>
      <c r="C431" s="1" t="n">
        <v>45934</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42007-2023</t>
        </is>
      </c>
      <c r="B432" s="1" t="n">
        <v>45177</v>
      </c>
      <c r="C432" s="1" t="n">
        <v>45934</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47147-2025</t>
        </is>
      </c>
      <c r="B433" s="1" t="n">
        <v>45929.71716435185</v>
      </c>
      <c r="C433" s="1" t="n">
        <v>45934</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21164-2024</t>
        </is>
      </c>
      <c r="B434" s="1" t="n">
        <v>45440</v>
      </c>
      <c r="C434" s="1" t="n">
        <v>45934</v>
      </c>
      <c r="D434" t="inlineStr">
        <is>
          <t>GOTLANDS LÄN</t>
        </is>
      </c>
      <c r="E434" t="inlineStr">
        <is>
          <t>GOTLAND</t>
        </is>
      </c>
      <c r="G434" t="n">
        <v>6.3</v>
      </c>
      <c r="H434" t="n">
        <v>0</v>
      </c>
      <c r="I434" t="n">
        <v>0</v>
      </c>
      <c r="J434" t="n">
        <v>0</v>
      </c>
      <c r="K434" t="n">
        <v>0</v>
      </c>
      <c r="L434" t="n">
        <v>0</v>
      </c>
      <c r="M434" t="n">
        <v>0</v>
      </c>
      <c r="N434" t="n">
        <v>0</v>
      </c>
      <c r="O434" t="n">
        <v>0</v>
      </c>
      <c r="P434" t="n">
        <v>0</v>
      </c>
      <c r="Q434" t="n">
        <v>0</v>
      </c>
      <c r="R434" s="2" t="inlineStr"/>
    </row>
    <row r="435" ht="15" customHeight="1">
      <c r="A435" t="inlineStr">
        <is>
          <t>A 17541-2024</t>
        </is>
      </c>
      <c r="B435" s="1" t="n">
        <v>45415</v>
      </c>
      <c r="C435" s="1" t="n">
        <v>45934</v>
      </c>
      <c r="D435" t="inlineStr">
        <is>
          <t>GOTLANDS LÄN</t>
        </is>
      </c>
      <c r="E435" t="inlineStr">
        <is>
          <t>GOTLAND</t>
        </is>
      </c>
      <c r="G435" t="n">
        <v>2.6</v>
      </c>
      <c r="H435" t="n">
        <v>0</v>
      </c>
      <c r="I435" t="n">
        <v>0</v>
      </c>
      <c r="J435" t="n">
        <v>0</v>
      </c>
      <c r="K435" t="n">
        <v>0</v>
      </c>
      <c r="L435" t="n">
        <v>0</v>
      </c>
      <c r="M435" t="n">
        <v>0</v>
      </c>
      <c r="N435" t="n">
        <v>0</v>
      </c>
      <c r="O435" t="n">
        <v>0</v>
      </c>
      <c r="P435" t="n">
        <v>0</v>
      </c>
      <c r="Q435" t="n">
        <v>0</v>
      </c>
      <c r="R435" s="2" t="inlineStr"/>
    </row>
    <row r="436" ht="15" customHeight="1">
      <c r="A436" t="inlineStr">
        <is>
          <t>A 883-2025</t>
        </is>
      </c>
      <c r="B436" s="1" t="n">
        <v>45665</v>
      </c>
      <c r="C436" s="1" t="n">
        <v>45934</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20855-2023</t>
        </is>
      </c>
      <c r="B437" s="1" t="n">
        <v>45058.82172453704</v>
      </c>
      <c r="C437" s="1" t="n">
        <v>45934</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39278-2025</t>
        </is>
      </c>
      <c r="B438" s="1" t="n">
        <v>45889</v>
      </c>
      <c r="C438" s="1" t="n">
        <v>45934</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13910-2025</t>
        </is>
      </c>
      <c r="B439" s="1" t="n">
        <v>45737</v>
      </c>
      <c r="C439" s="1" t="n">
        <v>45934</v>
      </c>
      <c r="D439" t="inlineStr">
        <is>
          <t>GOTLANDS LÄN</t>
        </is>
      </c>
      <c r="E439" t="inlineStr">
        <is>
          <t>GOTLAND</t>
        </is>
      </c>
      <c r="F439" t="inlineStr">
        <is>
          <t>Kommuner</t>
        </is>
      </c>
      <c r="G439" t="n">
        <v>3.2</v>
      </c>
      <c r="H439" t="n">
        <v>0</v>
      </c>
      <c r="I439" t="n">
        <v>0</v>
      </c>
      <c r="J439" t="n">
        <v>0</v>
      </c>
      <c r="K439" t="n">
        <v>0</v>
      </c>
      <c r="L439" t="n">
        <v>0</v>
      </c>
      <c r="M439" t="n">
        <v>0</v>
      </c>
      <c r="N439" t="n">
        <v>0</v>
      </c>
      <c r="O439" t="n">
        <v>0</v>
      </c>
      <c r="P439" t="n">
        <v>0</v>
      </c>
      <c r="Q439" t="n">
        <v>0</v>
      </c>
      <c r="R439" s="2" t="inlineStr"/>
    </row>
    <row r="440" ht="15" customHeight="1">
      <c r="A440" t="inlineStr">
        <is>
          <t>A 39849-2025</t>
        </is>
      </c>
      <c r="B440" s="1" t="n">
        <v>45891.58502314815</v>
      </c>
      <c r="C440" s="1" t="n">
        <v>45934</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38649-2025</t>
        </is>
      </c>
      <c r="B441" s="1" t="n">
        <v>45884</v>
      </c>
      <c r="C441" s="1" t="n">
        <v>45934</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44304-2021</t>
        </is>
      </c>
      <c r="B442" s="1" t="n">
        <v>44434</v>
      </c>
      <c r="C442" s="1" t="n">
        <v>45934</v>
      </c>
      <c r="D442" t="inlineStr">
        <is>
          <t>GOTLANDS LÄN</t>
        </is>
      </c>
      <c r="E442" t="inlineStr">
        <is>
          <t>GOTLAND</t>
        </is>
      </c>
      <c r="G442" t="n">
        <v>5.8</v>
      </c>
      <c r="H442" t="n">
        <v>0</v>
      </c>
      <c r="I442" t="n">
        <v>0</v>
      </c>
      <c r="J442" t="n">
        <v>0</v>
      </c>
      <c r="K442" t="n">
        <v>0</v>
      </c>
      <c r="L442" t="n">
        <v>0</v>
      </c>
      <c r="M442" t="n">
        <v>0</v>
      </c>
      <c r="N442" t="n">
        <v>0</v>
      </c>
      <c r="O442" t="n">
        <v>0</v>
      </c>
      <c r="P442" t="n">
        <v>0</v>
      </c>
      <c r="Q442" t="n">
        <v>0</v>
      </c>
      <c r="R442" s="2" t="inlineStr"/>
    </row>
    <row r="443" ht="15" customHeight="1">
      <c r="A443" t="inlineStr">
        <is>
          <t>A 20794-2025</t>
        </is>
      </c>
      <c r="B443" s="1" t="n">
        <v>45776</v>
      </c>
      <c r="C443" s="1" t="n">
        <v>45934</v>
      </c>
      <c r="D443" t="inlineStr">
        <is>
          <t>GOTLANDS LÄN</t>
        </is>
      </c>
      <c r="E443" t="inlineStr">
        <is>
          <t>GOTLAND</t>
        </is>
      </c>
      <c r="G443" t="n">
        <v>6</v>
      </c>
      <c r="H443" t="n">
        <v>0</v>
      </c>
      <c r="I443" t="n">
        <v>0</v>
      </c>
      <c r="J443" t="n">
        <v>0</v>
      </c>
      <c r="K443" t="n">
        <v>0</v>
      </c>
      <c r="L443" t="n">
        <v>0</v>
      </c>
      <c r="M443" t="n">
        <v>0</v>
      </c>
      <c r="N443" t="n">
        <v>0</v>
      </c>
      <c r="O443" t="n">
        <v>0</v>
      </c>
      <c r="P443" t="n">
        <v>0</v>
      </c>
      <c r="Q443" t="n">
        <v>0</v>
      </c>
      <c r="R443" s="2" t="inlineStr"/>
    </row>
    <row r="444" ht="15" customHeight="1">
      <c r="A444" t="inlineStr">
        <is>
          <t>A 60709-2023</t>
        </is>
      </c>
      <c r="B444" s="1" t="n">
        <v>45260</v>
      </c>
      <c r="C444" s="1" t="n">
        <v>45934</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1000-2024</t>
        </is>
      </c>
      <c r="B445" s="1" t="n">
        <v>45301.63371527778</v>
      </c>
      <c r="C445" s="1" t="n">
        <v>45934</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1010-2024</t>
        </is>
      </c>
      <c r="B446" s="1" t="n">
        <v>45301</v>
      </c>
      <c r="C446" s="1" t="n">
        <v>45934</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65249-2023</t>
        </is>
      </c>
      <c r="B447" s="1" t="n">
        <v>45290</v>
      </c>
      <c r="C447" s="1" t="n">
        <v>45934</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20805-2025</t>
        </is>
      </c>
      <c r="B448" s="1" t="n">
        <v>45776</v>
      </c>
      <c r="C448" s="1" t="n">
        <v>45934</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15083-2025</t>
        </is>
      </c>
      <c r="B449" s="1" t="n">
        <v>45743</v>
      </c>
      <c r="C449" s="1" t="n">
        <v>45934</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21389-2025</t>
        </is>
      </c>
      <c r="B450" s="1" t="n">
        <v>45782</v>
      </c>
      <c r="C450" s="1" t="n">
        <v>45934</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39814-2025</t>
        </is>
      </c>
      <c r="B451" s="1" t="n">
        <v>45891.52694444444</v>
      </c>
      <c r="C451" s="1" t="n">
        <v>45934</v>
      </c>
      <c r="D451" t="inlineStr">
        <is>
          <t>GOTLANDS LÄN</t>
        </is>
      </c>
      <c r="E451" t="inlineStr">
        <is>
          <t>GOTLAND</t>
        </is>
      </c>
      <c r="G451" t="n">
        <v>4.5</v>
      </c>
      <c r="H451" t="n">
        <v>0</v>
      </c>
      <c r="I451" t="n">
        <v>0</v>
      </c>
      <c r="J451" t="n">
        <v>0</v>
      </c>
      <c r="K451" t="n">
        <v>0</v>
      </c>
      <c r="L451" t="n">
        <v>0</v>
      </c>
      <c r="M451" t="n">
        <v>0</v>
      </c>
      <c r="N451" t="n">
        <v>0</v>
      </c>
      <c r="O451" t="n">
        <v>0</v>
      </c>
      <c r="P451" t="n">
        <v>0</v>
      </c>
      <c r="Q451" t="n">
        <v>0</v>
      </c>
      <c r="R451" s="2" t="inlineStr"/>
    </row>
    <row r="452" ht="15" customHeight="1">
      <c r="A452" t="inlineStr">
        <is>
          <t>A 30956-2024</t>
        </is>
      </c>
      <c r="B452" s="1" t="n">
        <v>45499.42527777778</v>
      </c>
      <c r="C452" s="1" t="n">
        <v>45934</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12596-2023</t>
        </is>
      </c>
      <c r="B453" s="1" t="n">
        <v>45000.43310185185</v>
      </c>
      <c r="C453" s="1" t="n">
        <v>45934</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8045-2022</t>
        </is>
      </c>
      <c r="B454" s="1" t="n">
        <v>44609</v>
      </c>
      <c r="C454" s="1" t="n">
        <v>45934</v>
      </c>
      <c r="D454" t="inlineStr">
        <is>
          <t>GOTLANDS LÄN</t>
        </is>
      </c>
      <c r="E454" t="inlineStr">
        <is>
          <t>GOTLAND</t>
        </is>
      </c>
      <c r="G454" t="n">
        <v>7</v>
      </c>
      <c r="H454" t="n">
        <v>0</v>
      </c>
      <c r="I454" t="n">
        <v>0</v>
      </c>
      <c r="J454" t="n">
        <v>0</v>
      </c>
      <c r="K454" t="n">
        <v>0</v>
      </c>
      <c r="L454" t="n">
        <v>0</v>
      </c>
      <c r="M454" t="n">
        <v>0</v>
      </c>
      <c r="N454" t="n">
        <v>0</v>
      </c>
      <c r="O454" t="n">
        <v>0</v>
      </c>
      <c r="P454" t="n">
        <v>0</v>
      </c>
      <c r="Q454" t="n">
        <v>0</v>
      </c>
      <c r="R454" s="2" t="inlineStr"/>
    </row>
    <row r="455" ht="15" customHeight="1">
      <c r="A455" t="inlineStr">
        <is>
          <t>A 39819-2025</t>
        </is>
      </c>
      <c r="B455" s="1" t="n">
        <v>45891.53418981482</v>
      </c>
      <c r="C455" s="1" t="n">
        <v>45934</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21651-2025</t>
        </is>
      </c>
      <c r="B456" s="1" t="n">
        <v>45783</v>
      </c>
      <c r="C456" s="1" t="n">
        <v>45934</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47578-2025</t>
        </is>
      </c>
      <c r="B457" s="1" t="n">
        <v>45931</v>
      </c>
      <c r="C457" s="1" t="n">
        <v>45934</v>
      </c>
      <c r="D457" t="inlineStr">
        <is>
          <t>GOTLANDS LÄN</t>
        </is>
      </c>
      <c r="E457" t="inlineStr">
        <is>
          <t>GOTLAND</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39752-2025</t>
        </is>
      </c>
      <c r="B458" s="1" t="n">
        <v>45891</v>
      </c>
      <c r="C458" s="1" t="n">
        <v>45934</v>
      </c>
      <c r="D458" t="inlineStr">
        <is>
          <t>GOTLANDS LÄN</t>
        </is>
      </c>
      <c r="E458" t="inlineStr">
        <is>
          <t>GOTLAND</t>
        </is>
      </c>
      <c r="G458" t="n">
        <v>5.3</v>
      </c>
      <c r="H458" t="n">
        <v>0</v>
      </c>
      <c r="I458" t="n">
        <v>0</v>
      </c>
      <c r="J458" t="n">
        <v>0</v>
      </c>
      <c r="K458" t="n">
        <v>0</v>
      </c>
      <c r="L458" t="n">
        <v>0</v>
      </c>
      <c r="M458" t="n">
        <v>0</v>
      </c>
      <c r="N458" t="n">
        <v>0</v>
      </c>
      <c r="O458" t="n">
        <v>0</v>
      </c>
      <c r="P458" t="n">
        <v>0</v>
      </c>
      <c r="Q458" t="n">
        <v>0</v>
      </c>
      <c r="R458" s="2" t="inlineStr"/>
    </row>
    <row r="459" ht="15" customHeight="1">
      <c r="A459" t="inlineStr">
        <is>
          <t>A 39816-2025</t>
        </is>
      </c>
      <c r="B459" s="1" t="n">
        <v>45891</v>
      </c>
      <c r="C459" s="1" t="n">
        <v>45934</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999-2024</t>
        </is>
      </c>
      <c r="B460" s="1" t="n">
        <v>45301</v>
      </c>
      <c r="C460" s="1" t="n">
        <v>45934</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65901-2021</t>
        </is>
      </c>
      <c r="B461" s="1" t="n">
        <v>44516</v>
      </c>
      <c r="C461" s="1" t="n">
        <v>45934</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47762-2023</t>
        </is>
      </c>
      <c r="B462" s="1" t="n">
        <v>45203.86256944444</v>
      </c>
      <c r="C462" s="1" t="n">
        <v>45934</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1066-2024</t>
        </is>
      </c>
      <c r="B463" s="1" t="n">
        <v>45302.285</v>
      </c>
      <c r="C463" s="1" t="n">
        <v>45934</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37202-2024</t>
        </is>
      </c>
      <c r="B464" s="1" t="n">
        <v>45539.67310185185</v>
      </c>
      <c r="C464" s="1" t="n">
        <v>45934</v>
      </c>
      <c r="D464" t="inlineStr">
        <is>
          <t>GOTLANDS LÄN</t>
        </is>
      </c>
      <c r="E464" t="inlineStr">
        <is>
          <t>GOTLAND</t>
        </is>
      </c>
      <c r="G464" t="n">
        <v>0.3</v>
      </c>
      <c r="H464" t="n">
        <v>0</v>
      </c>
      <c r="I464" t="n">
        <v>0</v>
      </c>
      <c r="J464" t="n">
        <v>0</v>
      </c>
      <c r="K464" t="n">
        <v>0</v>
      </c>
      <c r="L464" t="n">
        <v>0</v>
      </c>
      <c r="M464" t="n">
        <v>0</v>
      </c>
      <c r="N464" t="n">
        <v>0</v>
      </c>
      <c r="O464" t="n">
        <v>0</v>
      </c>
      <c r="P464" t="n">
        <v>0</v>
      </c>
      <c r="Q464" t="n">
        <v>0</v>
      </c>
      <c r="R464" s="2" t="inlineStr"/>
    </row>
    <row r="465" ht="15" customHeight="1">
      <c r="A465" t="inlineStr">
        <is>
          <t>A 30815-2023</t>
        </is>
      </c>
      <c r="B465" s="1" t="n">
        <v>45112</v>
      </c>
      <c r="C465" s="1" t="n">
        <v>45934</v>
      </c>
      <c r="D465" t="inlineStr">
        <is>
          <t>GOTLANDS LÄN</t>
        </is>
      </c>
      <c r="E465" t="inlineStr">
        <is>
          <t>GOTLAND</t>
        </is>
      </c>
      <c r="G465" t="n">
        <v>6</v>
      </c>
      <c r="H465" t="n">
        <v>0</v>
      </c>
      <c r="I465" t="n">
        <v>0</v>
      </c>
      <c r="J465" t="n">
        <v>0</v>
      </c>
      <c r="K465" t="n">
        <v>0</v>
      </c>
      <c r="L465" t="n">
        <v>0</v>
      </c>
      <c r="M465" t="n">
        <v>0</v>
      </c>
      <c r="N465" t="n">
        <v>0</v>
      </c>
      <c r="O465" t="n">
        <v>0</v>
      </c>
      <c r="P465" t="n">
        <v>0</v>
      </c>
      <c r="Q465" t="n">
        <v>0</v>
      </c>
      <c r="R465" s="2" t="inlineStr"/>
    </row>
    <row r="466" ht="15" customHeight="1">
      <c r="A466" t="inlineStr">
        <is>
          <t>A 21420-2024</t>
        </is>
      </c>
      <c r="B466" s="1" t="n">
        <v>45441.38293981482</v>
      </c>
      <c r="C466" s="1" t="n">
        <v>45934</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10656-2024</t>
        </is>
      </c>
      <c r="B467" s="1" t="n">
        <v>45368</v>
      </c>
      <c r="C467" s="1" t="n">
        <v>45934</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57356-2023</t>
        </is>
      </c>
      <c r="B468" s="1" t="n">
        <v>45240</v>
      </c>
      <c r="C468" s="1" t="n">
        <v>45934</v>
      </c>
      <c r="D468" t="inlineStr">
        <is>
          <t>GOTLANDS LÄN</t>
        </is>
      </c>
      <c r="E468" t="inlineStr">
        <is>
          <t>GOTLAND</t>
        </is>
      </c>
      <c r="G468" t="n">
        <v>6.4</v>
      </c>
      <c r="H468" t="n">
        <v>0</v>
      </c>
      <c r="I468" t="n">
        <v>0</v>
      </c>
      <c r="J468" t="n">
        <v>0</v>
      </c>
      <c r="K468" t="n">
        <v>0</v>
      </c>
      <c r="L468" t="n">
        <v>0</v>
      </c>
      <c r="M468" t="n">
        <v>0</v>
      </c>
      <c r="N468" t="n">
        <v>0</v>
      </c>
      <c r="O468" t="n">
        <v>0</v>
      </c>
      <c r="P468" t="n">
        <v>0</v>
      </c>
      <c r="Q468" t="n">
        <v>0</v>
      </c>
      <c r="R468" s="2" t="inlineStr"/>
    </row>
    <row r="469" ht="15" customHeight="1">
      <c r="A469" t="inlineStr">
        <is>
          <t>A 28506-2023</t>
        </is>
      </c>
      <c r="B469" s="1" t="n">
        <v>45103</v>
      </c>
      <c r="C469" s="1" t="n">
        <v>45934</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23188-2025</t>
        </is>
      </c>
      <c r="B470" s="1" t="n">
        <v>45791</v>
      </c>
      <c r="C470" s="1" t="n">
        <v>45934</v>
      </c>
      <c r="D470" t="inlineStr">
        <is>
          <t>GOTLANDS LÄN</t>
        </is>
      </c>
      <c r="E470" t="inlineStr">
        <is>
          <t>GOTLAND</t>
        </is>
      </c>
      <c r="G470" t="n">
        <v>6.2</v>
      </c>
      <c r="H470" t="n">
        <v>0</v>
      </c>
      <c r="I470" t="n">
        <v>0</v>
      </c>
      <c r="J470" t="n">
        <v>0</v>
      </c>
      <c r="K470" t="n">
        <v>0</v>
      </c>
      <c r="L470" t="n">
        <v>0</v>
      </c>
      <c r="M470" t="n">
        <v>0</v>
      </c>
      <c r="N470" t="n">
        <v>0</v>
      </c>
      <c r="O470" t="n">
        <v>0</v>
      </c>
      <c r="P470" t="n">
        <v>0</v>
      </c>
      <c r="Q470" t="n">
        <v>0</v>
      </c>
      <c r="R470" s="2" t="inlineStr"/>
    </row>
    <row r="471" ht="15" customHeight="1">
      <c r="A471" t="inlineStr">
        <is>
          <t>A 46400-2023</t>
        </is>
      </c>
      <c r="B471" s="1" t="n">
        <v>45197.49290509259</v>
      </c>
      <c r="C471" s="1" t="n">
        <v>45934</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10492-2023</t>
        </is>
      </c>
      <c r="B472" s="1" t="n">
        <v>44987</v>
      </c>
      <c r="C472" s="1" t="n">
        <v>45934</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45934</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16501-2023</t>
        </is>
      </c>
      <c r="B474" s="1" t="n">
        <v>45029</v>
      </c>
      <c r="C474" s="1" t="n">
        <v>45934</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23856-2025</t>
        </is>
      </c>
      <c r="B475" s="1" t="n">
        <v>45793</v>
      </c>
      <c r="C475" s="1" t="n">
        <v>45934</v>
      </c>
      <c r="D475" t="inlineStr">
        <is>
          <t>GOTLANDS LÄN</t>
        </is>
      </c>
      <c r="E475" t="inlineStr">
        <is>
          <t>GOTLAND</t>
        </is>
      </c>
      <c r="G475" t="n">
        <v>4.4</v>
      </c>
      <c r="H475" t="n">
        <v>0</v>
      </c>
      <c r="I475" t="n">
        <v>0</v>
      </c>
      <c r="J475" t="n">
        <v>0</v>
      </c>
      <c r="K475" t="n">
        <v>0</v>
      </c>
      <c r="L475" t="n">
        <v>0</v>
      </c>
      <c r="M475" t="n">
        <v>0</v>
      </c>
      <c r="N475" t="n">
        <v>0</v>
      </c>
      <c r="O475" t="n">
        <v>0</v>
      </c>
      <c r="P475" t="n">
        <v>0</v>
      </c>
      <c r="Q475" t="n">
        <v>0</v>
      </c>
      <c r="R475" s="2" t="inlineStr"/>
    </row>
    <row r="476" ht="15" customHeight="1">
      <c r="A476" t="inlineStr">
        <is>
          <t>A 23473-2025</t>
        </is>
      </c>
      <c r="B476" s="1" t="n">
        <v>45792</v>
      </c>
      <c r="C476" s="1" t="n">
        <v>45934</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23698-2025</t>
        </is>
      </c>
      <c r="B477" s="1" t="n">
        <v>45793</v>
      </c>
      <c r="C477" s="1" t="n">
        <v>45934</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15073-2025</t>
        </is>
      </c>
      <c r="B478" s="1" t="n">
        <v>45743</v>
      </c>
      <c r="C478" s="1" t="n">
        <v>45934</v>
      </c>
      <c r="D478" t="inlineStr">
        <is>
          <t>GOTLANDS LÄN</t>
        </is>
      </c>
      <c r="E478" t="inlineStr">
        <is>
          <t>GOTLAND</t>
        </is>
      </c>
      <c r="G478" t="n">
        <v>12.1</v>
      </c>
      <c r="H478" t="n">
        <v>0</v>
      </c>
      <c r="I478" t="n">
        <v>0</v>
      </c>
      <c r="J478" t="n">
        <v>0</v>
      </c>
      <c r="K478" t="n">
        <v>0</v>
      </c>
      <c r="L478" t="n">
        <v>0</v>
      </c>
      <c r="M478" t="n">
        <v>0</v>
      </c>
      <c r="N478" t="n">
        <v>0</v>
      </c>
      <c r="O478" t="n">
        <v>0</v>
      </c>
      <c r="P478" t="n">
        <v>0</v>
      </c>
      <c r="Q478" t="n">
        <v>0</v>
      </c>
      <c r="R478" s="2" t="inlineStr"/>
    </row>
    <row r="479" ht="15" customHeight="1">
      <c r="A479" t="inlineStr">
        <is>
          <t>A 27095-2022</t>
        </is>
      </c>
      <c r="B479" s="1" t="n">
        <v>44741</v>
      </c>
      <c r="C479" s="1" t="n">
        <v>45934</v>
      </c>
      <c r="D479" t="inlineStr">
        <is>
          <t>GOTLANDS LÄN</t>
        </is>
      </c>
      <c r="E479" t="inlineStr">
        <is>
          <t>GOTLAND</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458-2023</t>
        </is>
      </c>
      <c r="B480" s="1" t="n">
        <v>44929</v>
      </c>
      <c r="C480" s="1" t="n">
        <v>45934</v>
      </c>
      <c r="D480" t="inlineStr">
        <is>
          <t>GOTLANDS LÄN</t>
        </is>
      </c>
      <c r="E480" t="inlineStr">
        <is>
          <t>GOTLAND</t>
        </is>
      </c>
      <c r="G480" t="n">
        <v>3.6</v>
      </c>
      <c r="H480" t="n">
        <v>0</v>
      </c>
      <c r="I480" t="n">
        <v>0</v>
      </c>
      <c r="J480" t="n">
        <v>0</v>
      </c>
      <c r="K480" t="n">
        <v>0</v>
      </c>
      <c r="L480" t="n">
        <v>0</v>
      </c>
      <c r="M480" t="n">
        <v>0</v>
      </c>
      <c r="N480" t="n">
        <v>0</v>
      </c>
      <c r="O480" t="n">
        <v>0</v>
      </c>
      <c r="P480" t="n">
        <v>0</v>
      </c>
      <c r="Q480" t="n">
        <v>0</v>
      </c>
      <c r="R480" s="2" t="inlineStr"/>
    </row>
    <row r="481" ht="15" customHeight="1">
      <c r="A481" t="inlineStr">
        <is>
          <t>A 1291-2023</t>
        </is>
      </c>
      <c r="B481" s="1" t="n">
        <v>44936.47561342592</v>
      </c>
      <c r="C481" s="1" t="n">
        <v>45934</v>
      </c>
      <c r="D481" t="inlineStr">
        <is>
          <t>GOTLANDS LÄN</t>
        </is>
      </c>
      <c r="E481" t="inlineStr">
        <is>
          <t>GOTLAND</t>
        </is>
      </c>
      <c r="G481" t="n">
        <v>7.4</v>
      </c>
      <c r="H481" t="n">
        <v>0</v>
      </c>
      <c r="I481" t="n">
        <v>0</v>
      </c>
      <c r="J481" t="n">
        <v>0</v>
      </c>
      <c r="K481" t="n">
        <v>0</v>
      </c>
      <c r="L481" t="n">
        <v>0</v>
      </c>
      <c r="M481" t="n">
        <v>0</v>
      </c>
      <c r="N481" t="n">
        <v>0</v>
      </c>
      <c r="O481" t="n">
        <v>0</v>
      </c>
      <c r="P481" t="n">
        <v>0</v>
      </c>
      <c r="Q481" t="n">
        <v>0</v>
      </c>
      <c r="R481" s="2" t="inlineStr"/>
    </row>
    <row r="482" ht="15" customHeight="1">
      <c r="A482" t="inlineStr">
        <is>
          <t>A 32330-2024</t>
        </is>
      </c>
      <c r="B482" s="1" t="n">
        <v>45512</v>
      </c>
      <c r="C482" s="1" t="n">
        <v>45934</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5891-2025</t>
        </is>
      </c>
      <c r="B483" s="1" t="n">
        <v>45695.38327546296</v>
      </c>
      <c r="C483" s="1" t="n">
        <v>45934</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6749-2025</t>
        </is>
      </c>
      <c r="B484" s="1" t="n">
        <v>45700</v>
      </c>
      <c r="C484" s="1" t="n">
        <v>45934</v>
      </c>
      <c r="D484" t="inlineStr">
        <is>
          <t>GOTLANDS LÄN</t>
        </is>
      </c>
      <c r="E484" t="inlineStr">
        <is>
          <t>GOTLAND</t>
        </is>
      </c>
      <c r="G484" t="n">
        <v>4.5</v>
      </c>
      <c r="H484" t="n">
        <v>0</v>
      </c>
      <c r="I484" t="n">
        <v>0</v>
      </c>
      <c r="J484" t="n">
        <v>0</v>
      </c>
      <c r="K484" t="n">
        <v>0</v>
      </c>
      <c r="L484" t="n">
        <v>0</v>
      </c>
      <c r="M484" t="n">
        <v>0</v>
      </c>
      <c r="N484" t="n">
        <v>0</v>
      </c>
      <c r="O484" t="n">
        <v>0</v>
      </c>
      <c r="P484" t="n">
        <v>0</v>
      </c>
      <c r="Q484" t="n">
        <v>0</v>
      </c>
      <c r="R484" s="2" t="inlineStr"/>
    </row>
    <row r="485" ht="15" customHeight="1">
      <c r="A485" t="inlineStr">
        <is>
          <t>A 14804-2021</t>
        </is>
      </c>
      <c r="B485" s="1" t="n">
        <v>44280</v>
      </c>
      <c r="C485" s="1" t="n">
        <v>45934</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2719-2023</t>
        </is>
      </c>
      <c r="B486" s="1" t="n">
        <v>44944.55361111111</v>
      </c>
      <c r="C486" s="1" t="n">
        <v>45934</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17144-2025</t>
        </is>
      </c>
      <c r="B487" s="1" t="n">
        <v>45755.9499537037</v>
      </c>
      <c r="C487" s="1" t="n">
        <v>45934</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49314-2024</t>
        </is>
      </c>
      <c r="B488" s="1" t="n">
        <v>45595.55893518519</v>
      </c>
      <c r="C488" s="1" t="n">
        <v>45934</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9875-2025</t>
        </is>
      </c>
      <c r="B489" s="1" t="n">
        <v>45716</v>
      </c>
      <c r="C489" s="1" t="n">
        <v>45934</v>
      </c>
      <c r="D489" t="inlineStr">
        <is>
          <t>GOTLANDS LÄN</t>
        </is>
      </c>
      <c r="E489" t="inlineStr">
        <is>
          <t>GOTLAND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44755.8713425926</v>
      </c>
      <c r="C490" s="1" t="n">
        <v>45934</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5462-2025</t>
        </is>
      </c>
      <c r="B491" s="1" t="n">
        <v>45693.29331018519</v>
      </c>
      <c r="C491" s="1" t="n">
        <v>45934</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16361-2024</t>
        </is>
      </c>
      <c r="B492" s="1" t="n">
        <v>45407</v>
      </c>
      <c r="C492" s="1" t="n">
        <v>45934</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43081-2022</t>
        </is>
      </c>
      <c r="B493" s="1" t="n">
        <v>44833</v>
      </c>
      <c r="C493" s="1" t="n">
        <v>45934</v>
      </c>
      <c r="D493" t="inlineStr">
        <is>
          <t>GOTLANDS LÄN</t>
        </is>
      </c>
      <c r="E493" t="inlineStr">
        <is>
          <t>GOTLAND</t>
        </is>
      </c>
      <c r="G493" t="n">
        <v>6.8</v>
      </c>
      <c r="H493" t="n">
        <v>0</v>
      </c>
      <c r="I493" t="n">
        <v>0</v>
      </c>
      <c r="J493" t="n">
        <v>0</v>
      </c>
      <c r="K493" t="n">
        <v>0</v>
      </c>
      <c r="L493" t="n">
        <v>0</v>
      </c>
      <c r="M493" t="n">
        <v>0</v>
      </c>
      <c r="N493" t="n">
        <v>0</v>
      </c>
      <c r="O493" t="n">
        <v>0</v>
      </c>
      <c r="P493" t="n">
        <v>0</v>
      </c>
      <c r="Q493" t="n">
        <v>0</v>
      </c>
      <c r="R493" s="2" t="inlineStr"/>
    </row>
    <row r="494" ht="15" customHeight="1">
      <c r="A494" t="inlineStr">
        <is>
          <t>A 1175-2025</t>
        </is>
      </c>
      <c r="B494" s="1" t="n">
        <v>45667.34449074074</v>
      </c>
      <c r="C494" s="1" t="n">
        <v>45934</v>
      </c>
      <c r="D494" t="inlineStr">
        <is>
          <t>GOTLANDS LÄN</t>
        </is>
      </c>
      <c r="E494" t="inlineStr">
        <is>
          <t>GOTLAND</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42201-2023</t>
        </is>
      </c>
      <c r="B495" s="1" t="n">
        <v>45179</v>
      </c>
      <c r="C495" s="1" t="n">
        <v>45934</v>
      </c>
      <c r="D495" t="inlineStr">
        <is>
          <t>GOTLANDS LÄN</t>
        </is>
      </c>
      <c r="E495" t="inlineStr">
        <is>
          <t>GOTLAND</t>
        </is>
      </c>
      <c r="G495" t="n">
        <v>11.9</v>
      </c>
      <c r="H495" t="n">
        <v>0</v>
      </c>
      <c r="I495" t="n">
        <v>0</v>
      </c>
      <c r="J495" t="n">
        <v>0</v>
      </c>
      <c r="K495" t="n">
        <v>0</v>
      </c>
      <c r="L495" t="n">
        <v>0</v>
      </c>
      <c r="M495" t="n">
        <v>0</v>
      </c>
      <c r="N495" t="n">
        <v>0</v>
      </c>
      <c r="O495" t="n">
        <v>0</v>
      </c>
      <c r="P495" t="n">
        <v>0</v>
      </c>
      <c r="Q495" t="n">
        <v>0</v>
      </c>
      <c r="R495" s="2" t="inlineStr"/>
    </row>
    <row r="496" ht="15" customHeight="1">
      <c r="A496" t="inlineStr">
        <is>
          <t>A 3150-2025</t>
        </is>
      </c>
      <c r="B496" s="1" t="n">
        <v>45679.28974537037</v>
      </c>
      <c r="C496" s="1" t="n">
        <v>45934</v>
      </c>
      <c r="D496" t="inlineStr">
        <is>
          <t>GOTLANDS LÄN</t>
        </is>
      </c>
      <c r="E496" t="inlineStr">
        <is>
          <t>GOTLAND</t>
        </is>
      </c>
      <c r="G496" t="n">
        <v>2.5</v>
      </c>
      <c r="H496" t="n">
        <v>0</v>
      </c>
      <c r="I496" t="n">
        <v>0</v>
      </c>
      <c r="J496" t="n">
        <v>0</v>
      </c>
      <c r="K496" t="n">
        <v>0</v>
      </c>
      <c r="L496" t="n">
        <v>0</v>
      </c>
      <c r="M496" t="n">
        <v>0</v>
      </c>
      <c r="N496" t="n">
        <v>0</v>
      </c>
      <c r="O496" t="n">
        <v>0</v>
      </c>
      <c r="P496" t="n">
        <v>0</v>
      </c>
      <c r="Q496" t="n">
        <v>0</v>
      </c>
      <c r="R496" s="2" t="inlineStr"/>
    </row>
    <row r="497" ht="15" customHeight="1">
      <c r="A497" t="inlineStr">
        <is>
          <t>A 42041-2024</t>
        </is>
      </c>
      <c r="B497" s="1" t="n">
        <v>45561</v>
      </c>
      <c r="C497" s="1" t="n">
        <v>45934</v>
      </c>
      <c r="D497" t="inlineStr">
        <is>
          <t>GOTLANDS LÄN</t>
        </is>
      </c>
      <c r="E497" t="inlineStr">
        <is>
          <t>GOTLAND</t>
        </is>
      </c>
      <c r="G497" t="n">
        <v>3.2</v>
      </c>
      <c r="H497" t="n">
        <v>0</v>
      </c>
      <c r="I497" t="n">
        <v>0</v>
      </c>
      <c r="J497" t="n">
        <v>0</v>
      </c>
      <c r="K497" t="n">
        <v>0</v>
      </c>
      <c r="L497" t="n">
        <v>0</v>
      </c>
      <c r="M497" t="n">
        <v>0</v>
      </c>
      <c r="N497" t="n">
        <v>0</v>
      </c>
      <c r="O497" t="n">
        <v>0</v>
      </c>
      <c r="P497" t="n">
        <v>0</v>
      </c>
      <c r="Q497" t="n">
        <v>0</v>
      </c>
      <c r="R497" s="2" t="inlineStr"/>
    </row>
    <row r="498" ht="15" customHeight="1">
      <c r="A498" t="inlineStr">
        <is>
          <t>A 25796-2025</t>
        </is>
      </c>
      <c r="B498" s="1" t="n">
        <v>45804.39543981481</v>
      </c>
      <c r="C498" s="1" t="n">
        <v>45934</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15436-2025</t>
        </is>
      </c>
      <c r="B499" s="1" t="n">
        <v>45747.47462962963</v>
      </c>
      <c r="C499" s="1" t="n">
        <v>45934</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45934</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26391-2025</t>
        </is>
      </c>
      <c r="B501" s="1" t="n">
        <v>45806</v>
      </c>
      <c r="C501" s="1" t="n">
        <v>45934</v>
      </c>
      <c r="D501" t="inlineStr">
        <is>
          <t>GOTLANDS LÄN</t>
        </is>
      </c>
      <c r="E501" t="inlineStr">
        <is>
          <t>GOTLAND</t>
        </is>
      </c>
      <c r="G501" t="n">
        <v>2</v>
      </c>
      <c r="H501" t="n">
        <v>0</v>
      </c>
      <c r="I501" t="n">
        <v>0</v>
      </c>
      <c r="J501" t="n">
        <v>0</v>
      </c>
      <c r="K501" t="n">
        <v>0</v>
      </c>
      <c r="L501" t="n">
        <v>0</v>
      </c>
      <c r="M501" t="n">
        <v>0</v>
      </c>
      <c r="N501" t="n">
        <v>0</v>
      </c>
      <c r="O501" t="n">
        <v>0</v>
      </c>
      <c r="P501" t="n">
        <v>0</v>
      </c>
      <c r="Q501" t="n">
        <v>0</v>
      </c>
      <c r="R501" s="2" t="inlineStr"/>
    </row>
    <row r="502" ht="15" customHeight="1">
      <c r="A502" t="inlineStr">
        <is>
          <t>A 26465-2025</t>
        </is>
      </c>
      <c r="B502" s="1" t="n">
        <v>45807.44377314814</v>
      </c>
      <c r="C502" s="1" t="n">
        <v>45934</v>
      </c>
      <c r="D502" t="inlineStr">
        <is>
          <t>GOTLANDS LÄN</t>
        </is>
      </c>
      <c r="E502" t="inlineStr">
        <is>
          <t>GOTLAND</t>
        </is>
      </c>
      <c r="G502" t="n">
        <v>4.5</v>
      </c>
      <c r="H502" t="n">
        <v>0</v>
      </c>
      <c r="I502" t="n">
        <v>0</v>
      </c>
      <c r="J502" t="n">
        <v>0</v>
      </c>
      <c r="K502" t="n">
        <v>0</v>
      </c>
      <c r="L502" t="n">
        <v>0</v>
      </c>
      <c r="M502" t="n">
        <v>0</v>
      </c>
      <c r="N502" t="n">
        <v>0</v>
      </c>
      <c r="O502" t="n">
        <v>0</v>
      </c>
      <c r="P502" t="n">
        <v>0</v>
      </c>
      <c r="Q502" t="n">
        <v>0</v>
      </c>
      <c r="R502" s="2" t="inlineStr"/>
    </row>
    <row r="503" ht="15" customHeight="1">
      <c r="A503" t="inlineStr">
        <is>
          <t>A 26457-2025</t>
        </is>
      </c>
      <c r="B503" s="1" t="n">
        <v>45807.42773148148</v>
      </c>
      <c r="C503" s="1" t="n">
        <v>45934</v>
      </c>
      <c r="D503" t="inlineStr">
        <is>
          <t>GOTLANDS LÄN</t>
        </is>
      </c>
      <c r="E503" t="inlineStr">
        <is>
          <t>GOTLAND</t>
        </is>
      </c>
      <c r="G503" t="n">
        <v>5.7</v>
      </c>
      <c r="H503" t="n">
        <v>0</v>
      </c>
      <c r="I503" t="n">
        <v>0</v>
      </c>
      <c r="J503" t="n">
        <v>0</v>
      </c>
      <c r="K503" t="n">
        <v>0</v>
      </c>
      <c r="L503" t="n">
        <v>0</v>
      </c>
      <c r="M503" t="n">
        <v>0</v>
      </c>
      <c r="N503" t="n">
        <v>0</v>
      </c>
      <c r="O503" t="n">
        <v>0</v>
      </c>
      <c r="P503" t="n">
        <v>0</v>
      </c>
      <c r="Q503" t="n">
        <v>0</v>
      </c>
      <c r="R503" s="2" t="inlineStr"/>
    </row>
    <row r="504" ht="15" customHeight="1">
      <c r="A504" t="inlineStr">
        <is>
          <t>A 26467-2025</t>
        </is>
      </c>
      <c r="B504" s="1" t="n">
        <v>45807.44640046296</v>
      </c>
      <c r="C504" s="1" t="n">
        <v>45934</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44682.82622685185</v>
      </c>
      <c r="C505" s="1" t="n">
        <v>45934</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63516-2023</t>
        </is>
      </c>
      <c r="B506" s="1" t="n">
        <v>45274</v>
      </c>
      <c r="C506" s="1" t="n">
        <v>45934</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26660-2025</t>
        </is>
      </c>
      <c r="B507" s="1" t="n">
        <v>45810.39737268518</v>
      </c>
      <c r="C507" s="1" t="n">
        <v>45934</v>
      </c>
      <c r="D507" t="inlineStr">
        <is>
          <t>GOTLANDS LÄN</t>
        </is>
      </c>
      <c r="E507" t="inlineStr">
        <is>
          <t>GOTLAND</t>
        </is>
      </c>
      <c r="G507" t="n">
        <v>1.8</v>
      </c>
      <c r="H507" t="n">
        <v>0</v>
      </c>
      <c r="I507" t="n">
        <v>0</v>
      </c>
      <c r="J507" t="n">
        <v>0</v>
      </c>
      <c r="K507" t="n">
        <v>0</v>
      </c>
      <c r="L507" t="n">
        <v>0</v>
      </c>
      <c r="M507" t="n">
        <v>0</v>
      </c>
      <c r="N507" t="n">
        <v>0</v>
      </c>
      <c r="O507" t="n">
        <v>0</v>
      </c>
      <c r="P507" t="n">
        <v>0</v>
      </c>
      <c r="Q507" t="n">
        <v>0</v>
      </c>
      <c r="R507" s="2" t="inlineStr"/>
    </row>
    <row r="508" ht="15" customHeight="1">
      <c r="A508" t="inlineStr">
        <is>
          <t>A 27355-2025</t>
        </is>
      </c>
      <c r="B508" s="1" t="n">
        <v>45812</v>
      </c>
      <c r="C508" s="1" t="n">
        <v>45934</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45934</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27371-2025</t>
        </is>
      </c>
      <c r="B510" s="1" t="n">
        <v>45812</v>
      </c>
      <c r="C510" s="1" t="n">
        <v>45934</v>
      </c>
      <c r="D510" t="inlineStr">
        <is>
          <t>GOTLANDS LÄN</t>
        </is>
      </c>
      <c r="E510" t="inlineStr">
        <is>
          <t>GOTLAND</t>
        </is>
      </c>
      <c r="G510" t="n">
        <v>8</v>
      </c>
      <c r="H510" t="n">
        <v>0</v>
      </c>
      <c r="I510" t="n">
        <v>0</v>
      </c>
      <c r="J510" t="n">
        <v>0</v>
      </c>
      <c r="K510" t="n">
        <v>0</v>
      </c>
      <c r="L510" t="n">
        <v>0</v>
      </c>
      <c r="M510" t="n">
        <v>0</v>
      </c>
      <c r="N510" t="n">
        <v>0</v>
      </c>
      <c r="O510" t="n">
        <v>0</v>
      </c>
      <c r="P510" t="n">
        <v>0</v>
      </c>
      <c r="Q510" t="n">
        <v>0</v>
      </c>
      <c r="R510" s="2" t="inlineStr"/>
    </row>
    <row r="511" ht="15" customHeight="1">
      <c r="A511" t="inlineStr">
        <is>
          <t>A 69112-2021</t>
        </is>
      </c>
      <c r="B511" s="1" t="n">
        <v>44530</v>
      </c>
      <c r="C511" s="1" t="n">
        <v>45934</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48734-2022</t>
        </is>
      </c>
      <c r="B512" s="1" t="n">
        <v>44855</v>
      </c>
      <c r="C512" s="1" t="n">
        <v>45934</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23516-2023</t>
        </is>
      </c>
      <c r="B513" s="1" t="n">
        <v>45076.93391203704</v>
      </c>
      <c r="C513" s="1" t="n">
        <v>45934</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43231-2023</t>
        </is>
      </c>
      <c r="B514" s="1" t="n">
        <v>45183.47025462963</v>
      </c>
      <c r="C514" s="1" t="n">
        <v>45934</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7850-2025</t>
        </is>
      </c>
      <c r="B515" s="1" t="n">
        <v>45706</v>
      </c>
      <c r="C515" s="1" t="n">
        <v>45934</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58230-2024</t>
        </is>
      </c>
      <c r="B516" s="1" t="n">
        <v>45632.51625</v>
      </c>
      <c r="C516" s="1" t="n">
        <v>45934</v>
      </c>
      <c r="D516" t="inlineStr">
        <is>
          <t>GOTLANDS LÄN</t>
        </is>
      </c>
      <c r="E516" t="inlineStr">
        <is>
          <t>GOTLAND</t>
        </is>
      </c>
      <c r="G516" t="n">
        <v>7.3</v>
      </c>
      <c r="H516" t="n">
        <v>0</v>
      </c>
      <c r="I516" t="n">
        <v>0</v>
      </c>
      <c r="J516" t="n">
        <v>0</v>
      </c>
      <c r="K516" t="n">
        <v>0</v>
      </c>
      <c r="L516" t="n">
        <v>0</v>
      </c>
      <c r="M516" t="n">
        <v>0</v>
      </c>
      <c r="N516" t="n">
        <v>0</v>
      </c>
      <c r="O516" t="n">
        <v>0</v>
      </c>
      <c r="P516" t="n">
        <v>0</v>
      </c>
      <c r="Q516" t="n">
        <v>0</v>
      </c>
      <c r="R516" s="2" t="inlineStr"/>
    </row>
    <row r="517" ht="15" customHeight="1">
      <c r="A517" t="inlineStr">
        <is>
          <t>A 6739-2025</t>
        </is>
      </c>
      <c r="B517" s="1" t="n">
        <v>45700</v>
      </c>
      <c r="C517" s="1" t="n">
        <v>45934</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64555-2023</t>
        </is>
      </c>
      <c r="B518" s="1" t="n">
        <v>45281</v>
      </c>
      <c r="C518" s="1" t="n">
        <v>45934</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457-2023</t>
        </is>
      </c>
      <c r="B519" s="1" t="n">
        <v>44929.87238425926</v>
      </c>
      <c r="C519" s="1" t="n">
        <v>45934</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459-2023</t>
        </is>
      </c>
      <c r="B520" s="1" t="n">
        <v>44929.87423611111</v>
      </c>
      <c r="C520" s="1" t="n">
        <v>45934</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8444-2025</t>
        </is>
      </c>
      <c r="B521" s="1" t="n">
        <v>45709</v>
      </c>
      <c r="C521" s="1" t="n">
        <v>45934</v>
      </c>
      <c r="D521" t="inlineStr">
        <is>
          <t>GOTLANDS LÄN</t>
        </is>
      </c>
      <c r="E521" t="inlineStr">
        <is>
          <t>GOTLAND</t>
        </is>
      </c>
      <c r="G521" t="n">
        <v>5.2</v>
      </c>
      <c r="H521" t="n">
        <v>0</v>
      </c>
      <c r="I521" t="n">
        <v>0</v>
      </c>
      <c r="J521" t="n">
        <v>0</v>
      </c>
      <c r="K521" t="n">
        <v>0</v>
      </c>
      <c r="L521" t="n">
        <v>0</v>
      </c>
      <c r="M521" t="n">
        <v>0</v>
      </c>
      <c r="N521" t="n">
        <v>0</v>
      </c>
      <c r="O521" t="n">
        <v>0</v>
      </c>
      <c r="P521" t="n">
        <v>0</v>
      </c>
      <c r="Q521" t="n">
        <v>0</v>
      </c>
      <c r="R521" s="2" t="inlineStr"/>
    </row>
    <row r="522" ht="15" customHeight="1">
      <c r="A522" t="inlineStr">
        <is>
          <t>A 19905-2025</t>
        </is>
      </c>
      <c r="B522" s="1" t="n">
        <v>45771</v>
      </c>
      <c r="C522" s="1" t="n">
        <v>45934</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6796-2025</t>
        </is>
      </c>
      <c r="B523" s="1" t="n">
        <v>45700.66559027778</v>
      </c>
      <c r="C523" s="1" t="n">
        <v>45934</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876-2024</t>
        </is>
      </c>
      <c r="B524" s="1" t="n">
        <v>45301</v>
      </c>
      <c r="C524" s="1" t="n">
        <v>45934</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26891-2024</t>
        </is>
      </c>
      <c r="B525" s="1" t="n">
        <v>45470.65540509259</v>
      </c>
      <c r="C525" s="1" t="n">
        <v>45934</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14536-2021</t>
        </is>
      </c>
      <c r="B526" s="1" t="n">
        <v>44279.66168981481</v>
      </c>
      <c r="C526" s="1" t="n">
        <v>45934</v>
      </c>
      <c r="D526" t="inlineStr">
        <is>
          <t>GOTLANDS LÄN</t>
        </is>
      </c>
      <c r="E526" t="inlineStr">
        <is>
          <t>GOTLAND</t>
        </is>
      </c>
      <c r="G526" t="n">
        <v>8.5</v>
      </c>
      <c r="H526" t="n">
        <v>0</v>
      </c>
      <c r="I526" t="n">
        <v>0</v>
      </c>
      <c r="J526" t="n">
        <v>0</v>
      </c>
      <c r="K526" t="n">
        <v>0</v>
      </c>
      <c r="L526" t="n">
        <v>0</v>
      </c>
      <c r="M526" t="n">
        <v>0</v>
      </c>
      <c r="N526" t="n">
        <v>0</v>
      </c>
      <c r="O526" t="n">
        <v>0</v>
      </c>
      <c r="P526" t="n">
        <v>0</v>
      </c>
      <c r="Q526" t="n">
        <v>0</v>
      </c>
      <c r="R526" s="2" t="inlineStr"/>
    </row>
    <row r="527" ht="15" customHeight="1">
      <c r="A527" t="inlineStr">
        <is>
          <t>A 5923-2023</t>
        </is>
      </c>
      <c r="B527" s="1" t="n">
        <v>44963.69503472222</v>
      </c>
      <c r="C527" s="1" t="n">
        <v>45934</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29207-2025</t>
        </is>
      </c>
      <c r="B528" s="1" t="n">
        <v>45823</v>
      </c>
      <c r="C528" s="1" t="n">
        <v>45934</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50482-2024</t>
        </is>
      </c>
      <c r="B529" s="1" t="n">
        <v>45601.48114583334</v>
      </c>
      <c r="C529" s="1" t="n">
        <v>45934</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29196-2025</t>
        </is>
      </c>
      <c r="B530" s="1" t="n">
        <v>45822</v>
      </c>
      <c r="C530" s="1" t="n">
        <v>45934</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5943-2024</t>
        </is>
      </c>
      <c r="B531" s="1" t="n">
        <v>45336</v>
      </c>
      <c r="C531" s="1" t="n">
        <v>45934</v>
      </c>
      <c r="D531" t="inlineStr">
        <is>
          <t>GOTLANDS LÄN</t>
        </is>
      </c>
      <c r="E531" t="inlineStr">
        <is>
          <t>GOTLAND</t>
        </is>
      </c>
      <c r="G531" t="n">
        <v>4.3</v>
      </c>
      <c r="H531" t="n">
        <v>0</v>
      </c>
      <c r="I531" t="n">
        <v>0</v>
      </c>
      <c r="J531" t="n">
        <v>0</v>
      </c>
      <c r="K531" t="n">
        <v>0</v>
      </c>
      <c r="L531" t="n">
        <v>0</v>
      </c>
      <c r="M531" t="n">
        <v>0</v>
      </c>
      <c r="N531" t="n">
        <v>0</v>
      </c>
      <c r="O531" t="n">
        <v>0</v>
      </c>
      <c r="P531" t="n">
        <v>0</v>
      </c>
      <c r="Q531" t="n">
        <v>0</v>
      </c>
      <c r="R531" s="2" t="inlineStr"/>
    </row>
    <row r="532" ht="15" customHeight="1">
      <c r="A532" t="inlineStr">
        <is>
          <t>A 38234-2023</t>
        </is>
      </c>
      <c r="B532" s="1" t="n">
        <v>45161.56663194444</v>
      </c>
      <c r="C532" s="1" t="n">
        <v>45934</v>
      </c>
      <c r="D532" t="inlineStr">
        <is>
          <t>GOTLANDS LÄN</t>
        </is>
      </c>
      <c r="E532" t="inlineStr">
        <is>
          <t>GOTLAND</t>
        </is>
      </c>
      <c r="G532" t="n">
        <v>1.3</v>
      </c>
      <c r="H532" t="n">
        <v>0</v>
      </c>
      <c r="I532" t="n">
        <v>0</v>
      </c>
      <c r="J532" t="n">
        <v>0</v>
      </c>
      <c r="K532" t="n">
        <v>0</v>
      </c>
      <c r="L532" t="n">
        <v>0</v>
      </c>
      <c r="M532" t="n">
        <v>0</v>
      </c>
      <c r="N532" t="n">
        <v>0</v>
      </c>
      <c r="O532" t="n">
        <v>0</v>
      </c>
      <c r="P532" t="n">
        <v>0</v>
      </c>
      <c r="Q532" t="n">
        <v>0</v>
      </c>
      <c r="R532" s="2" t="inlineStr"/>
    </row>
    <row r="533" ht="15" customHeight="1">
      <c r="A533" t="inlineStr">
        <is>
          <t>A 1273-2023</t>
        </is>
      </c>
      <c r="B533" s="1" t="n">
        <v>44936</v>
      </c>
      <c r="C533" s="1" t="n">
        <v>45934</v>
      </c>
      <c r="D533" t="inlineStr">
        <is>
          <t>GOTLANDS LÄN</t>
        </is>
      </c>
      <c r="E533" t="inlineStr">
        <is>
          <t>GOTLAND</t>
        </is>
      </c>
      <c r="G533" t="n">
        <v>4.5</v>
      </c>
      <c r="H533" t="n">
        <v>0</v>
      </c>
      <c r="I533" t="n">
        <v>0</v>
      </c>
      <c r="J533" t="n">
        <v>0</v>
      </c>
      <c r="K533" t="n">
        <v>0</v>
      </c>
      <c r="L533" t="n">
        <v>0</v>
      </c>
      <c r="M533" t="n">
        <v>0</v>
      </c>
      <c r="N533" t="n">
        <v>0</v>
      </c>
      <c r="O533" t="n">
        <v>0</v>
      </c>
      <c r="P533" t="n">
        <v>0</v>
      </c>
      <c r="Q533" t="n">
        <v>0</v>
      </c>
      <c r="R533" s="2" t="inlineStr"/>
    </row>
    <row r="534" ht="15" customHeight="1">
      <c r="A534" t="inlineStr">
        <is>
          <t>A 30061-2025</t>
        </is>
      </c>
      <c r="B534" s="1" t="n">
        <v>45826.61488425926</v>
      </c>
      <c r="C534" s="1" t="n">
        <v>45934</v>
      </c>
      <c r="D534" t="inlineStr">
        <is>
          <t>GOTLANDS LÄN</t>
        </is>
      </c>
      <c r="E534" t="inlineStr">
        <is>
          <t>GOTLAND</t>
        </is>
      </c>
      <c r="G534" t="n">
        <v>4.1</v>
      </c>
      <c r="H534" t="n">
        <v>0</v>
      </c>
      <c r="I534" t="n">
        <v>0</v>
      </c>
      <c r="J534" t="n">
        <v>0</v>
      </c>
      <c r="K534" t="n">
        <v>0</v>
      </c>
      <c r="L534" t="n">
        <v>0</v>
      </c>
      <c r="M534" t="n">
        <v>0</v>
      </c>
      <c r="N534" t="n">
        <v>0</v>
      </c>
      <c r="O534" t="n">
        <v>0</v>
      </c>
      <c r="P534" t="n">
        <v>0</v>
      </c>
      <c r="Q534" t="n">
        <v>0</v>
      </c>
      <c r="R534" s="2" t="inlineStr"/>
    </row>
    <row r="535" ht="15" customHeight="1">
      <c r="A535" t="inlineStr">
        <is>
          <t>A 58160-2024</t>
        </is>
      </c>
      <c r="B535" s="1" t="n">
        <v>45632.44927083333</v>
      </c>
      <c r="C535" s="1" t="n">
        <v>45934</v>
      </c>
      <c r="D535" t="inlineStr">
        <is>
          <t>GOTLANDS LÄN</t>
        </is>
      </c>
      <c r="E535" t="inlineStr">
        <is>
          <t>GOTLAND</t>
        </is>
      </c>
      <c r="G535" t="n">
        <v>5.6</v>
      </c>
      <c r="H535" t="n">
        <v>0</v>
      </c>
      <c r="I535" t="n">
        <v>0</v>
      </c>
      <c r="J535" t="n">
        <v>0</v>
      </c>
      <c r="K535" t="n">
        <v>0</v>
      </c>
      <c r="L535" t="n">
        <v>0</v>
      </c>
      <c r="M535" t="n">
        <v>0</v>
      </c>
      <c r="N535" t="n">
        <v>0</v>
      </c>
      <c r="O535" t="n">
        <v>0</v>
      </c>
      <c r="P535" t="n">
        <v>0</v>
      </c>
      <c r="Q535" t="n">
        <v>0</v>
      </c>
      <c r="R535" s="2" t="inlineStr"/>
    </row>
    <row r="536" ht="15" customHeight="1">
      <c r="A536" t="inlineStr">
        <is>
          <t>A 17724-2024</t>
        </is>
      </c>
      <c r="B536" s="1" t="n">
        <v>45418.55096064815</v>
      </c>
      <c r="C536" s="1" t="n">
        <v>45934</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23978-2023</t>
        </is>
      </c>
      <c r="B537" s="1" t="n">
        <v>45078</v>
      </c>
      <c r="C537" s="1" t="n">
        <v>45934</v>
      </c>
      <c r="D537" t="inlineStr">
        <is>
          <t>GOTLANDS LÄN</t>
        </is>
      </c>
      <c r="E537" t="inlineStr">
        <is>
          <t>GOTLAND</t>
        </is>
      </c>
      <c r="F537" t="inlineStr">
        <is>
          <t>Naturvårdsverket</t>
        </is>
      </c>
      <c r="G537" t="n">
        <v>1.7</v>
      </c>
      <c r="H537" t="n">
        <v>0</v>
      </c>
      <c r="I537" t="n">
        <v>0</v>
      </c>
      <c r="J537" t="n">
        <v>0</v>
      </c>
      <c r="K537" t="n">
        <v>0</v>
      </c>
      <c r="L537" t="n">
        <v>0</v>
      </c>
      <c r="M537" t="n">
        <v>0</v>
      </c>
      <c r="N537" t="n">
        <v>0</v>
      </c>
      <c r="O537" t="n">
        <v>0</v>
      </c>
      <c r="P537" t="n">
        <v>0</v>
      </c>
      <c r="Q537" t="n">
        <v>0</v>
      </c>
      <c r="R537" s="2" t="inlineStr"/>
    </row>
    <row r="538" ht="15" customHeight="1">
      <c r="A538" t="inlineStr">
        <is>
          <t>A 49884-2023</t>
        </is>
      </c>
      <c r="B538" s="1" t="n">
        <v>45213</v>
      </c>
      <c r="C538" s="1" t="n">
        <v>45934</v>
      </c>
      <c r="D538" t="inlineStr">
        <is>
          <t>GOTLANDS LÄN</t>
        </is>
      </c>
      <c r="E538" t="inlineStr">
        <is>
          <t>GOTLAND</t>
        </is>
      </c>
      <c r="G538" t="n">
        <v>8.9</v>
      </c>
      <c r="H538" t="n">
        <v>0</v>
      </c>
      <c r="I538" t="n">
        <v>0</v>
      </c>
      <c r="J538" t="n">
        <v>0</v>
      </c>
      <c r="K538" t="n">
        <v>0</v>
      </c>
      <c r="L538" t="n">
        <v>0</v>
      </c>
      <c r="M538" t="n">
        <v>0</v>
      </c>
      <c r="N538" t="n">
        <v>0</v>
      </c>
      <c r="O538" t="n">
        <v>0</v>
      </c>
      <c r="P538" t="n">
        <v>0</v>
      </c>
      <c r="Q538" t="n">
        <v>0</v>
      </c>
      <c r="R538" s="2" t="inlineStr"/>
    </row>
    <row r="539" ht="15" customHeight="1">
      <c r="A539" t="inlineStr">
        <is>
          <t>A 12846-2025</t>
        </is>
      </c>
      <c r="B539" s="1" t="n">
        <v>45733.65049768519</v>
      </c>
      <c r="C539" s="1" t="n">
        <v>45934</v>
      </c>
      <c r="D539" t="inlineStr">
        <is>
          <t>GOTLANDS LÄN</t>
        </is>
      </c>
      <c r="E539" t="inlineStr">
        <is>
          <t>GOTLAND</t>
        </is>
      </c>
      <c r="G539" t="n">
        <v>1.7</v>
      </c>
      <c r="H539" t="n">
        <v>0</v>
      </c>
      <c r="I539" t="n">
        <v>0</v>
      </c>
      <c r="J539" t="n">
        <v>0</v>
      </c>
      <c r="K539" t="n">
        <v>0</v>
      </c>
      <c r="L539" t="n">
        <v>0</v>
      </c>
      <c r="M539" t="n">
        <v>0</v>
      </c>
      <c r="N539" t="n">
        <v>0</v>
      </c>
      <c r="O539" t="n">
        <v>0</v>
      </c>
      <c r="P539" t="n">
        <v>0</v>
      </c>
      <c r="Q539" t="n">
        <v>0</v>
      </c>
      <c r="R539" s="2" t="inlineStr"/>
    </row>
    <row r="540" ht="15" customHeight="1">
      <c r="A540" t="inlineStr">
        <is>
          <t>A 43200-2023</t>
        </is>
      </c>
      <c r="B540" s="1" t="n">
        <v>45183</v>
      </c>
      <c r="C540" s="1" t="n">
        <v>45934</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3935-2025</t>
        </is>
      </c>
      <c r="B541" s="1" t="n">
        <v>45684.46070601852</v>
      </c>
      <c r="C541" s="1" t="n">
        <v>45934</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16109-2025</t>
        </is>
      </c>
      <c r="B542" s="1" t="n">
        <v>45750</v>
      </c>
      <c r="C542" s="1" t="n">
        <v>45934</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32467-2025</t>
        </is>
      </c>
      <c r="B543" s="1" t="n">
        <v>45838.42111111111</v>
      </c>
      <c r="C543" s="1" t="n">
        <v>45934</v>
      </c>
      <c r="D543" t="inlineStr">
        <is>
          <t>GOTLANDS LÄN</t>
        </is>
      </c>
      <c r="E543" t="inlineStr">
        <is>
          <t>GOTLAND</t>
        </is>
      </c>
      <c r="G543" t="n">
        <v>4.3</v>
      </c>
      <c r="H543" t="n">
        <v>0</v>
      </c>
      <c r="I543" t="n">
        <v>0</v>
      </c>
      <c r="J543" t="n">
        <v>0</v>
      </c>
      <c r="K543" t="n">
        <v>0</v>
      </c>
      <c r="L543" t="n">
        <v>0</v>
      </c>
      <c r="M543" t="n">
        <v>0</v>
      </c>
      <c r="N543" t="n">
        <v>0</v>
      </c>
      <c r="O543" t="n">
        <v>0</v>
      </c>
      <c r="P543" t="n">
        <v>0</v>
      </c>
      <c r="Q543" t="n">
        <v>0</v>
      </c>
      <c r="R543" s="2" t="inlineStr"/>
    </row>
    <row r="544" ht="15" customHeight="1">
      <c r="A544" t="inlineStr">
        <is>
          <t>A 32378-2025</t>
        </is>
      </c>
      <c r="B544" s="1" t="n">
        <v>45837</v>
      </c>
      <c r="C544" s="1" t="n">
        <v>45934</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21792-2024</t>
        </is>
      </c>
      <c r="B545" s="1" t="n">
        <v>45442.64326388889</v>
      </c>
      <c r="C545" s="1" t="n">
        <v>45934</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32379-2025</t>
        </is>
      </c>
      <c r="B546" s="1" t="n">
        <v>45837</v>
      </c>
      <c r="C546" s="1" t="n">
        <v>45934</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33078-2025</t>
        </is>
      </c>
      <c r="B547" s="1" t="n">
        <v>45840</v>
      </c>
      <c r="C547" s="1" t="n">
        <v>45934</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33007-2025</t>
        </is>
      </c>
      <c r="B548" s="1" t="n">
        <v>45840</v>
      </c>
      <c r="C548" s="1" t="n">
        <v>45934</v>
      </c>
      <c r="D548" t="inlineStr">
        <is>
          <t>GOTLANDS LÄN</t>
        </is>
      </c>
      <c r="E548" t="inlineStr">
        <is>
          <t>GOTLAND</t>
        </is>
      </c>
      <c r="G548" t="n">
        <v>4.9</v>
      </c>
      <c r="H548" t="n">
        <v>0</v>
      </c>
      <c r="I548" t="n">
        <v>0</v>
      </c>
      <c r="J548" t="n">
        <v>0</v>
      </c>
      <c r="K548" t="n">
        <v>0</v>
      </c>
      <c r="L548" t="n">
        <v>0</v>
      </c>
      <c r="M548" t="n">
        <v>0</v>
      </c>
      <c r="N548" t="n">
        <v>0</v>
      </c>
      <c r="O548" t="n">
        <v>0</v>
      </c>
      <c r="P548" t="n">
        <v>0</v>
      </c>
      <c r="Q548" t="n">
        <v>0</v>
      </c>
      <c r="R548" s="2" t="inlineStr"/>
    </row>
    <row r="549" ht="15" customHeight="1">
      <c r="A549" t="inlineStr">
        <is>
          <t>A 33011-2025</t>
        </is>
      </c>
      <c r="B549" s="1" t="n">
        <v>45840</v>
      </c>
      <c r="C549" s="1" t="n">
        <v>45934</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48843-2024</t>
        </is>
      </c>
      <c r="B550" s="1" t="n">
        <v>45593</v>
      </c>
      <c r="C550" s="1" t="n">
        <v>45934</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10653-2023</t>
        </is>
      </c>
      <c r="B551" s="1" t="n">
        <v>44988.48859953704</v>
      </c>
      <c r="C551" s="1" t="n">
        <v>45934</v>
      </c>
      <c r="D551" t="inlineStr">
        <is>
          <t>GOTLANDS LÄN</t>
        </is>
      </c>
      <c r="E551" t="inlineStr">
        <is>
          <t>GOTLAND</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35512-2023</t>
        </is>
      </c>
      <c r="B552" s="1" t="n">
        <v>45147.25623842593</v>
      </c>
      <c r="C552" s="1" t="n">
        <v>45934</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11874-2024</t>
        </is>
      </c>
      <c r="B553" s="1" t="n">
        <v>45376.46956018519</v>
      </c>
      <c r="C553" s="1" t="n">
        <v>45934</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20225-2025</t>
        </is>
      </c>
      <c r="B554" s="1" t="n">
        <v>45772.65802083333</v>
      </c>
      <c r="C554" s="1" t="n">
        <v>45934</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1677-2023</t>
        </is>
      </c>
      <c r="B555" s="1" t="n">
        <v>44938</v>
      </c>
      <c r="C555" s="1" t="n">
        <v>45934</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64831-2023</t>
        </is>
      </c>
      <c r="B556" s="1" t="n">
        <v>45282.44924768519</v>
      </c>
      <c r="C556" s="1" t="n">
        <v>45934</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15413-2025</t>
        </is>
      </c>
      <c r="B557" s="1" t="n">
        <v>45747.451875</v>
      </c>
      <c r="C557" s="1" t="n">
        <v>45934</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35096-2025</t>
        </is>
      </c>
      <c r="B558" s="1" t="n">
        <v>45852.54356481481</v>
      </c>
      <c r="C558" s="1" t="n">
        <v>45934</v>
      </c>
      <c r="D558" t="inlineStr">
        <is>
          <t>GOTLANDS LÄN</t>
        </is>
      </c>
      <c r="E558" t="inlineStr">
        <is>
          <t>GOTLAND</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8036-2022</t>
        </is>
      </c>
      <c r="B559" s="1" t="n">
        <v>44609.44362268518</v>
      </c>
      <c r="C559" s="1" t="n">
        <v>45934</v>
      </c>
      <c r="D559" t="inlineStr">
        <is>
          <t>GOTLANDS LÄN</t>
        </is>
      </c>
      <c r="E559" t="inlineStr">
        <is>
          <t>GOTLAND</t>
        </is>
      </c>
      <c r="G559" t="n">
        <v>6.1</v>
      </c>
      <c r="H559" t="n">
        <v>0</v>
      </c>
      <c r="I559" t="n">
        <v>0</v>
      </c>
      <c r="J559" t="n">
        <v>0</v>
      </c>
      <c r="K559" t="n">
        <v>0</v>
      </c>
      <c r="L559" t="n">
        <v>0</v>
      </c>
      <c r="M559" t="n">
        <v>0</v>
      </c>
      <c r="N559" t="n">
        <v>0</v>
      </c>
      <c r="O559" t="n">
        <v>0</v>
      </c>
      <c r="P559" t="n">
        <v>0</v>
      </c>
      <c r="Q559" t="n">
        <v>0</v>
      </c>
      <c r="R559" s="2" t="inlineStr"/>
    </row>
    <row r="560" ht="15" customHeight="1">
      <c r="A560" t="inlineStr">
        <is>
          <t>A 35123-2025</t>
        </is>
      </c>
      <c r="B560" s="1" t="n">
        <v>45852.614375</v>
      </c>
      <c r="C560" s="1" t="n">
        <v>45934</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46375-2024</t>
        </is>
      </c>
      <c r="B561" s="1" t="n">
        <v>45582</v>
      </c>
      <c r="C561" s="1" t="n">
        <v>45934</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62915-2021</t>
        </is>
      </c>
      <c r="B562" s="1" t="n">
        <v>44504</v>
      </c>
      <c r="C562" s="1" t="n">
        <v>45934</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40372-2025</t>
        </is>
      </c>
      <c r="B563" s="1" t="n">
        <v>45895.5162037037</v>
      </c>
      <c r="C563" s="1" t="n">
        <v>45934</v>
      </c>
      <c r="D563" t="inlineStr">
        <is>
          <t>GOTLANDS LÄN</t>
        </is>
      </c>
      <c r="E563" t="inlineStr">
        <is>
          <t>GOTLAND</t>
        </is>
      </c>
      <c r="G563" t="n">
        <v>3.3</v>
      </c>
      <c r="H563" t="n">
        <v>0</v>
      </c>
      <c r="I563" t="n">
        <v>0</v>
      </c>
      <c r="J563" t="n">
        <v>0</v>
      </c>
      <c r="K563" t="n">
        <v>0</v>
      </c>
      <c r="L563" t="n">
        <v>0</v>
      </c>
      <c r="M563" t="n">
        <v>0</v>
      </c>
      <c r="N563" t="n">
        <v>0</v>
      </c>
      <c r="O563" t="n">
        <v>0</v>
      </c>
      <c r="P563" t="n">
        <v>0</v>
      </c>
      <c r="Q563" t="n">
        <v>0</v>
      </c>
      <c r="R563" s="2" t="inlineStr"/>
    </row>
    <row r="564" ht="15" customHeight="1">
      <c r="A564" t="inlineStr">
        <is>
          <t>A 40373-2025</t>
        </is>
      </c>
      <c r="B564" s="1" t="n">
        <v>45895.51821759259</v>
      </c>
      <c r="C564" s="1" t="n">
        <v>45934</v>
      </c>
      <c r="D564" t="inlineStr">
        <is>
          <t>GOTLANDS LÄN</t>
        </is>
      </c>
      <c r="E564" t="inlineStr">
        <is>
          <t>GOTLAND</t>
        </is>
      </c>
      <c r="G564" t="n">
        <v>0.6</v>
      </c>
      <c r="H564" t="n">
        <v>0</v>
      </c>
      <c r="I564" t="n">
        <v>0</v>
      </c>
      <c r="J564" t="n">
        <v>0</v>
      </c>
      <c r="K564" t="n">
        <v>0</v>
      </c>
      <c r="L564" t="n">
        <v>0</v>
      </c>
      <c r="M564" t="n">
        <v>0</v>
      </c>
      <c r="N564" t="n">
        <v>0</v>
      </c>
      <c r="O564" t="n">
        <v>0</v>
      </c>
      <c r="P564" t="n">
        <v>0</v>
      </c>
      <c r="Q564" t="n">
        <v>0</v>
      </c>
      <c r="R564" s="2" t="inlineStr"/>
    </row>
    <row r="565" ht="15" customHeight="1">
      <c r="A565" t="inlineStr">
        <is>
          <t>A 40103-2025</t>
        </is>
      </c>
      <c r="B565" s="1" t="n">
        <v>45894.4880324074</v>
      </c>
      <c r="C565" s="1" t="n">
        <v>45934</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7638-2025</t>
        </is>
      </c>
      <c r="B566" s="1" t="n">
        <v>45705.77306712963</v>
      </c>
      <c r="C566" s="1" t="n">
        <v>45934</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35290-2025</t>
        </is>
      </c>
      <c r="B567" s="1" t="n">
        <v>45854.38502314815</v>
      </c>
      <c r="C567" s="1" t="n">
        <v>45934</v>
      </c>
      <c r="D567" t="inlineStr">
        <is>
          <t>GOTLANDS LÄN</t>
        </is>
      </c>
      <c r="E567" t="inlineStr">
        <is>
          <t>GOTLAND</t>
        </is>
      </c>
      <c r="G567" t="n">
        <v>5.4</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44955.5502662037</v>
      </c>
      <c r="C568" s="1" t="n">
        <v>45934</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43901-2023</t>
        </is>
      </c>
      <c r="B569" s="1" t="n">
        <v>45187</v>
      </c>
      <c r="C569" s="1" t="n">
        <v>45934</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17532-2024</t>
        </is>
      </c>
      <c r="B570" s="1" t="n">
        <v>45415</v>
      </c>
      <c r="C570" s="1" t="n">
        <v>45934</v>
      </c>
      <c r="D570" t="inlineStr">
        <is>
          <t>GOTLANDS LÄN</t>
        </is>
      </c>
      <c r="E570" t="inlineStr">
        <is>
          <t>GOTLAND</t>
        </is>
      </c>
      <c r="G570" t="n">
        <v>4.3</v>
      </c>
      <c r="H570" t="n">
        <v>0</v>
      </c>
      <c r="I570" t="n">
        <v>0</v>
      </c>
      <c r="J570" t="n">
        <v>0</v>
      </c>
      <c r="K570" t="n">
        <v>0</v>
      </c>
      <c r="L570" t="n">
        <v>0</v>
      </c>
      <c r="M570" t="n">
        <v>0</v>
      </c>
      <c r="N570" t="n">
        <v>0</v>
      </c>
      <c r="O570" t="n">
        <v>0</v>
      </c>
      <c r="P570" t="n">
        <v>0</v>
      </c>
      <c r="Q570" t="n">
        <v>0</v>
      </c>
      <c r="R570" s="2" t="inlineStr"/>
    </row>
    <row r="571" ht="15" customHeight="1">
      <c r="A571" t="inlineStr">
        <is>
          <t>A 45692-2023</t>
        </is>
      </c>
      <c r="B571" s="1" t="n">
        <v>45195</v>
      </c>
      <c r="C571" s="1" t="n">
        <v>45934</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30104-2025</t>
        </is>
      </c>
      <c r="B572" s="1" t="n">
        <v>45826.68806712963</v>
      </c>
      <c r="C572" s="1" t="n">
        <v>45934</v>
      </c>
      <c r="D572" t="inlineStr">
        <is>
          <t>GOTLANDS LÄN</t>
        </is>
      </c>
      <c r="E572" t="inlineStr">
        <is>
          <t>GOTLAND</t>
        </is>
      </c>
      <c r="G572" t="n">
        <v>15.4</v>
      </c>
      <c r="H572" t="n">
        <v>0</v>
      </c>
      <c r="I572" t="n">
        <v>0</v>
      </c>
      <c r="J572" t="n">
        <v>0</v>
      </c>
      <c r="K572" t="n">
        <v>0</v>
      </c>
      <c r="L572" t="n">
        <v>0</v>
      </c>
      <c r="M572" t="n">
        <v>0</v>
      </c>
      <c r="N572" t="n">
        <v>0</v>
      </c>
      <c r="O572" t="n">
        <v>0</v>
      </c>
      <c r="P572" t="n">
        <v>0</v>
      </c>
      <c r="Q572" t="n">
        <v>0</v>
      </c>
      <c r="R572" s="2" t="inlineStr"/>
    </row>
    <row r="573" ht="15" customHeight="1">
      <c r="A573" t="inlineStr">
        <is>
          <t>A 40499-2025</t>
        </is>
      </c>
      <c r="B573" s="1" t="n">
        <v>45896.32517361111</v>
      </c>
      <c r="C573" s="1" t="n">
        <v>45934</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32669-2024</t>
        </is>
      </c>
      <c r="B574" s="1" t="n">
        <v>45514</v>
      </c>
      <c r="C574" s="1" t="n">
        <v>45934</v>
      </c>
      <c r="D574" t="inlineStr">
        <is>
          <t>GOTLANDS LÄN</t>
        </is>
      </c>
      <c r="E574" t="inlineStr">
        <is>
          <t>GOTLAND</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37222-2021</t>
        </is>
      </c>
      <c r="B575" s="1" t="n">
        <v>44396</v>
      </c>
      <c r="C575" s="1" t="n">
        <v>45934</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41551-2025</t>
        </is>
      </c>
      <c r="B576" s="1" t="n">
        <v>45901.58854166666</v>
      </c>
      <c r="C576" s="1" t="n">
        <v>45934</v>
      </c>
      <c r="D576" t="inlineStr">
        <is>
          <t>GOTLANDS LÄN</t>
        </is>
      </c>
      <c r="E576" t="inlineStr">
        <is>
          <t>GOTLAND</t>
        </is>
      </c>
      <c r="G576" t="n">
        <v>5.6</v>
      </c>
      <c r="H576" t="n">
        <v>0</v>
      </c>
      <c r="I576" t="n">
        <v>0</v>
      </c>
      <c r="J576" t="n">
        <v>0</v>
      </c>
      <c r="K576" t="n">
        <v>0</v>
      </c>
      <c r="L576" t="n">
        <v>0</v>
      </c>
      <c r="M576" t="n">
        <v>0</v>
      </c>
      <c r="N576" t="n">
        <v>0</v>
      </c>
      <c r="O576" t="n">
        <v>0</v>
      </c>
      <c r="P576" t="n">
        <v>0</v>
      </c>
      <c r="Q576" t="n">
        <v>0</v>
      </c>
      <c r="R576" s="2" t="inlineStr"/>
    </row>
    <row r="577" ht="15" customHeight="1">
      <c r="A577" t="inlineStr">
        <is>
          <t>A 35550-2025</t>
        </is>
      </c>
      <c r="B577" s="1" t="n">
        <v>45856.49324074074</v>
      </c>
      <c r="C577" s="1" t="n">
        <v>45934</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46396-2023</t>
        </is>
      </c>
      <c r="B578" s="1" t="n">
        <v>45197</v>
      </c>
      <c r="C578" s="1" t="n">
        <v>45934</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58388-2022</t>
        </is>
      </c>
      <c r="B579" s="1" t="n">
        <v>44894</v>
      </c>
      <c r="C579" s="1" t="n">
        <v>45934</v>
      </c>
      <c r="D579" t="inlineStr">
        <is>
          <t>GOTLANDS LÄN</t>
        </is>
      </c>
      <c r="E579" t="inlineStr">
        <is>
          <t>GOTLAND</t>
        </is>
      </c>
      <c r="F579" t="inlineStr">
        <is>
          <t>Övriga statliga verk och myndigheter</t>
        </is>
      </c>
      <c r="G579" t="n">
        <v>3.1</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45934</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41435-2025</t>
        </is>
      </c>
      <c r="B581" s="1" t="n">
        <v>45901.39974537037</v>
      </c>
      <c r="C581" s="1" t="n">
        <v>45934</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42608-2025</t>
        </is>
      </c>
      <c r="B582" s="1" t="n">
        <v>45905</v>
      </c>
      <c r="C582" s="1" t="n">
        <v>45934</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53934-2024</t>
        </is>
      </c>
      <c r="B583" s="1" t="n">
        <v>45615</v>
      </c>
      <c r="C583" s="1" t="n">
        <v>45934</v>
      </c>
      <c r="D583" t="inlineStr">
        <is>
          <t>GOTLANDS LÄN</t>
        </is>
      </c>
      <c r="E583" t="inlineStr">
        <is>
          <t>GOTLAND</t>
        </is>
      </c>
      <c r="G583" t="n">
        <v>5</v>
      </c>
      <c r="H583" t="n">
        <v>0</v>
      </c>
      <c r="I583" t="n">
        <v>0</v>
      </c>
      <c r="J583" t="n">
        <v>0</v>
      </c>
      <c r="K583" t="n">
        <v>0</v>
      </c>
      <c r="L583" t="n">
        <v>0</v>
      </c>
      <c r="M583" t="n">
        <v>0</v>
      </c>
      <c r="N583" t="n">
        <v>0</v>
      </c>
      <c r="O583" t="n">
        <v>0</v>
      </c>
      <c r="P583" t="n">
        <v>0</v>
      </c>
      <c r="Q583" t="n">
        <v>0</v>
      </c>
      <c r="R583" s="2" t="inlineStr"/>
    </row>
    <row r="584" ht="15" customHeight="1">
      <c r="A584" t="inlineStr">
        <is>
          <t>A 58132-2023</t>
        </is>
      </c>
      <c r="B584" s="1" t="n">
        <v>45250</v>
      </c>
      <c r="C584" s="1" t="n">
        <v>45934</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22899-2023</t>
        </is>
      </c>
      <c r="B585" s="1" t="n">
        <v>45072</v>
      </c>
      <c r="C585" s="1" t="n">
        <v>45934</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28285-2024</t>
        </is>
      </c>
      <c r="B586" s="1" t="n">
        <v>45477</v>
      </c>
      <c r="C586" s="1" t="n">
        <v>45934</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51963-2024</t>
        </is>
      </c>
      <c r="B587" s="1" t="n">
        <v>45607.64833333333</v>
      </c>
      <c r="C587" s="1" t="n">
        <v>45934</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30488-2025</t>
        </is>
      </c>
      <c r="B588" s="1" t="n">
        <v>45830</v>
      </c>
      <c r="C588" s="1" t="n">
        <v>45934</v>
      </c>
      <c r="D588" t="inlineStr">
        <is>
          <t>GOTLANDS LÄN</t>
        </is>
      </c>
      <c r="E588" t="inlineStr">
        <is>
          <t>GOTLAND</t>
        </is>
      </c>
      <c r="F588" t="inlineStr">
        <is>
          <t>Kyrkan</t>
        </is>
      </c>
      <c r="G588" t="n">
        <v>3.9</v>
      </c>
      <c r="H588" t="n">
        <v>0</v>
      </c>
      <c r="I588" t="n">
        <v>0</v>
      </c>
      <c r="J588" t="n">
        <v>0</v>
      </c>
      <c r="K588" t="n">
        <v>0</v>
      </c>
      <c r="L588" t="n">
        <v>0</v>
      </c>
      <c r="M588" t="n">
        <v>0</v>
      </c>
      <c r="N588" t="n">
        <v>0</v>
      </c>
      <c r="O588" t="n">
        <v>0</v>
      </c>
      <c r="P588" t="n">
        <v>0</v>
      </c>
      <c r="Q588" t="n">
        <v>0</v>
      </c>
      <c r="R588" s="2" t="inlineStr"/>
    </row>
    <row r="589" ht="15" customHeight="1">
      <c r="A589" t="inlineStr">
        <is>
          <t>A 15216-2025</t>
        </is>
      </c>
      <c r="B589" s="1" t="n">
        <v>45744</v>
      </c>
      <c r="C589" s="1" t="n">
        <v>45934</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15001-2025</t>
        </is>
      </c>
      <c r="B590" s="1" t="n">
        <v>45743</v>
      </c>
      <c r="C590" s="1" t="n">
        <v>45934</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43790-2024</t>
        </is>
      </c>
      <c r="B591" s="1" t="n">
        <v>45571</v>
      </c>
      <c r="C591" s="1" t="n">
        <v>45934</v>
      </c>
      <c r="D591" t="inlineStr">
        <is>
          <t>GOTLANDS LÄN</t>
        </is>
      </c>
      <c r="E591" t="inlineStr">
        <is>
          <t>GOTLAND</t>
        </is>
      </c>
      <c r="G591" t="n">
        <v>3.5</v>
      </c>
      <c r="H591" t="n">
        <v>0</v>
      </c>
      <c r="I591" t="n">
        <v>0</v>
      </c>
      <c r="J591" t="n">
        <v>0</v>
      </c>
      <c r="K591" t="n">
        <v>0</v>
      </c>
      <c r="L591" t="n">
        <v>0</v>
      </c>
      <c r="M591" t="n">
        <v>0</v>
      </c>
      <c r="N591" t="n">
        <v>0</v>
      </c>
      <c r="O591" t="n">
        <v>0</v>
      </c>
      <c r="P591" t="n">
        <v>0</v>
      </c>
      <c r="Q591" t="n">
        <v>0</v>
      </c>
      <c r="R591" s="2" t="inlineStr"/>
    </row>
    <row r="592" ht="15" customHeight="1">
      <c r="A592" t="inlineStr">
        <is>
          <t>A 17847-2025</t>
        </is>
      </c>
      <c r="B592" s="1" t="n">
        <v>45758</v>
      </c>
      <c r="C592" s="1" t="n">
        <v>45934</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36319-2025</t>
        </is>
      </c>
      <c r="B593" s="1" t="n">
        <v>45868</v>
      </c>
      <c r="C593" s="1" t="n">
        <v>45934</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1734-2025</t>
        </is>
      </c>
      <c r="B594" s="1" t="n">
        <v>45671.3840625</v>
      </c>
      <c r="C594" s="1" t="n">
        <v>45934</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18742-2025</t>
        </is>
      </c>
      <c r="B595" s="1" t="n">
        <v>45763</v>
      </c>
      <c r="C595" s="1" t="n">
        <v>45934</v>
      </c>
      <c r="D595" t="inlineStr">
        <is>
          <t>GOTLANDS LÄN</t>
        </is>
      </c>
      <c r="E595" t="inlineStr">
        <is>
          <t>GOTLAND</t>
        </is>
      </c>
      <c r="G595" t="n">
        <v>3.4</v>
      </c>
      <c r="H595" t="n">
        <v>0</v>
      </c>
      <c r="I595" t="n">
        <v>0</v>
      </c>
      <c r="J595" t="n">
        <v>0</v>
      </c>
      <c r="K595" t="n">
        <v>0</v>
      </c>
      <c r="L595" t="n">
        <v>0</v>
      </c>
      <c r="M595" t="n">
        <v>0</v>
      </c>
      <c r="N595" t="n">
        <v>0</v>
      </c>
      <c r="O595" t="n">
        <v>0</v>
      </c>
      <c r="P595" t="n">
        <v>0</v>
      </c>
      <c r="Q595" t="n">
        <v>0</v>
      </c>
      <c r="R595" s="2" t="inlineStr"/>
    </row>
    <row r="596" ht="15" customHeight="1">
      <c r="A596" t="inlineStr">
        <is>
          <t>A 30365-2024</t>
        </is>
      </c>
      <c r="B596" s="1" t="n">
        <v>45491.3716087963</v>
      </c>
      <c r="C596" s="1" t="n">
        <v>45934</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35129-2025</t>
        </is>
      </c>
      <c r="B597" s="1" t="n">
        <v>45852.63224537037</v>
      </c>
      <c r="C597" s="1" t="n">
        <v>45934</v>
      </c>
      <c r="D597" t="inlineStr">
        <is>
          <t>GOTLANDS LÄN</t>
        </is>
      </c>
      <c r="E597" t="inlineStr">
        <is>
          <t>GOTLAND</t>
        </is>
      </c>
      <c r="G597" t="n">
        <v>3.2</v>
      </c>
      <c r="H597" t="n">
        <v>0</v>
      </c>
      <c r="I597" t="n">
        <v>0</v>
      </c>
      <c r="J597" t="n">
        <v>0</v>
      </c>
      <c r="K597" t="n">
        <v>0</v>
      </c>
      <c r="L597" t="n">
        <v>0</v>
      </c>
      <c r="M597" t="n">
        <v>0</v>
      </c>
      <c r="N597" t="n">
        <v>0</v>
      </c>
      <c r="O597" t="n">
        <v>0</v>
      </c>
      <c r="P597" t="n">
        <v>0</v>
      </c>
      <c r="Q597" t="n">
        <v>0</v>
      </c>
      <c r="R597" s="2" t="inlineStr"/>
    </row>
    <row r="598" ht="15" customHeight="1">
      <c r="A598" t="inlineStr">
        <is>
          <t>A 2674-2023</t>
        </is>
      </c>
      <c r="B598" s="1" t="n">
        <v>44944</v>
      </c>
      <c r="C598" s="1" t="n">
        <v>45934</v>
      </c>
      <c r="D598" t="inlineStr">
        <is>
          <t>GOTLANDS LÄN</t>
        </is>
      </c>
      <c r="E598" t="inlineStr">
        <is>
          <t>GOTLAND</t>
        </is>
      </c>
      <c r="G598" t="n">
        <v>2.5</v>
      </c>
      <c r="H598" t="n">
        <v>0</v>
      </c>
      <c r="I598" t="n">
        <v>0</v>
      </c>
      <c r="J598" t="n">
        <v>0</v>
      </c>
      <c r="K598" t="n">
        <v>0</v>
      </c>
      <c r="L598" t="n">
        <v>0</v>
      </c>
      <c r="M598" t="n">
        <v>0</v>
      </c>
      <c r="N598" t="n">
        <v>0</v>
      </c>
      <c r="O598" t="n">
        <v>0</v>
      </c>
      <c r="P598" t="n">
        <v>0</v>
      </c>
      <c r="Q598" t="n">
        <v>0</v>
      </c>
      <c r="R598" s="2" t="inlineStr"/>
    </row>
    <row r="599" ht="15" customHeight="1">
      <c r="A599" t="inlineStr">
        <is>
          <t>A 61100-2022</t>
        </is>
      </c>
      <c r="B599" s="1" t="n">
        <v>44915</v>
      </c>
      <c r="C599" s="1" t="n">
        <v>45934</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c r="A600" t="inlineStr">
        <is>
          <t>A 581-2023</t>
        </is>
      </c>
      <c r="B600" s="1" t="n">
        <v>44930</v>
      </c>
      <c r="C600" s="1" t="n">
        <v>45934</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2025-10-04T12:39:50Z</dcterms:created>
  <dcterms:modified xmlns:dcterms="http://purl.org/dc/terms/" xmlns:xsi="http://www.w3.org/2001/XMLSchema-instance" xsi:type="dcterms:W3CDTF">2025-10-04T12:39:51Z</dcterms:modified>
</cp:coreProperties>
</file>