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46079</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46079</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46079</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46079</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46079</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46079</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46079</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46079</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46079</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46079</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46079</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46079</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46079</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46079</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46079</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46079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46079</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46079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46079</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46079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46079</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46079</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28287-2024</t>
        </is>
      </c>
      <c r="B39" s="1" t="n">
        <v>45477</v>
      </c>
      <c r="C39" s="1" t="n">
        <v>46079</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46079</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46079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46079</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46079</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46079</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46079</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46079</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46079</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584-2023</t>
        </is>
      </c>
      <c r="B49" s="1" t="n">
        <v>44930</v>
      </c>
      <c r="C49" s="1" t="n">
        <v>46079</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46079</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22404-2024</t>
        </is>
      </c>
      <c r="B51" s="1" t="n">
        <v>45446</v>
      </c>
      <c r="C51" s="1" t="n">
        <v>46079</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46079</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46079</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46079</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46079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46079</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46079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46079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46079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21467-2024</t>
        </is>
      </c>
      <c r="B60" s="1" t="n">
        <v>45441</v>
      </c>
      <c r="C60" s="1" t="n">
        <v>46079</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46079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46079</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46079</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44944-2022</t>
        </is>
      </c>
      <c r="B64" s="1" t="n">
        <v>44841</v>
      </c>
      <c r="C64" s="1" t="n">
        <v>46079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4984-2025</t>
        </is>
      </c>
      <c r="B65" s="1" t="n">
        <v>45691.29891203704</v>
      </c>
      <c r="C65" s="1" t="n">
        <v>46079</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34142-2024</t>
        </is>
      </c>
      <c r="B66" s="1" t="n">
        <v>45524.36521990741</v>
      </c>
      <c r="C66" s="1" t="n">
        <v>46079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46079</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56687-2025</t>
        </is>
      </c>
      <c r="B68" s="1" t="n">
        <v>45975.84065972222</v>
      </c>
      <c r="C68" s="1" t="n">
        <v>46079</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27168-2022</t>
        </is>
      </c>
      <c r="B69" s="1" t="n">
        <v>44741</v>
      </c>
      <c r="C69" s="1" t="n">
        <v>46079</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46079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46079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46079</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46079</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16823-2024</t>
        </is>
      </c>
      <c r="B75" s="1" t="n">
        <v>45411</v>
      </c>
      <c r="C75" s="1" t="n">
        <v>46079</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7038-2023</t>
        </is>
      </c>
      <c r="B76" s="1" t="n">
        <v>44968</v>
      </c>
      <c r="C76" s="1" t="n">
        <v>46079</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54527-2023</t>
        </is>
      </c>
      <c r="B77" s="1" t="n">
        <v>45233</v>
      </c>
      <c r="C77" s="1" t="n">
        <v>46079</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46079</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46079</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2213-2023</t>
        </is>
      </c>
      <c r="B81" s="1" t="n">
        <v>44942</v>
      </c>
      <c r="C81" s="1" t="n">
        <v>46079</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42936-2024</t>
        </is>
      </c>
      <c r="B82" s="1" t="n">
        <v>45567</v>
      </c>
      <c r="C82" s="1" t="n">
        <v>46079</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32326-2024</t>
        </is>
      </c>
      <c r="B83" s="1" t="n">
        <v>45512</v>
      </c>
      <c r="C83" s="1" t="n">
        <v>46079</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39425-2023</t>
        </is>
      </c>
      <c r="B84" s="1" t="n">
        <v>45166</v>
      </c>
      <c r="C84" s="1" t="n">
        <v>46079</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16375-2025</t>
        </is>
      </c>
      <c r="B85" s="1" t="n">
        <v>45751.41064814815</v>
      </c>
      <c r="C85" s="1" t="n">
        <v>46079</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46079</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6839-2026</t>
        </is>
      </c>
      <c r="B87" s="1" t="n">
        <v>46057.41193287037</v>
      </c>
      <c r="C87" s="1" t="n">
        <v>46079</v>
      </c>
      <c r="D87" t="inlineStr">
        <is>
          <t>GOTLANDS LÄN</t>
        </is>
      </c>
      <c r="E87" t="inlineStr">
        <is>
          <t>GOTLAND</t>
        </is>
      </c>
      <c r="G87" t="n">
        <v>4.9</v>
      </c>
      <c r="H87" t="n">
        <v>0</v>
      </c>
      <c r="I87" t="n">
        <v>1</v>
      </c>
      <c r="J87" t="n">
        <v>2</v>
      </c>
      <c r="K87" t="n">
        <v>2</v>
      </c>
      <c r="L87" t="n">
        <v>0</v>
      </c>
      <c r="M87" t="n">
        <v>0</v>
      </c>
      <c r="N87" t="n">
        <v>0</v>
      </c>
      <c r="O87" t="n">
        <v>4</v>
      </c>
      <c r="P87" t="n">
        <v>2</v>
      </c>
      <c r="Q87" t="n">
        <v>5</v>
      </c>
      <c r="R87" s="2" t="inlineStr">
        <is>
          <t>Mörk kraterlav
Skogskorn
Ekvaxskivling
Mjölmusseron
Besk kastanjemusseron</t>
        </is>
      </c>
      <c r="S87">
        <f>HYPERLINK("https://klasma.github.io/Logging_0980/artfynd/A 6839-2026 artfynd.xlsx", "A 6839-2026")</f>
        <v/>
      </c>
      <c r="T87">
        <f>HYPERLINK("https://klasma.github.io/Logging_0980/kartor/A 6839-2026 karta.png", "A 6839-2026")</f>
        <v/>
      </c>
      <c r="V87">
        <f>HYPERLINK("https://klasma.github.io/Logging_0980/klagomål/A 6839-2026 FSC-klagomål.docx", "A 6839-2026")</f>
        <v/>
      </c>
      <c r="W87">
        <f>HYPERLINK("https://klasma.github.io/Logging_0980/klagomålsmail/A 6839-2026 FSC-klagomål mail.docx", "A 6839-2026")</f>
        <v/>
      </c>
      <c r="X87">
        <f>HYPERLINK("https://klasma.github.io/Logging_0980/tillsyn/A 6839-2026 tillsynsbegäran.docx", "A 6839-2026")</f>
        <v/>
      </c>
      <c r="Y87">
        <f>HYPERLINK("https://klasma.github.io/Logging_0980/tillsynsmail/A 6839-2026 tillsynsbegäran mail.docx", "A 6839-2026")</f>
        <v/>
      </c>
    </row>
    <row r="88" ht="15" customHeight="1">
      <c r="A88" t="inlineStr">
        <is>
          <t>A 52245-2025</t>
        </is>
      </c>
      <c r="B88" s="1" t="n">
        <v>45953.47115740741</v>
      </c>
      <c r="C88" s="1" t="n">
        <v>46079</v>
      </c>
      <c r="D88" t="inlineStr">
        <is>
          <t>GOTLANDS LÄN</t>
        </is>
      </c>
      <c r="E88" t="inlineStr">
        <is>
          <t>GOTLAND</t>
        </is>
      </c>
      <c r="F88" t="inlineStr">
        <is>
          <t>Övriga Aktiebolag</t>
        </is>
      </c>
      <c r="G88" t="n">
        <v>10.1</v>
      </c>
      <c r="H88" t="n">
        <v>0</v>
      </c>
      <c r="I88" t="n">
        <v>3</v>
      </c>
      <c r="J88" t="n">
        <v>1</v>
      </c>
      <c r="K88" t="n">
        <v>1</v>
      </c>
      <c r="L88" t="n">
        <v>0</v>
      </c>
      <c r="M88" t="n">
        <v>0</v>
      </c>
      <c r="N88" t="n">
        <v>0</v>
      </c>
      <c r="O88" t="n">
        <v>2</v>
      </c>
      <c r="P88" t="n">
        <v>1</v>
      </c>
      <c r="Q88" t="n">
        <v>5</v>
      </c>
      <c r="R88" s="2" t="inlineStr">
        <is>
          <t>Källnate
Jordtistel
Olivspindling
Rödgul trumpetsvamp
Underviol</t>
        </is>
      </c>
      <c r="S88">
        <f>HYPERLINK("https://klasma.github.io/Logging_0980/artfynd/A 52245-2025 artfynd.xlsx", "A 52245-2025")</f>
        <v/>
      </c>
      <c r="T88">
        <f>HYPERLINK("https://klasma.github.io/Logging_0980/kartor/A 52245-2025 karta.png", "A 52245-2025")</f>
        <v/>
      </c>
      <c r="V88">
        <f>HYPERLINK("https://klasma.github.io/Logging_0980/klagomål/A 52245-2025 FSC-klagomål.docx", "A 52245-2025")</f>
        <v/>
      </c>
      <c r="W88">
        <f>HYPERLINK("https://klasma.github.io/Logging_0980/klagomålsmail/A 52245-2025 FSC-klagomål mail.docx", "A 52245-2025")</f>
        <v/>
      </c>
      <c r="X88">
        <f>HYPERLINK("https://klasma.github.io/Logging_0980/tillsyn/A 52245-2025 tillsynsbegäran.docx", "A 52245-2025")</f>
        <v/>
      </c>
      <c r="Y88">
        <f>HYPERLINK("https://klasma.github.io/Logging_0980/tillsynsmail/A 52245-2025 tillsynsbegäran mail.docx", "A 52245-2025")</f>
        <v/>
      </c>
    </row>
    <row r="89" ht="15" customHeight="1">
      <c r="A89" t="inlineStr">
        <is>
          <t>A 29331-2021</t>
        </is>
      </c>
      <c r="B89" s="1" t="n">
        <v>44361</v>
      </c>
      <c r="C89" s="1" t="n">
        <v>46079</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44933-2022</t>
        </is>
      </c>
      <c r="B90" s="1" t="n">
        <v>44841</v>
      </c>
      <c r="C90" s="1" t="n">
        <v>46079</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6159-2023</t>
        </is>
      </c>
      <c r="B91" s="1" t="n">
        <v>44964</v>
      </c>
      <c r="C91" s="1" t="n">
        <v>46079</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8265-2023</t>
        </is>
      </c>
      <c r="B92" s="1" t="n">
        <v>44974</v>
      </c>
      <c r="C92" s="1" t="n">
        <v>46079</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186-2023</t>
        </is>
      </c>
      <c r="B93" s="1" t="n">
        <v>44928</v>
      </c>
      <c r="C93" s="1" t="n">
        <v>46079</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56717-2024</t>
        </is>
      </c>
      <c r="B94" s="1" t="n">
        <v>45628.3166550926</v>
      </c>
      <c r="C94" s="1" t="n">
        <v>46079</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43197-2023</t>
        </is>
      </c>
      <c r="B95" s="1" t="n">
        <v>45183</v>
      </c>
      <c r="C95" s="1" t="n">
        <v>46079</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46079</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5904-2024</t>
        </is>
      </c>
      <c r="B97" s="1" t="n">
        <v>45335</v>
      </c>
      <c r="C97" s="1" t="n">
        <v>46079</v>
      </c>
      <c r="D97" t="inlineStr">
        <is>
          <t>GOTLANDS LÄN</t>
        </is>
      </c>
      <c r="E97" t="inlineStr">
        <is>
          <t>GOTLAND</t>
        </is>
      </c>
      <c r="G97" t="n">
        <v>6.4</v>
      </c>
      <c r="H97" t="n">
        <v>1</v>
      </c>
      <c r="I97" t="n">
        <v>2</v>
      </c>
      <c r="J97" t="n">
        <v>1</v>
      </c>
      <c r="K97" t="n">
        <v>0</v>
      </c>
      <c r="L97" t="n">
        <v>0</v>
      </c>
      <c r="M97" t="n">
        <v>0</v>
      </c>
      <c r="N97" t="n">
        <v>0</v>
      </c>
      <c r="O97" t="n">
        <v>1</v>
      </c>
      <c r="P97" t="n">
        <v>0</v>
      </c>
      <c r="Q97" t="n">
        <v>4</v>
      </c>
      <c r="R97" s="2" t="inlineStr">
        <is>
          <t>Backstarr
Blåmossa
Kattfotslav
Sankt pers nycklar</t>
        </is>
      </c>
      <c r="S97">
        <f>HYPERLINK("https://klasma.github.io/Logging_0980/artfynd/A 5904-2024 artfynd.xlsx", "A 5904-2024")</f>
        <v/>
      </c>
      <c r="T97">
        <f>HYPERLINK("https://klasma.github.io/Logging_0980/kartor/A 5904-2024 karta.png", "A 5904-2024")</f>
        <v/>
      </c>
      <c r="V97">
        <f>HYPERLINK("https://klasma.github.io/Logging_0980/klagomål/A 5904-2024 FSC-klagomål.docx", "A 5904-2024")</f>
        <v/>
      </c>
      <c r="W97">
        <f>HYPERLINK("https://klasma.github.io/Logging_0980/klagomålsmail/A 5904-2024 FSC-klagomål mail.docx", "A 5904-2024")</f>
        <v/>
      </c>
      <c r="X97">
        <f>HYPERLINK("https://klasma.github.io/Logging_0980/tillsyn/A 5904-2024 tillsynsbegäran.docx", "A 5904-2024")</f>
        <v/>
      </c>
      <c r="Y97">
        <f>HYPERLINK("https://klasma.github.io/Logging_0980/tillsynsmail/A 5904-2024 tillsynsbegäran mail.docx", "A 5904-2024")</f>
        <v/>
      </c>
    </row>
    <row r="98" ht="15" customHeight="1">
      <c r="A98" t="inlineStr">
        <is>
          <t>A 2485-2025</t>
        </is>
      </c>
      <c r="B98" s="1" t="n">
        <v>45673</v>
      </c>
      <c r="C98" s="1" t="n">
        <v>46079</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40099-2025</t>
        </is>
      </c>
      <c r="B99" s="1" t="n">
        <v>45894.48462962963</v>
      </c>
      <c r="C99" s="1" t="n">
        <v>46079</v>
      </c>
      <c r="D99" t="inlineStr">
        <is>
          <t>GOTLANDS LÄN</t>
        </is>
      </c>
      <c r="E99" t="inlineStr">
        <is>
          <t>GOTLAND</t>
        </is>
      </c>
      <c r="G99" t="n">
        <v>6.5</v>
      </c>
      <c r="H99" t="n">
        <v>0</v>
      </c>
      <c r="I99" t="n">
        <v>3</v>
      </c>
      <c r="J99" t="n">
        <v>0</v>
      </c>
      <c r="K99" t="n">
        <v>1</v>
      </c>
      <c r="L99" t="n">
        <v>0</v>
      </c>
      <c r="M99" t="n">
        <v>0</v>
      </c>
      <c r="N99" t="n">
        <v>0</v>
      </c>
      <c r="O99" t="n">
        <v>1</v>
      </c>
      <c r="P99" t="n">
        <v>1</v>
      </c>
      <c r="Q99" t="n">
        <v>4</v>
      </c>
      <c r="R99" s="2" t="inlineStr">
        <is>
          <t>Mörkfjällig olivspindling
Fjällig taggsvamp s.str.
Olivspindling
Svavelriska</t>
        </is>
      </c>
      <c r="S99">
        <f>HYPERLINK("https://klasma.github.io/Logging_0980/artfynd/A 40099-2025 artfynd.xlsx", "A 40099-2025")</f>
        <v/>
      </c>
      <c r="T99">
        <f>HYPERLINK("https://klasma.github.io/Logging_0980/kartor/A 40099-2025 karta.png", "A 40099-2025")</f>
        <v/>
      </c>
      <c r="V99">
        <f>HYPERLINK("https://klasma.github.io/Logging_0980/klagomål/A 40099-2025 FSC-klagomål.docx", "A 40099-2025")</f>
        <v/>
      </c>
      <c r="W99">
        <f>HYPERLINK("https://klasma.github.io/Logging_0980/klagomålsmail/A 40099-2025 FSC-klagomål mail.docx", "A 40099-2025")</f>
        <v/>
      </c>
      <c r="X99">
        <f>HYPERLINK("https://klasma.github.io/Logging_0980/tillsyn/A 40099-2025 tillsynsbegäran.docx", "A 40099-2025")</f>
        <v/>
      </c>
      <c r="Y99">
        <f>HYPERLINK("https://klasma.github.io/Logging_0980/tillsynsmail/A 40099-2025 tillsynsbegäran mail.docx", "A 40099-2025")</f>
        <v/>
      </c>
    </row>
    <row r="100" ht="15" customHeight="1">
      <c r="A100" t="inlineStr">
        <is>
          <t>A 20833-2024</t>
        </is>
      </c>
      <c r="B100" s="1" t="n">
        <v>45439</v>
      </c>
      <c r="C100" s="1" t="n">
        <v>46079</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54523-2023</t>
        </is>
      </c>
      <c r="B101" s="1" t="n">
        <v>45233</v>
      </c>
      <c r="C101" s="1" t="n">
        <v>46079</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6836-2026</t>
        </is>
      </c>
      <c r="B102" s="1" t="n">
        <v>46057.40902777778</v>
      </c>
      <c r="C102" s="1" t="n">
        <v>46079</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57463-2025</t>
        </is>
      </c>
      <c r="B103" s="1" t="n">
        <v>45980.54174768519</v>
      </c>
      <c r="C103" s="1" t="n">
        <v>46079</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57463-2025 artfynd.xlsx", "A 57463-2025")</f>
        <v/>
      </c>
      <c r="T103">
        <f>HYPERLINK("https://klasma.github.io/Logging_0980/kartor/A 57463-2025 karta.png", "A 57463-2025")</f>
        <v/>
      </c>
      <c r="V103">
        <f>HYPERLINK("https://klasma.github.io/Logging_0980/klagomål/A 57463-2025 FSC-klagomål.docx", "A 57463-2025")</f>
        <v/>
      </c>
      <c r="W103">
        <f>HYPERLINK("https://klasma.github.io/Logging_0980/klagomålsmail/A 57463-2025 FSC-klagomål mail.docx", "A 57463-2025")</f>
        <v/>
      </c>
      <c r="X103">
        <f>HYPERLINK("https://klasma.github.io/Logging_0980/tillsyn/A 57463-2025 tillsynsbegäran.docx", "A 57463-2025")</f>
        <v/>
      </c>
      <c r="Y103">
        <f>HYPERLINK("https://klasma.github.io/Logging_0980/tillsynsmail/A 57463-2025 tillsynsbegäran mail.docx", "A 57463-2025")</f>
        <v/>
      </c>
    </row>
    <row r="104" ht="15" customHeight="1">
      <c r="A104" t="inlineStr">
        <is>
          <t>A 52250-2025</t>
        </is>
      </c>
      <c r="B104" s="1" t="n">
        <v>45953.48998842593</v>
      </c>
      <c r="C104" s="1" t="n">
        <v>46079</v>
      </c>
      <c r="D104" t="inlineStr">
        <is>
          <t>GOTLANDS LÄN</t>
        </is>
      </c>
      <c r="E104" t="inlineStr">
        <is>
          <t>GOTLAND</t>
        </is>
      </c>
      <c r="F104" t="inlineStr">
        <is>
          <t>Övriga Aktiebolag</t>
        </is>
      </c>
      <c r="G104" t="n">
        <v>1.2</v>
      </c>
      <c r="H104" t="n">
        <v>2</v>
      </c>
      <c r="I104" t="n">
        <v>1</v>
      </c>
      <c r="J104" t="n">
        <v>2</v>
      </c>
      <c r="K104" t="n">
        <v>0</v>
      </c>
      <c r="L104" t="n">
        <v>0</v>
      </c>
      <c r="M104" t="n">
        <v>0</v>
      </c>
      <c r="N104" t="n">
        <v>0</v>
      </c>
      <c r="O104" t="n">
        <v>2</v>
      </c>
      <c r="P104" t="n">
        <v>0</v>
      </c>
      <c r="Q104" t="n">
        <v>4</v>
      </c>
      <c r="R104" s="2" t="inlineStr">
        <is>
          <t>Backtimjan
Spillkråka
Anisspindling
Nattviol</t>
        </is>
      </c>
      <c r="S104">
        <f>HYPERLINK("https://klasma.github.io/Logging_0980/artfynd/A 52250-2025 artfynd.xlsx", "A 52250-2025")</f>
        <v/>
      </c>
      <c r="T104">
        <f>HYPERLINK("https://klasma.github.io/Logging_0980/kartor/A 52250-2025 karta.png", "A 52250-2025")</f>
        <v/>
      </c>
      <c r="V104">
        <f>HYPERLINK("https://klasma.github.io/Logging_0980/klagomål/A 52250-2025 FSC-klagomål.docx", "A 52250-2025")</f>
        <v/>
      </c>
      <c r="W104">
        <f>HYPERLINK("https://klasma.github.io/Logging_0980/klagomålsmail/A 52250-2025 FSC-klagomål mail.docx", "A 52250-2025")</f>
        <v/>
      </c>
      <c r="X104">
        <f>HYPERLINK("https://klasma.github.io/Logging_0980/tillsyn/A 52250-2025 tillsynsbegäran.docx", "A 52250-2025")</f>
        <v/>
      </c>
      <c r="Y104">
        <f>HYPERLINK("https://klasma.github.io/Logging_0980/tillsynsmail/A 52250-2025 tillsynsbegäran mail.docx", "A 52250-2025")</f>
        <v/>
      </c>
      <c r="Z104">
        <f>HYPERLINK("https://klasma.github.io/Logging_0980/fåglar/A 52250-2025 prioriterade fågelarter.docx", "A 52250-2025")</f>
        <v/>
      </c>
    </row>
    <row r="105" ht="15" customHeight="1">
      <c r="A105" t="inlineStr">
        <is>
          <t>A 44323-2021</t>
        </is>
      </c>
      <c r="B105" s="1" t="n">
        <v>44434</v>
      </c>
      <c r="C105" s="1" t="n">
        <v>46079</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46079</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46079</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46079</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46079</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73144-2021</t>
        </is>
      </c>
      <c r="B110" s="1" t="n">
        <v>44550</v>
      </c>
      <c r="C110" s="1" t="n">
        <v>46079</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46079</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43013-2022</t>
        </is>
      </c>
      <c r="B112" s="1" t="n">
        <v>44833</v>
      </c>
      <c r="C112" s="1" t="n">
        <v>46079</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46079</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46079</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17975-2024</t>
        </is>
      </c>
      <c r="B115" s="1" t="n">
        <v>45419.85546296297</v>
      </c>
      <c r="C115" s="1" t="n">
        <v>46079</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13499-2022</t>
        </is>
      </c>
      <c r="B116" s="1" t="n">
        <v>44647.79203703703</v>
      </c>
      <c r="C116" s="1" t="n">
        <v>46079</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55334-2024</t>
        </is>
      </c>
      <c r="B117" s="1" t="n">
        <v>45621</v>
      </c>
      <c r="C117" s="1" t="n">
        <v>46079</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46079</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30490-2025</t>
        </is>
      </c>
      <c r="B119" s="1" t="n">
        <v>45830</v>
      </c>
      <c r="C119" s="1" t="n">
        <v>46079</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12315-2024</t>
        </is>
      </c>
      <c r="B120" s="1" t="n">
        <v>45378.6434837963</v>
      </c>
      <c r="C120" s="1" t="n">
        <v>46079</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20831-2024</t>
        </is>
      </c>
      <c r="B121" s="1" t="n">
        <v>45439</v>
      </c>
      <c r="C121" s="1" t="n">
        <v>46079</v>
      </c>
      <c r="D121" t="inlineStr">
        <is>
          <t>GOTLANDS LÄN</t>
        </is>
      </c>
      <c r="E121" t="inlineStr">
        <is>
          <t>GOTLAND</t>
        </is>
      </c>
      <c r="G121" t="n">
        <v>2.9</v>
      </c>
      <c r="H121" t="n">
        <v>2</v>
      </c>
      <c r="I121" t="n">
        <v>1</v>
      </c>
      <c r="J121" t="n">
        <v>2</v>
      </c>
      <c r="K121" t="n">
        <v>0</v>
      </c>
      <c r="L121" t="n">
        <v>0</v>
      </c>
      <c r="M121" t="n">
        <v>0</v>
      </c>
      <c r="N121" t="n">
        <v>0</v>
      </c>
      <c r="O121" t="n">
        <v>2</v>
      </c>
      <c r="P121" t="n">
        <v>0</v>
      </c>
      <c r="Q121" t="n">
        <v>3</v>
      </c>
      <c r="R121" s="2" t="inlineStr">
        <is>
          <t>Dårgräsfjäril
Svinrot
Skogsknipprot</t>
        </is>
      </c>
      <c r="S121">
        <f>HYPERLINK("https://klasma.github.io/Logging_0980/artfynd/A 20831-2024 artfynd.xlsx", "A 20831-2024")</f>
        <v/>
      </c>
      <c r="T121">
        <f>HYPERLINK("https://klasma.github.io/Logging_0980/kartor/A 20831-2024 karta.png", "A 20831-2024")</f>
        <v/>
      </c>
      <c r="V121">
        <f>HYPERLINK("https://klasma.github.io/Logging_0980/klagomål/A 20831-2024 FSC-klagomål.docx", "A 20831-2024")</f>
        <v/>
      </c>
      <c r="W121">
        <f>HYPERLINK("https://klasma.github.io/Logging_0980/klagomålsmail/A 20831-2024 FSC-klagomål mail.docx", "A 20831-2024")</f>
        <v/>
      </c>
      <c r="X121">
        <f>HYPERLINK("https://klasma.github.io/Logging_0980/tillsyn/A 20831-2024 tillsynsbegäran.docx", "A 20831-2024")</f>
        <v/>
      </c>
      <c r="Y121">
        <f>HYPERLINK("https://klasma.github.io/Logging_0980/tillsynsmail/A 20831-2024 tillsynsbegäran mail.docx", "A 20831-2024")</f>
        <v/>
      </c>
    </row>
    <row r="122" ht="15" customHeight="1">
      <c r="A122" t="inlineStr">
        <is>
          <t>A 1520-2026</t>
        </is>
      </c>
      <c r="B122" s="1" t="n">
        <v>46034.35891203704</v>
      </c>
      <c r="C122" s="1" t="n">
        <v>46079</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46079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46079</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46079</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46079</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46079</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46079</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54357-2024</t>
        </is>
      </c>
      <c r="B129" s="1" t="n">
        <v>45617.40662037037</v>
      </c>
      <c r="C129" s="1" t="n">
        <v>46079</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28276-2024</t>
        </is>
      </c>
      <c r="B130" s="1" t="n">
        <v>45477</v>
      </c>
      <c r="C130" s="1" t="n">
        <v>46079</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46079</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20838-2024</t>
        </is>
      </c>
      <c r="B132" s="1" t="n">
        <v>45439</v>
      </c>
      <c r="C132" s="1" t="n">
        <v>46079</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7070-2022</t>
        </is>
      </c>
      <c r="B133" s="1" t="n">
        <v>44603</v>
      </c>
      <c r="C133" s="1" t="n">
        <v>46079</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46079</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46079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46079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46079</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63162-2025</t>
        </is>
      </c>
      <c r="B138" s="1" t="n">
        <v>46010.37629629629</v>
      </c>
      <c r="C138" s="1" t="n">
        <v>46079</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10274-2026</t>
        </is>
      </c>
      <c r="B139" s="1" t="n">
        <v>46076.58261574074</v>
      </c>
      <c r="C139" s="1" t="n">
        <v>46079</v>
      </c>
      <c r="D139" t="inlineStr">
        <is>
          <t>GOTLANDS LÄN</t>
        </is>
      </c>
      <c r="E139" t="inlineStr">
        <is>
          <t>GOTLAND</t>
        </is>
      </c>
      <c r="G139" t="n">
        <v>9.800000000000001</v>
      </c>
      <c r="H139" t="n">
        <v>1</v>
      </c>
      <c r="I139" t="n">
        <v>0</v>
      </c>
      <c r="J139" t="n">
        <v>0</v>
      </c>
      <c r="K139" t="n">
        <v>1</v>
      </c>
      <c r="L139" t="n">
        <v>0</v>
      </c>
      <c r="M139" t="n">
        <v>0</v>
      </c>
      <c r="N139" t="n">
        <v>0</v>
      </c>
      <c r="O139" t="n">
        <v>1</v>
      </c>
      <c r="P139" t="n">
        <v>1</v>
      </c>
      <c r="Q139" t="n">
        <v>2</v>
      </c>
      <c r="R139" s="2" t="inlineStr">
        <is>
          <t>Gråfingerört
Alvarstånds</t>
        </is>
      </c>
      <c r="S139">
        <f>HYPERLINK("https://klasma.github.io/Logging_0980/artfynd/A 10274-2026 artfynd.xlsx", "A 10274-2026")</f>
        <v/>
      </c>
      <c r="T139">
        <f>HYPERLINK("https://klasma.github.io/Logging_0980/kartor/A 10274-2026 karta.png", "A 10274-2026")</f>
        <v/>
      </c>
      <c r="V139">
        <f>HYPERLINK("https://klasma.github.io/Logging_0980/klagomål/A 10274-2026 FSC-klagomål.docx", "A 10274-2026")</f>
        <v/>
      </c>
      <c r="W139">
        <f>HYPERLINK("https://klasma.github.io/Logging_0980/klagomålsmail/A 10274-2026 FSC-klagomål mail.docx", "A 10274-2026")</f>
        <v/>
      </c>
      <c r="X139">
        <f>HYPERLINK("https://klasma.github.io/Logging_0980/tillsyn/A 10274-2026 tillsynsbegäran.docx", "A 10274-2026")</f>
        <v/>
      </c>
      <c r="Y139">
        <f>HYPERLINK("https://klasma.github.io/Logging_0980/tillsynsmail/A 10274-2026 tillsynsbegäran mail.docx", "A 10274-2026")</f>
        <v/>
      </c>
    </row>
    <row r="140" ht="15" customHeight="1">
      <c r="A140" t="inlineStr">
        <is>
          <t>A 62760-2025</t>
        </is>
      </c>
      <c r="B140" s="1" t="n">
        <v>46008</v>
      </c>
      <c r="C140" s="1" t="n">
        <v>46079</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46362-2021</t>
        </is>
      </c>
      <c r="B141" s="1" t="n">
        <v>44442</v>
      </c>
      <c r="C141" s="1" t="n">
        <v>46079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46079</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1477-2024</t>
        </is>
      </c>
      <c r="B144" s="1" t="n">
        <v>45305.37987268518</v>
      </c>
      <c r="C144" s="1" t="n">
        <v>46079</v>
      </c>
      <c r="D144" t="inlineStr">
        <is>
          <t>GOTLANDS LÄN</t>
        </is>
      </c>
      <c r="E144" t="inlineStr">
        <is>
          <t>GOTLAND</t>
        </is>
      </c>
      <c r="G144" t="n">
        <v>6.9</v>
      </c>
      <c r="H144" t="n">
        <v>0</v>
      </c>
      <c r="I144" t="n">
        <v>0</v>
      </c>
      <c r="J144" t="n">
        <v>1</v>
      </c>
      <c r="K144" t="n">
        <v>0</v>
      </c>
      <c r="L144" t="n">
        <v>0</v>
      </c>
      <c r="M144" t="n">
        <v>0</v>
      </c>
      <c r="N144" t="n">
        <v>0</v>
      </c>
      <c r="O144" t="n">
        <v>1</v>
      </c>
      <c r="P144" t="n">
        <v>0</v>
      </c>
      <c r="Q144" t="n">
        <v>1</v>
      </c>
      <c r="R144" s="2" t="inlineStr">
        <is>
          <t>Igelkott</t>
        </is>
      </c>
      <c r="S144">
        <f>HYPERLINK("https://klasma.github.io/Logging_0980/artfynd/A 1477-2024 artfynd.xlsx", "A 1477-2024")</f>
        <v/>
      </c>
      <c r="T144">
        <f>HYPERLINK("https://klasma.github.io/Logging_0980/kartor/A 1477-2024 karta.png", "A 1477-2024")</f>
        <v/>
      </c>
      <c r="V144">
        <f>HYPERLINK("https://klasma.github.io/Logging_0980/klagomål/A 1477-2024 FSC-klagomål.docx", "A 1477-2024")</f>
        <v/>
      </c>
      <c r="W144">
        <f>HYPERLINK("https://klasma.github.io/Logging_0980/klagomålsmail/A 1477-2024 FSC-klagomål mail.docx", "A 1477-2024")</f>
        <v/>
      </c>
      <c r="X144">
        <f>HYPERLINK("https://klasma.github.io/Logging_0980/tillsyn/A 1477-2024 tillsynsbegäran.docx", "A 1477-2024")</f>
        <v/>
      </c>
      <c r="Y144">
        <f>HYPERLINK("https://klasma.github.io/Logging_0980/tillsynsmail/A 1477-2024 tillsynsbegäran mail.docx", "A 1477-2024")</f>
        <v/>
      </c>
    </row>
    <row r="145" ht="15" customHeight="1">
      <c r="A145" t="inlineStr">
        <is>
          <t>A 12379-2024</t>
        </is>
      </c>
      <c r="B145" s="1" t="n">
        <v>45379.28155092592</v>
      </c>
      <c r="C145" s="1" t="n">
        <v>46079</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46079</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15637-2024</t>
        </is>
      </c>
      <c r="B147" s="1" t="n">
        <v>45403.6684837963</v>
      </c>
      <c r="C147" s="1" t="n">
        <v>46079</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35574-2024</t>
        </is>
      </c>
      <c r="B148" s="1" t="n">
        <v>45531</v>
      </c>
      <c r="C148" s="1" t="n">
        <v>46079</v>
      </c>
      <c r="D148" t="inlineStr">
        <is>
          <t>GOTLANDS LÄN</t>
        </is>
      </c>
      <c r="E148" t="inlineStr">
        <is>
          <t>GOTLAND</t>
        </is>
      </c>
      <c r="G148" t="n">
        <v>5.7</v>
      </c>
      <c r="H148" t="n">
        <v>0</v>
      </c>
      <c r="I148" t="n">
        <v>1</v>
      </c>
      <c r="J148" t="n">
        <v>0</v>
      </c>
      <c r="K148" t="n">
        <v>0</v>
      </c>
      <c r="L148" t="n">
        <v>0</v>
      </c>
      <c r="M148" t="n">
        <v>0</v>
      </c>
      <c r="N148" t="n">
        <v>0</v>
      </c>
      <c r="O148" t="n">
        <v>0</v>
      </c>
      <c r="P148" t="n">
        <v>0</v>
      </c>
      <c r="Q148" t="n">
        <v>1</v>
      </c>
      <c r="R148" s="2" t="inlineStr">
        <is>
          <t>Murgröna</t>
        </is>
      </c>
      <c r="S148">
        <f>HYPERLINK("https://klasma.github.io/Logging_0980/artfynd/A 35574-2024 artfynd.xlsx", "A 35574-2024")</f>
        <v/>
      </c>
      <c r="T148">
        <f>HYPERLINK("https://klasma.github.io/Logging_0980/kartor/A 35574-2024 karta.png", "A 35574-2024")</f>
        <v/>
      </c>
      <c r="V148">
        <f>HYPERLINK("https://klasma.github.io/Logging_0980/klagomål/A 35574-2024 FSC-klagomål.docx", "A 35574-2024")</f>
        <v/>
      </c>
      <c r="W148">
        <f>HYPERLINK("https://klasma.github.io/Logging_0980/klagomålsmail/A 35574-2024 FSC-klagomål mail.docx", "A 35574-2024")</f>
        <v/>
      </c>
      <c r="X148">
        <f>HYPERLINK("https://klasma.github.io/Logging_0980/tillsyn/A 35574-2024 tillsynsbegäran.docx", "A 35574-2024")</f>
        <v/>
      </c>
      <c r="Y148">
        <f>HYPERLINK("https://klasma.github.io/Logging_0980/tillsynsmail/A 35574-2024 tillsynsbegäran mail.docx", "A 35574-2024")</f>
        <v/>
      </c>
    </row>
    <row r="149" ht="15" customHeight="1">
      <c r="A149" t="inlineStr">
        <is>
          <t>A 44304-2021</t>
        </is>
      </c>
      <c r="B149" s="1" t="n">
        <v>44434</v>
      </c>
      <c r="C149" s="1" t="n">
        <v>46079</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2476-2025</t>
        </is>
      </c>
      <c r="B150" s="1" t="n">
        <v>45673</v>
      </c>
      <c r="C150" s="1" t="n">
        <v>46079</v>
      </c>
      <c r="D150" t="inlineStr">
        <is>
          <t>GOTLANDS LÄN</t>
        </is>
      </c>
      <c r="E150" t="inlineStr">
        <is>
          <t>GOTLAND</t>
        </is>
      </c>
      <c r="G150" t="n">
        <v>3.1</v>
      </c>
      <c r="H150" t="n">
        <v>0</v>
      </c>
      <c r="I150" t="n">
        <v>1</v>
      </c>
      <c r="J150" t="n">
        <v>0</v>
      </c>
      <c r="K150" t="n">
        <v>0</v>
      </c>
      <c r="L150" t="n">
        <v>0</v>
      </c>
      <c r="M150" t="n">
        <v>0</v>
      </c>
      <c r="N150" t="n">
        <v>0</v>
      </c>
      <c r="O150" t="n">
        <v>0</v>
      </c>
      <c r="P150" t="n">
        <v>0</v>
      </c>
      <c r="Q150" t="n">
        <v>1</v>
      </c>
      <c r="R150" s="2" t="inlineStr">
        <is>
          <t>Kryddspindling</t>
        </is>
      </c>
      <c r="S150">
        <f>HYPERLINK("https://klasma.github.io/Logging_0980/artfynd/A 2476-2025 artfynd.xlsx", "A 2476-2025")</f>
        <v/>
      </c>
      <c r="T150">
        <f>HYPERLINK("https://klasma.github.io/Logging_0980/kartor/A 2476-2025 karta.png", "A 2476-2025")</f>
        <v/>
      </c>
      <c r="V150">
        <f>HYPERLINK("https://klasma.github.io/Logging_0980/klagomål/A 2476-2025 FSC-klagomål.docx", "A 2476-2025")</f>
        <v/>
      </c>
      <c r="W150">
        <f>HYPERLINK("https://klasma.github.io/Logging_0980/klagomålsmail/A 2476-2025 FSC-klagomål mail.docx", "A 2476-2025")</f>
        <v/>
      </c>
      <c r="X150">
        <f>HYPERLINK("https://klasma.github.io/Logging_0980/tillsyn/A 2476-2025 tillsynsbegäran.docx", "A 2476-2025")</f>
        <v/>
      </c>
      <c r="Y150">
        <f>HYPERLINK("https://klasma.github.io/Logging_0980/tillsynsmail/A 2476-2025 tillsynsbegäran mail.docx", "A 2476-2025")</f>
        <v/>
      </c>
    </row>
    <row r="151" ht="15" customHeight="1">
      <c r="A151" t="inlineStr">
        <is>
          <t>A 24245-2022</t>
        </is>
      </c>
      <c r="B151" s="1" t="n">
        <v>44725</v>
      </c>
      <c r="C151" s="1" t="n">
        <v>46079</v>
      </c>
      <c r="D151" t="inlineStr">
        <is>
          <t>GOTLANDS LÄN</t>
        </is>
      </c>
      <c r="E151" t="inlineStr">
        <is>
          <t>GOTLAND</t>
        </is>
      </c>
      <c r="G151" t="n">
        <v>4.9</v>
      </c>
      <c r="H151" t="n">
        <v>0</v>
      </c>
      <c r="I151" t="n">
        <v>0</v>
      </c>
      <c r="J151" t="n">
        <v>0</v>
      </c>
      <c r="K151" t="n">
        <v>0</v>
      </c>
      <c r="L151" t="n">
        <v>1</v>
      </c>
      <c r="M151" t="n">
        <v>0</v>
      </c>
      <c r="N151" t="n">
        <v>0</v>
      </c>
      <c r="O151" t="n">
        <v>1</v>
      </c>
      <c r="P151" t="n">
        <v>1</v>
      </c>
      <c r="Q151" t="n">
        <v>1</v>
      </c>
      <c r="R151" s="2" t="inlineStr">
        <is>
          <t>Slät taggsvamp</t>
        </is>
      </c>
      <c r="S151">
        <f>HYPERLINK("https://klasma.github.io/Logging_0980/artfynd/A 24245-2022 artfynd.xlsx", "A 24245-2022")</f>
        <v/>
      </c>
      <c r="T151">
        <f>HYPERLINK("https://klasma.github.io/Logging_0980/kartor/A 24245-2022 karta.png", "A 24245-2022")</f>
        <v/>
      </c>
      <c r="V151">
        <f>HYPERLINK("https://klasma.github.io/Logging_0980/klagomål/A 24245-2022 FSC-klagomål.docx", "A 24245-2022")</f>
        <v/>
      </c>
      <c r="W151">
        <f>HYPERLINK("https://klasma.github.io/Logging_0980/klagomålsmail/A 24245-2022 FSC-klagomål mail.docx", "A 24245-2022")</f>
        <v/>
      </c>
      <c r="X151">
        <f>HYPERLINK("https://klasma.github.io/Logging_0980/tillsyn/A 24245-2022 tillsynsbegäran.docx", "A 24245-2022")</f>
        <v/>
      </c>
      <c r="Y151">
        <f>HYPERLINK("https://klasma.github.io/Logging_0980/tillsynsmail/A 24245-2022 tillsynsbegäran mail.docx", "A 24245-2022")</f>
        <v/>
      </c>
    </row>
    <row r="152" ht="15" customHeight="1">
      <c r="A152" t="inlineStr">
        <is>
          <t>A 7637-2025</t>
        </is>
      </c>
      <c r="B152" s="1" t="n">
        <v>45705.77181712963</v>
      </c>
      <c r="C152" s="1" t="n">
        <v>46079</v>
      </c>
      <c r="D152" t="inlineStr">
        <is>
          <t>GOTLANDS LÄN</t>
        </is>
      </c>
      <c r="E152" t="inlineStr">
        <is>
          <t>GOTLAND</t>
        </is>
      </c>
      <c r="G152" t="n">
        <v>3.7</v>
      </c>
      <c r="H152" t="n">
        <v>0</v>
      </c>
      <c r="I152" t="n">
        <v>0</v>
      </c>
      <c r="J152" t="n">
        <v>0</v>
      </c>
      <c r="K152" t="n">
        <v>0</v>
      </c>
      <c r="L152" t="n">
        <v>0</v>
      </c>
      <c r="M152" t="n">
        <v>1</v>
      </c>
      <c r="N152" t="n">
        <v>0</v>
      </c>
      <c r="O152" t="n">
        <v>1</v>
      </c>
      <c r="P152" t="n">
        <v>1</v>
      </c>
      <c r="Q152" t="n">
        <v>1</v>
      </c>
      <c r="R152" s="2" t="inlineStr">
        <is>
          <t>Skogsalm</t>
        </is>
      </c>
      <c r="S152">
        <f>HYPERLINK("https://klasma.github.io/Logging_0980/artfynd/A 7637-2025 artfynd.xlsx", "A 7637-2025")</f>
        <v/>
      </c>
      <c r="T152">
        <f>HYPERLINK("https://klasma.github.io/Logging_0980/kartor/A 7637-2025 karta.png", "A 7637-2025")</f>
        <v/>
      </c>
      <c r="V152">
        <f>HYPERLINK("https://klasma.github.io/Logging_0980/klagomål/A 7637-2025 FSC-klagomål.docx", "A 7637-2025")</f>
        <v/>
      </c>
      <c r="W152">
        <f>HYPERLINK("https://klasma.github.io/Logging_0980/klagomålsmail/A 7637-2025 FSC-klagomål mail.docx", "A 7637-2025")</f>
        <v/>
      </c>
      <c r="X152">
        <f>HYPERLINK("https://klasma.github.io/Logging_0980/tillsyn/A 7637-2025 tillsynsbegäran.docx", "A 7637-2025")</f>
        <v/>
      </c>
      <c r="Y152">
        <f>HYPERLINK("https://klasma.github.io/Logging_0980/tillsynsmail/A 7637-2025 tillsynsbegäran mail.docx", "A 7637-2025")</f>
        <v/>
      </c>
    </row>
    <row r="153" ht="15" customHeight="1">
      <c r="A153" t="inlineStr">
        <is>
          <t>A 10995-2023</t>
        </is>
      </c>
      <c r="B153" s="1" t="n">
        <v>44986</v>
      </c>
      <c r="C153" s="1" t="n">
        <v>46079</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25977-2024</t>
        </is>
      </c>
      <c r="B154" s="1" t="n">
        <v>45467.69356481481</v>
      </c>
      <c r="C154" s="1" t="n">
        <v>46079</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49847-2023</t>
        </is>
      </c>
      <c r="B155" s="1" t="n">
        <v>45212</v>
      </c>
      <c r="C155" s="1" t="n">
        <v>46079</v>
      </c>
      <c r="D155" t="inlineStr">
        <is>
          <t>GOTLANDS LÄN</t>
        </is>
      </c>
      <c r="E155" t="inlineStr">
        <is>
          <t>GOTLAND</t>
        </is>
      </c>
      <c r="G155" t="n">
        <v>35.2</v>
      </c>
      <c r="H155" t="n">
        <v>0</v>
      </c>
      <c r="I155" t="n">
        <v>0</v>
      </c>
      <c r="J155" t="n">
        <v>0</v>
      </c>
      <c r="K155" t="n">
        <v>1</v>
      </c>
      <c r="L155" t="n">
        <v>0</v>
      </c>
      <c r="M155" t="n">
        <v>0</v>
      </c>
      <c r="N155" t="n">
        <v>0</v>
      </c>
      <c r="O155" t="n">
        <v>1</v>
      </c>
      <c r="P155" t="n">
        <v>1</v>
      </c>
      <c r="Q155" t="n">
        <v>1</v>
      </c>
      <c r="R155" s="2" t="inlineStr">
        <is>
          <t>Strandviol</t>
        </is>
      </c>
      <c r="S155">
        <f>HYPERLINK("https://klasma.github.io/Logging_0980/artfynd/A 49847-2023 artfynd.xlsx", "A 49847-2023")</f>
        <v/>
      </c>
      <c r="T155">
        <f>HYPERLINK("https://klasma.github.io/Logging_0980/kartor/A 49847-2023 karta.png", "A 49847-2023")</f>
        <v/>
      </c>
      <c r="V155">
        <f>HYPERLINK("https://klasma.github.io/Logging_0980/klagomål/A 49847-2023 FSC-klagomål.docx", "A 49847-2023")</f>
        <v/>
      </c>
      <c r="W155">
        <f>HYPERLINK("https://klasma.github.io/Logging_0980/klagomålsmail/A 49847-2023 FSC-klagomål mail.docx", "A 49847-2023")</f>
        <v/>
      </c>
      <c r="X155">
        <f>HYPERLINK("https://klasma.github.io/Logging_0980/tillsyn/A 49847-2023 tillsynsbegäran.docx", "A 49847-2023")</f>
        <v/>
      </c>
      <c r="Y155">
        <f>HYPERLINK("https://klasma.github.io/Logging_0980/tillsynsmail/A 49847-2023 tillsynsbegäran mail.docx", "A 49847-2023")</f>
        <v/>
      </c>
    </row>
    <row r="156" ht="15" customHeight="1">
      <c r="A156" t="inlineStr">
        <is>
          <t>A 62552-2022</t>
        </is>
      </c>
      <c r="B156" s="1" t="n">
        <v>44924</v>
      </c>
      <c r="C156" s="1" t="n">
        <v>46079</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46527-2023</t>
        </is>
      </c>
      <c r="B157" s="1" t="n">
        <v>45197</v>
      </c>
      <c r="C157" s="1" t="n">
        <v>46079</v>
      </c>
      <c r="D157" t="inlineStr">
        <is>
          <t>GOTLANDS LÄN</t>
        </is>
      </c>
      <c r="E157" t="inlineStr">
        <is>
          <t>GOTLAND</t>
        </is>
      </c>
      <c r="G157" t="n">
        <v>0.9</v>
      </c>
      <c r="H157" t="n">
        <v>0</v>
      </c>
      <c r="I157" t="n">
        <v>0</v>
      </c>
      <c r="J157" t="n">
        <v>1</v>
      </c>
      <c r="K157" t="n">
        <v>0</v>
      </c>
      <c r="L157" t="n">
        <v>0</v>
      </c>
      <c r="M157" t="n">
        <v>0</v>
      </c>
      <c r="N157" t="n">
        <v>0</v>
      </c>
      <c r="O157" t="n">
        <v>1</v>
      </c>
      <c r="P157" t="n">
        <v>0</v>
      </c>
      <c r="Q157" t="n">
        <v>1</v>
      </c>
      <c r="R157" s="2" t="inlineStr">
        <is>
          <t>Guldgräshoppa</t>
        </is>
      </c>
      <c r="S157">
        <f>HYPERLINK("https://klasma.github.io/Logging_0980/artfynd/A 46527-2023 artfynd.xlsx", "A 46527-2023")</f>
        <v/>
      </c>
      <c r="T157">
        <f>HYPERLINK("https://klasma.github.io/Logging_0980/kartor/A 46527-2023 karta.png", "A 46527-2023")</f>
        <v/>
      </c>
      <c r="V157">
        <f>HYPERLINK("https://klasma.github.io/Logging_0980/klagomål/A 46527-2023 FSC-klagomål.docx", "A 46527-2023")</f>
        <v/>
      </c>
      <c r="W157">
        <f>HYPERLINK("https://klasma.github.io/Logging_0980/klagomålsmail/A 46527-2023 FSC-klagomål mail.docx", "A 46527-2023")</f>
        <v/>
      </c>
      <c r="X157">
        <f>HYPERLINK("https://klasma.github.io/Logging_0980/tillsyn/A 46527-2023 tillsynsbegäran.docx", "A 46527-2023")</f>
        <v/>
      </c>
      <c r="Y157">
        <f>HYPERLINK("https://klasma.github.io/Logging_0980/tillsynsmail/A 46527-2023 tillsynsbegäran mail.docx", "A 46527-2023")</f>
        <v/>
      </c>
    </row>
    <row r="158" ht="15" customHeight="1">
      <c r="A158" t="inlineStr">
        <is>
          <t>A 65927-2021</t>
        </is>
      </c>
      <c r="B158" s="1" t="n">
        <v>44516</v>
      </c>
      <c r="C158" s="1" t="n">
        <v>46079</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44088-2022</t>
        </is>
      </c>
      <c r="B159" s="1" t="n">
        <v>44839</v>
      </c>
      <c r="C159" s="1" t="n">
        <v>46079</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12324-2025</t>
        </is>
      </c>
      <c r="B160" s="1" t="n">
        <v>45730</v>
      </c>
      <c r="C160" s="1" t="n">
        <v>46079</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37591-2023</t>
        </is>
      </c>
      <c r="B161" s="1" t="n">
        <v>45159</v>
      </c>
      <c r="C161" s="1" t="n">
        <v>46079</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61796-2022</t>
        </is>
      </c>
      <c r="B162" s="1" t="n">
        <v>44917</v>
      </c>
      <c r="C162" s="1" t="n">
        <v>46079</v>
      </c>
      <c r="D162" t="inlineStr">
        <is>
          <t>GOTLANDS LÄN</t>
        </is>
      </c>
      <c r="E162" t="inlineStr">
        <is>
          <t>GOTLAND</t>
        </is>
      </c>
      <c r="G162" t="n">
        <v>1.5</v>
      </c>
      <c r="H162" t="n">
        <v>1</v>
      </c>
      <c r="I162" t="n">
        <v>0</v>
      </c>
      <c r="J162" t="n">
        <v>0</v>
      </c>
      <c r="K162" t="n">
        <v>0</v>
      </c>
      <c r="L162" t="n">
        <v>0</v>
      </c>
      <c r="M162" t="n">
        <v>0</v>
      </c>
      <c r="N162" t="n">
        <v>0</v>
      </c>
      <c r="O162" t="n">
        <v>0</v>
      </c>
      <c r="P162" t="n">
        <v>0</v>
      </c>
      <c r="Q162" t="n">
        <v>1</v>
      </c>
      <c r="R162" s="2" t="inlineStr">
        <is>
          <t>Skogsduva</t>
        </is>
      </c>
      <c r="S162">
        <f>HYPERLINK("https://klasma.github.io/Logging_0980/artfynd/A 61796-2022 artfynd.xlsx", "A 61796-2022")</f>
        <v/>
      </c>
      <c r="T162">
        <f>HYPERLINK("https://klasma.github.io/Logging_0980/kartor/A 61796-2022 karta.png", "A 61796-2022")</f>
        <v/>
      </c>
      <c r="V162">
        <f>HYPERLINK("https://klasma.github.io/Logging_0980/klagomål/A 61796-2022 FSC-klagomål.docx", "A 61796-2022")</f>
        <v/>
      </c>
      <c r="W162">
        <f>HYPERLINK("https://klasma.github.io/Logging_0980/klagomålsmail/A 61796-2022 FSC-klagomål mail.docx", "A 61796-2022")</f>
        <v/>
      </c>
      <c r="X162">
        <f>HYPERLINK("https://klasma.github.io/Logging_0980/tillsyn/A 61796-2022 tillsynsbegäran.docx", "A 61796-2022")</f>
        <v/>
      </c>
      <c r="Y162">
        <f>HYPERLINK("https://klasma.github.io/Logging_0980/tillsynsmail/A 61796-2022 tillsynsbegäran mail.docx", "A 61796-2022")</f>
        <v/>
      </c>
      <c r="Z162">
        <f>HYPERLINK("https://klasma.github.io/Logging_0980/fåglar/A 61796-2022 prioriterade fågelarter.docx", "A 61796-2022")</f>
        <v/>
      </c>
    </row>
    <row r="163" ht="15" customHeight="1">
      <c r="A163" t="inlineStr">
        <is>
          <t>A 44308-2021</t>
        </is>
      </c>
      <c r="B163" s="1" t="n">
        <v>44434</v>
      </c>
      <c r="C163" s="1" t="n">
        <v>46079</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21466-2025</t>
        </is>
      </c>
      <c r="B164" s="1" t="n">
        <v>45782</v>
      </c>
      <c r="C164" s="1" t="n">
        <v>46079</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447-2023</t>
        </is>
      </c>
      <c r="B165" s="1" t="n">
        <v>44929</v>
      </c>
      <c r="C165" s="1" t="n">
        <v>46079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6303-2024</t>
        </is>
      </c>
      <c r="B166" s="1" t="n">
        <v>45338.35376157407</v>
      </c>
      <c r="C166" s="1" t="n">
        <v>46079</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947-2023</t>
        </is>
      </c>
      <c r="B167" s="1" t="n">
        <v>44934</v>
      </c>
      <c r="C167" s="1" t="n">
        <v>46079</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39812-2025</t>
        </is>
      </c>
      <c r="B168" s="1" t="n">
        <v>45891</v>
      </c>
      <c r="C168" s="1" t="n">
        <v>46079</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49304-2024</t>
        </is>
      </c>
      <c r="B169" s="1" t="n">
        <v>45595.54996527778</v>
      </c>
      <c r="C169" s="1" t="n">
        <v>46079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46079</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10440-2024</t>
        </is>
      </c>
      <c r="B171" s="1" t="n">
        <v>45366.32818287037</v>
      </c>
      <c r="C171" s="1" t="n">
        <v>46079</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64700-2021</t>
        </is>
      </c>
      <c r="B172" s="1" t="n">
        <v>44511</v>
      </c>
      <c r="C172" s="1" t="n">
        <v>46079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27589-2023</t>
        </is>
      </c>
      <c r="B173" s="1" t="n">
        <v>45097</v>
      </c>
      <c r="C173" s="1" t="n">
        <v>46079</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35467-2021</t>
        </is>
      </c>
      <c r="B174" s="1" t="n">
        <v>44385</v>
      </c>
      <c r="C174" s="1" t="n">
        <v>46079</v>
      </c>
      <c r="D174" t="inlineStr">
        <is>
          <t>GOTLANDS LÄN</t>
        </is>
      </c>
      <c r="E174" t="inlineStr">
        <is>
          <t>GOTLAND</t>
        </is>
      </c>
      <c r="G174" t="n">
        <v>12.7</v>
      </c>
      <c r="H174" t="n">
        <v>0</v>
      </c>
      <c r="I174" t="n">
        <v>0</v>
      </c>
      <c r="J174" t="n">
        <v>1</v>
      </c>
      <c r="K174" t="n">
        <v>0</v>
      </c>
      <c r="L174" t="n">
        <v>0</v>
      </c>
      <c r="M174" t="n">
        <v>0</v>
      </c>
      <c r="N174" t="n">
        <v>0</v>
      </c>
      <c r="O174" t="n">
        <v>1</v>
      </c>
      <c r="P174" t="n">
        <v>0</v>
      </c>
      <c r="Q174" t="n">
        <v>1</v>
      </c>
      <c r="R174" s="2" t="inlineStr">
        <is>
          <t>Loppstarr</t>
        </is>
      </c>
      <c r="S174">
        <f>HYPERLINK("https://klasma.github.io/Logging_0980/artfynd/A 35467-2021 artfynd.xlsx", "A 35467-2021")</f>
        <v/>
      </c>
      <c r="T174">
        <f>HYPERLINK("https://klasma.github.io/Logging_0980/kartor/A 35467-2021 karta.png", "A 35467-2021")</f>
        <v/>
      </c>
      <c r="V174">
        <f>HYPERLINK("https://klasma.github.io/Logging_0980/klagomål/A 35467-2021 FSC-klagomål.docx", "A 35467-2021")</f>
        <v/>
      </c>
      <c r="W174">
        <f>HYPERLINK("https://klasma.github.io/Logging_0980/klagomålsmail/A 35467-2021 FSC-klagomål mail.docx", "A 35467-2021")</f>
        <v/>
      </c>
      <c r="X174">
        <f>HYPERLINK("https://klasma.github.io/Logging_0980/tillsyn/A 35467-2021 tillsynsbegäran.docx", "A 35467-2021")</f>
        <v/>
      </c>
      <c r="Y174">
        <f>HYPERLINK("https://klasma.github.io/Logging_0980/tillsynsmail/A 35467-2021 tillsynsbegäran mail.docx", "A 35467-2021")</f>
        <v/>
      </c>
    </row>
    <row r="175" ht="15" customHeight="1">
      <c r="A175" t="inlineStr">
        <is>
          <t>A 44619-2025</t>
        </is>
      </c>
      <c r="B175" s="1" t="n">
        <v>45917</v>
      </c>
      <c r="C175" s="1" t="n">
        <v>46079</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34809-2024</t>
        </is>
      </c>
      <c r="B176" s="1" t="n">
        <v>45526</v>
      </c>
      <c r="C176" s="1" t="n">
        <v>46079</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26461-2025</t>
        </is>
      </c>
      <c r="B177" s="1" t="n">
        <v>45807.43337962963</v>
      </c>
      <c r="C177" s="1" t="n">
        <v>46079</v>
      </c>
      <c r="D177" t="inlineStr">
        <is>
          <t>GOTLANDS LÄN</t>
        </is>
      </c>
      <c r="E177" t="inlineStr">
        <is>
          <t>GOTLAND</t>
        </is>
      </c>
      <c r="G177" t="n">
        <v>4.1</v>
      </c>
      <c r="H177" t="n">
        <v>0</v>
      </c>
      <c r="I177" t="n">
        <v>0</v>
      </c>
      <c r="J177" t="n">
        <v>0</v>
      </c>
      <c r="K177" t="n">
        <v>1</v>
      </c>
      <c r="L177" t="n">
        <v>0</v>
      </c>
      <c r="M177" t="n">
        <v>0</v>
      </c>
      <c r="N177" t="n">
        <v>0</v>
      </c>
      <c r="O177" t="n">
        <v>1</v>
      </c>
      <c r="P177" t="n">
        <v>1</v>
      </c>
      <c r="Q177" t="n">
        <v>1</v>
      </c>
      <c r="R177" s="2" t="inlineStr">
        <is>
          <t>Gotlandsmåra</t>
        </is>
      </c>
      <c r="S177">
        <f>HYPERLINK("https://klasma.github.io/Logging_0980/artfynd/A 26461-2025 artfynd.xlsx", "A 26461-2025")</f>
        <v/>
      </c>
      <c r="T177">
        <f>HYPERLINK("https://klasma.github.io/Logging_0980/kartor/A 26461-2025 karta.png", "A 26461-2025")</f>
        <v/>
      </c>
      <c r="V177">
        <f>HYPERLINK("https://klasma.github.io/Logging_0980/klagomål/A 26461-2025 FSC-klagomål.docx", "A 26461-2025")</f>
        <v/>
      </c>
      <c r="W177">
        <f>HYPERLINK("https://klasma.github.io/Logging_0980/klagomålsmail/A 26461-2025 FSC-klagomål mail.docx", "A 26461-2025")</f>
        <v/>
      </c>
      <c r="X177">
        <f>HYPERLINK("https://klasma.github.io/Logging_0980/tillsyn/A 26461-2025 tillsynsbegäran.docx", "A 26461-2025")</f>
        <v/>
      </c>
      <c r="Y177">
        <f>HYPERLINK("https://klasma.github.io/Logging_0980/tillsynsmail/A 26461-2025 tillsynsbegäran mail.docx", "A 26461-2025")</f>
        <v/>
      </c>
    </row>
    <row r="178" ht="15" customHeight="1">
      <c r="A178" t="inlineStr">
        <is>
          <t>A 49726-2025</t>
        </is>
      </c>
      <c r="B178" s="1" t="n">
        <v>45939.84466435185</v>
      </c>
      <c r="C178" s="1" t="n">
        <v>46079</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46079</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34141-2024</t>
        </is>
      </c>
      <c r="B180" s="1" t="n">
        <v>45524.36229166666</v>
      </c>
      <c r="C180" s="1" t="n">
        <v>46079</v>
      </c>
      <c r="D180" t="inlineStr">
        <is>
          <t>GOTLANDS LÄN</t>
        </is>
      </c>
      <c r="E180" t="inlineStr">
        <is>
          <t>GOTLAND</t>
        </is>
      </c>
      <c r="G180" t="n">
        <v>0.9</v>
      </c>
      <c r="H180" t="n">
        <v>0</v>
      </c>
      <c r="I180" t="n">
        <v>1</v>
      </c>
      <c r="J180" t="n">
        <v>0</v>
      </c>
      <c r="K180" t="n">
        <v>0</v>
      </c>
      <c r="L180" t="n">
        <v>0</v>
      </c>
      <c r="M180" t="n">
        <v>0</v>
      </c>
      <c r="N180" t="n">
        <v>0</v>
      </c>
      <c r="O180" t="n">
        <v>0</v>
      </c>
      <c r="P180" t="n">
        <v>0</v>
      </c>
      <c r="Q180" t="n">
        <v>1</v>
      </c>
      <c r="R180" s="2" t="inlineStr">
        <is>
          <t>Strävlosta</t>
        </is>
      </c>
      <c r="S180">
        <f>HYPERLINK("https://klasma.github.io/Logging_0980/artfynd/A 34141-2024 artfynd.xlsx", "A 34141-2024")</f>
        <v/>
      </c>
      <c r="T180">
        <f>HYPERLINK("https://klasma.github.io/Logging_0980/kartor/A 34141-2024 karta.png", "A 34141-2024")</f>
        <v/>
      </c>
      <c r="V180">
        <f>HYPERLINK("https://klasma.github.io/Logging_0980/klagomål/A 34141-2024 FSC-klagomål.docx", "A 34141-2024")</f>
        <v/>
      </c>
      <c r="W180">
        <f>HYPERLINK("https://klasma.github.io/Logging_0980/klagomålsmail/A 34141-2024 FSC-klagomål mail.docx", "A 34141-2024")</f>
        <v/>
      </c>
      <c r="X180">
        <f>HYPERLINK("https://klasma.github.io/Logging_0980/tillsyn/A 34141-2024 tillsynsbegäran.docx", "A 34141-2024")</f>
        <v/>
      </c>
      <c r="Y180">
        <f>HYPERLINK("https://klasma.github.io/Logging_0980/tillsynsmail/A 34141-2024 tillsynsbegäran mail.docx", "A 34141-2024")</f>
        <v/>
      </c>
    </row>
    <row r="181" ht="15" customHeight="1">
      <c r="A181" t="inlineStr">
        <is>
          <t>A 9862-2024</t>
        </is>
      </c>
      <c r="B181" s="1" t="n">
        <v>45363</v>
      </c>
      <c r="C181" s="1" t="n">
        <v>46079</v>
      </c>
      <c r="D181" t="inlineStr">
        <is>
          <t>GOTLANDS LÄN</t>
        </is>
      </c>
      <c r="E181" t="inlineStr">
        <is>
          <t>GOTLAND</t>
        </is>
      </c>
      <c r="G181" t="n">
        <v>3.5</v>
      </c>
      <c r="H181" t="n">
        <v>1</v>
      </c>
      <c r="I181" t="n">
        <v>0</v>
      </c>
      <c r="J181" t="n">
        <v>0</v>
      </c>
      <c r="K181" t="n">
        <v>0</v>
      </c>
      <c r="L181" t="n">
        <v>0</v>
      </c>
      <c r="M181" t="n">
        <v>0</v>
      </c>
      <c r="N181" t="n">
        <v>0</v>
      </c>
      <c r="O181" t="n">
        <v>0</v>
      </c>
      <c r="P181" t="n">
        <v>0</v>
      </c>
      <c r="Q181" t="n">
        <v>1</v>
      </c>
      <c r="R181" s="2" t="inlineStr">
        <is>
          <t>Nattviol</t>
        </is>
      </c>
      <c r="S181">
        <f>HYPERLINK("https://klasma.github.io/Logging_0980/artfynd/A 9862-2024 artfynd.xlsx", "A 9862-2024")</f>
        <v/>
      </c>
      <c r="T181">
        <f>HYPERLINK("https://klasma.github.io/Logging_0980/kartor/A 9862-2024 karta.png", "A 9862-2024")</f>
        <v/>
      </c>
      <c r="V181">
        <f>HYPERLINK("https://klasma.github.io/Logging_0980/klagomål/A 9862-2024 FSC-klagomål.docx", "A 9862-2024")</f>
        <v/>
      </c>
      <c r="W181">
        <f>HYPERLINK("https://klasma.github.io/Logging_0980/klagomålsmail/A 9862-2024 FSC-klagomål mail.docx", "A 9862-2024")</f>
        <v/>
      </c>
      <c r="X181">
        <f>HYPERLINK("https://klasma.github.io/Logging_0980/tillsyn/A 9862-2024 tillsynsbegäran.docx", "A 9862-2024")</f>
        <v/>
      </c>
      <c r="Y181">
        <f>HYPERLINK("https://klasma.github.io/Logging_0980/tillsynsmail/A 9862-2024 tillsynsbegäran mail.docx", "A 9862-2024")</f>
        <v/>
      </c>
    </row>
    <row r="182" ht="15" customHeight="1">
      <c r="A182" t="inlineStr">
        <is>
          <t>A 61561-2023</t>
        </is>
      </c>
      <c r="B182" s="1" t="n">
        <v>45265</v>
      </c>
      <c r="C182" s="1" t="n">
        <v>46079</v>
      </c>
      <c r="D182" t="inlineStr">
        <is>
          <t>GOTLANDS LÄN</t>
        </is>
      </c>
      <c r="E182" t="inlineStr">
        <is>
          <t>GOTLAND</t>
        </is>
      </c>
      <c r="G182" t="n">
        <v>7.4</v>
      </c>
      <c r="H182" t="n">
        <v>0</v>
      </c>
      <c r="I182" t="n">
        <v>0</v>
      </c>
      <c r="J182" t="n">
        <v>1</v>
      </c>
      <c r="K182" t="n">
        <v>0</v>
      </c>
      <c r="L182" t="n">
        <v>0</v>
      </c>
      <c r="M182" t="n">
        <v>0</v>
      </c>
      <c r="N182" t="n">
        <v>0</v>
      </c>
      <c r="O182" t="n">
        <v>1</v>
      </c>
      <c r="P182" t="n">
        <v>0</v>
      </c>
      <c r="Q182" t="n">
        <v>1</v>
      </c>
      <c r="R182" s="2" t="inlineStr">
        <is>
          <t>Loppstarr</t>
        </is>
      </c>
      <c r="S182">
        <f>HYPERLINK("https://klasma.github.io/Logging_0980/artfynd/A 61561-2023 artfynd.xlsx", "A 61561-2023")</f>
        <v/>
      </c>
      <c r="T182">
        <f>HYPERLINK("https://klasma.github.io/Logging_0980/kartor/A 61561-2023 karta.png", "A 61561-2023")</f>
        <v/>
      </c>
      <c r="V182">
        <f>HYPERLINK("https://klasma.github.io/Logging_0980/klagomål/A 61561-2023 FSC-klagomål.docx", "A 61561-2023")</f>
        <v/>
      </c>
      <c r="W182">
        <f>HYPERLINK("https://klasma.github.io/Logging_0980/klagomålsmail/A 61561-2023 FSC-klagomål mail.docx", "A 61561-2023")</f>
        <v/>
      </c>
      <c r="X182">
        <f>HYPERLINK("https://klasma.github.io/Logging_0980/tillsyn/A 61561-2023 tillsynsbegäran.docx", "A 61561-2023")</f>
        <v/>
      </c>
      <c r="Y182">
        <f>HYPERLINK("https://klasma.github.io/Logging_0980/tillsynsmail/A 61561-2023 tillsynsbegäran mail.docx", "A 61561-2023")</f>
        <v/>
      </c>
    </row>
    <row r="183" ht="15" customHeight="1">
      <c r="A183" t="inlineStr">
        <is>
          <t>A 12924-2025</t>
        </is>
      </c>
      <c r="B183" s="1" t="n">
        <v>45734</v>
      </c>
      <c r="C183" s="1" t="n">
        <v>46079</v>
      </c>
      <c r="D183" t="inlineStr">
        <is>
          <t>GOTLANDS LÄN</t>
        </is>
      </c>
      <c r="E183" t="inlineStr">
        <is>
          <t>GOTLAND</t>
        </is>
      </c>
      <c r="G183" t="n">
        <v>11.7</v>
      </c>
      <c r="H183" t="n">
        <v>0</v>
      </c>
      <c r="I183" t="n">
        <v>0</v>
      </c>
      <c r="J183" t="n">
        <v>0</v>
      </c>
      <c r="K183" t="n">
        <v>1</v>
      </c>
      <c r="L183" t="n">
        <v>0</v>
      </c>
      <c r="M183" t="n">
        <v>0</v>
      </c>
      <c r="N183" t="n">
        <v>0</v>
      </c>
      <c r="O183" t="n">
        <v>1</v>
      </c>
      <c r="P183" t="n">
        <v>1</v>
      </c>
      <c r="Q183" t="n">
        <v>1</v>
      </c>
      <c r="R183" s="2" t="inlineStr">
        <is>
          <t>Gotlandsmåra</t>
        </is>
      </c>
      <c r="S183">
        <f>HYPERLINK("https://klasma.github.io/Logging_0980/artfynd/A 12924-2025 artfynd.xlsx", "A 12924-2025")</f>
        <v/>
      </c>
      <c r="T183">
        <f>HYPERLINK("https://klasma.github.io/Logging_0980/kartor/A 12924-2025 karta.png", "A 12924-2025")</f>
        <v/>
      </c>
      <c r="V183">
        <f>HYPERLINK("https://klasma.github.io/Logging_0980/klagomål/A 12924-2025 FSC-klagomål.docx", "A 12924-2025")</f>
        <v/>
      </c>
      <c r="W183">
        <f>HYPERLINK("https://klasma.github.io/Logging_0980/klagomålsmail/A 12924-2025 FSC-klagomål mail.docx", "A 12924-2025")</f>
        <v/>
      </c>
      <c r="X183">
        <f>HYPERLINK("https://klasma.github.io/Logging_0980/tillsyn/A 12924-2025 tillsynsbegäran.docx", "A 12924-2025")</f>
        <v/>
      </c>
      <c r="Y183">
        <f>HYPERLINK("https://klasma.github.io/Logging_0980/tillsynsmail/A 12924-2025 tillsynsbegäran mail.docx", "A 12924-2025")</f>
        <v/>
      </c>
    </row>
    <row r="184" ht="15" customHeight="1">
      <c r="A184" t="inlineStr">
        <is>
          <t>A 13939-2021</t>
        </is>
      </c>
      <c r="B184" s="1" t="n">
        <v>44277</v>
      </c>
      <c r="C184" s="1" t="n">
        <v>46079</v>
      </c>
      <c r="D184" t="inlineStr">
        <is>
          <t>GOTLANDS LÄN</t>
        </is>
      </c>
      <c r="E184" t="inlineStr">
        <is>
          <t>GOTLAND</t>
        </is>
      </c>
      <c r="G184" t="n">
        <v>1</v>
      </c>
      <c r="H184" t="n">
        <v>0</v>
      </c>
      <c r="I184" t="n">
        <v>0</v>
      </c>
      <c r="J184" t="n">
        <v>1</v>
      </c>
      <c r="K184" t="n">
        <v>0</v>
      </c>
      <c r="L184" t="n">
        <v>0</v>
      </c>
      <c r="M184" t="n">
        <v>0</v>
      </c>
      <c r="N184" t="n">
        <v>0</v>
      </c>
      <c r="O184" t="n">
        <v>1</v>
      </c>
      <c r="P184" t="n">
        <v>0</v>
      </c>
      <c r="Q184" t="n">
        <v>1</v>
      </c>
      <c r="R184" s="2" t="inlineStr">
        <is>
          <t>Axveronika</t>
        </is>
      </c>
      <c r="S184">
        <f>HYPERLINK("https://klasma.github.io/Logging_0980/artfynd/A 13939-2021 artfynd.xlsx", "A 13939-2021")</f>
        <v/>
      </c>
      <c r="T184">
        <f>HYPERLINK("https://klasma.github.io/Logging_0980/kartor/A 13939-2021 karta.png", "A 13939-2021")</f>
        <v/>
      </c>
      <c r="V184">
        <f>HYPERLINK("https://klasma.github.io/Logging_0980/klagomål/A 13939-2021 FSC-klagomål.docx", "A 13939-2021")</f>
        <v/>
      </c>
      <c r="W184">
        <f>HYPERLINK("https://klasma.github.io/Logging_0980/klagomålsmail/A 13939-2021 FSC-klagomål mail.docx", "A 13939-2021")</f>
        <v/>
      </c>
      <c r="X184">
        <f>HYPERLINK("https://klasma.github.io/Logging_0980/tillsyn/A 13939-2021 tillsynsbegäran.docx", "A 13939-2021")</f>
        <v/>
      </c>
      <c r="Y184">
        <f>HYPERLINK("https://klasma.github.io/Logging_0980/tillsynsmail/A 13939-2021 tillsynsbegäran mail.docx", "A 13939-2021")</f>
        <v/>
      </c>
    </row>
    <row r="185" ht="15" customHeight="1">
      <c r="A185" t="inlineStr">
        <is>
          <t>A 22782-2023</t>
        </is>
      </c>
      <c r="B185" s="1" t="n">
        <v>45072</v>
      </c>
      <c r="C185" s="1" t="n">
        <v>46079</v>
      </c>
      <c r="D185" t="inlineStr">
        <is>
          <t>GOTLANDS LÄN</t>
        </is>
      </c>
      <c r="E185" t="inlineStr">
        <is>
          <t>GOTLAND</t>
        </is>
      </c>
      <c r="F185" t="inlineStr">
        <is>
          <t>Kyrkan</t>
        </is>
      </c>
      <c r="G185" t="n">
        <v>3.1</v>
      </c>
      <c r="H185" t="n">
        <v>1</v>
      </c>
      <c r="I185" t="n">
        <v>0</v>
      </c>
      <c r="J185" t="n">
        <v>0</v>
      </c>
      <c r="K185" t="n">
        <v>0</v>
      </c>
      <c r="L185" t="n">
        <v>0</v>
      </c>
      <c r="M185" t="n">
        <v>0</v>
      </c>
      <c r="N185" t="n">
        <v>0</v>
      </c>
      <c r="O185" t="n">
        <v>0</v>
      </c>
      <c r="P185" t="n">
        <v>0</v>
      </c>
      <c r="Q185" t="n">
        <v>1</v>
      </c>
      <c r="R185" s="2" t="inlineStr">
        <is>
          <t>Ängsnycklar × skogsnycklar</t>
        </is>
      </c>
      <c r="S185">
        <f>HYPERLINK("https://klasma.github.io/Logging_0980/artfynd/A 22782-2023 artfynd.xlsx", "A 22782-2023")</f>
        <v/>
      </c>
      <c r="T185">
        <f>HYPERLINK("https://klasma.github.io/Logging_0980/kartor/A 22782-2023 karta.png", "A 22782-2023")</f>
        <v/>
      </c>
      <c r="V185">
        <f>HYPERLINK("https://klasma.github.io/Logging_0980/klagomål/A 22782-2023 FSC-klagomål.docx", "A 22782-2023")</f>
        <v/>
      </c>
      <c r="W185">
        <f>HYPERLINK("https://klasma.github.io/Logging_0980/klagomålsmail/A 22782-2023 FSC-klagomål mail.docx", "A 22782-2023")</f>
        <v/>
      </c>
      <c r="X185">
        <f>HYPERLINK("https://klasma.github.io/Logging_0980/tillsyn/A 22782-2023 tillsynsbegäran.docx", "A 22782-2023")</f>
        <v/>
      </c>
      <c r="Y185">
        <f>HYPERLINK("https://klasma.github.io/Logging_0980/tillsynsmail/A 22782-2023 tillsynsbegäran mail.docx", "A 22782-2023")</f>
        <v/>
      </c>
    </row>
    <row r="186" ht="15" customHeight="1">
      <c r="A186" t="inlineStr">
        <is>
          <t>A 22883-2024</t>
        </is>
      </c>
      <c r="B186" s="1" t="n">
        <v>45448.66368055555</v>
      </c>
      <c r="C186" s="1" t="n">
        <v>46079</v>
      </c>
      <c r="D186" t="inlineStr">
        <is>
          <t>GOTLANDS LÄN</t>
        </is>
      </c>
      <c r="E186" t="inlineStr">
        <is>
          <t>GOTLAND</t>
        </is>
      </c>
      <c r="G186" t="n">
        <v>0.5</v>
      </c>
      <c r="H186" t="n">
        <v>0</v>
      </c>
      <c r="I186" t="n">
        <v>0</v>
      </c>
      <c r="J186" t="n">
        <v>0</v>
      </c>
      <c r="K186" t="n">
        <v>1</v>
      </c>
      <c r="L186" t="n">
        <v>0</v>
      </c>
      <c r="M186" t="n">
        <v>0</v>
      </c>
      <c r="N186" t="n">
        <v>0</v>
      </c>
      <c r="O186" t="n">
        <v>1</v>
      </c>
      <c r="P186" t="n">
        <v>1</v>
      </c>
      <c r="Q186" t="n">
        <v>1</v>
      </c>
      <c r="R186" s="2" t="inlineStr">
        <is>
          <t>Gotlandsmåra</t>
        </is>
      </c>
      <c r="S186">
        <f>HYPERLINK("https://klasma.github.io/Logging_0980/artfynd/A 22883-2024 artfynd.xlsx", "A 22883-2024")</f>
        <v/>
      </c>
      <c r="T186">
        <f>HYPERLINK("https://klasma.github.io/Logging_0980/kartor/A 22883-2024 karta.png", "A 22883-2024")</f>
        <v/>
      </c>
      <c r="V186">
        <f>HYPERLINK("https://klasma.github.io/Logging_0980/klagomål/A 22883-2024 FSC-klagomål.docx", "A 22883-2024")</f>
        <v/>
      </c>
      <c r="W186">
        <f>HYPERLINK("https://klasma.github.io/Logging_0980/klagomålsmail/A 22883-2024 FSC-klagomål mail.docx", "A 22883-2024")</f>
        <v/>
      </c>
      <c r="X186">
        <f>HYPERLINK("https://klasma.github.io/Logging_0980/tillsyn/A 22883-2024 tillsynsbegäran.docx", "A 22883-2024")</f>
        <v/>
      </c>
      <c r="Y186">
        <f>HYPERLINK("https://klasma.github.io/Logging_0980/tillsynsmail/A 22883-2024 tillsynsbegäran mail.docx", "A 22883-2024")</f>
        <v/>
      </c>
    </row>
    <row r="187" ht="15" customHeight="1">
      <c r="A187" t="inlineStr">
        <is>
          <t>A 63149-2025</t>
        </is>
      </c>
      <c r="B187" s="1" t="n">
        <v>46010</v>
      </c>
      <c r="C187" s="1" t="n">
        <v>46079</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Anisspindling</t>
        </is>
      </c>
      <c r="S187">
        <f>HYPERLINK("https://klasma.github.io/Logging_0980/artfynd/A 63149-2025 artfynd.xlsx", "A 63149-2025")</f>
        <v/>
      </c>
      <c r="T187">
        <f>HYPERLINK("https://klasma.github.io/Logging_0980/kartor/A 63149-2025 karta.png", "A 63149-2025")</f>
        <v/>
      </c>
      <c r="V187">
        <f>HYPERLINK("https://klasma.github.io/Logging_0980/klagomål/A 63149-2025 FSC-klagomål.docx", "A 63149-2025")</f>
        <v/>
      </c>
      <c r="W187">
        <f>HYPERLINK("https://klasma.github.io/Logging_0980/klagomålsmail/A 63149-2025 FSC-klagomål mail.docx", "A 63149-2025")</f>
        <v/>
      </c>
      <c r="X187">
        <f>HYPERLINK("https://klasma.github.io/Logging_0980/tillsyn/A 63149-2025 tillsynsbegäran.docx", "A 63149-2025")</f>
        <v/>
      </c>
      <c r="Y187">
        <f>HYPERLINK("https://klasma.github.io/Logging_0980/tillsynsmail/A 63149-2025 tillsynsbegäran mail.docx", "A 63149-2025")</f>
        <v/>
      </c>
    </row>
    <row r="188" ht="15" customHeight="1">
      <c r="A188" t="inlineStr">
        <is>
          <t>A 19901-2021</t>
        </is>
      </c>
      <c r="B188" s="1" t="n">
        <v>44312</v>
      </c>
      <c r="C188" s="1" t="n">
        <v>46079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46079</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46079</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46079</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46079</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46079</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46079</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46079</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46079</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46079</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46079</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46079</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46079</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46079</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46079</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32691-2021</t>
        </is>
      </c>
      <c r="B205" s="1" t="n">
        <v>44375</v>
      </c>
      <c r="C205" s="1" t="n">
        <v>46079</v>
      </c>
      <c r="D205" t="inlineStr">
        <is>
          <t>GOTLANDS LÄN</t>
        </is>
      </c>
      <c r="E205" t="inlineStr">
        <is>
          <t>GOTLAND</t>
        </is>
      </c>
      <c r="G205" t="n">
        <v>0.8</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46079</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46079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46079</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31239-2022</t>
        </is>
      </c>
      <c r="B209" s="1" t="n">
        <v>44771.49383101852</v>
      </c>
      <c r="C209" s="1" t="n">
        <v>46079</v>
      </c>
      <c r="D209" t="inlineStr">
        <is>
          <t>GOTLANDS LÄN</t>
        </is>
      </c>
      <c r="E209" t="inlineStr">
        <is>
          <t>GOTLAND</t>
        </is>
      </c>
      <c r="G209" t="n">
        <v>1.9</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46079</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46079</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46079</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46079</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46079</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44725.4384375</v>
      </c>
      <c r="C215" s="1" t="n">
        <v>46079</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46079</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44207-2022</t>
        </is>
      </c>
      <c r="B217" s="1" t="n">
        <v>44839</v>
      </c>
      <c r="C217" s="1" t="n">
        <v>46079</v>
      </c>
      <c r="D217" t="inlineStr">
        <is>
          <t>GOTLANDS LÄN</t>
        </is>
      </c>
      <c r="E217" t="inlineStr">
        <is>
          <t>GOTLAND</t>
        </is>
      </c>
      <c r="G217" t="n">
        <v>3.8</v>
      </c>
      <c r="H217" t="n">
        <v>0</v>
      </c>
      <c r="I217" t="n">
        <v>0</v>
      </c>
      <c r="J217" t="n">
        <v>0</v>
      </c>
      <c r="K217" t="n">
        <v>0</v>
      </c>
      <c r="L217" t="n">
        <v>0</v>
      </c>
      <c r="M217" t="n">
        <v>0</v>
      </c>
      <c r="N217" t="n">
        <v>0</v>
      </c>
      <c r="O217" t="n">
        <v>0</v>
      </c>
      <c r="P217" t="n">
        <v>0</v>
      </c>
      <c r="Q217" t="n">
        <v>0</v>
      </c>
      <c r="R217" s="2" t="inlineStr"/>
    </row>
    <row r="218" ht="15" customHeight="1">
      <c r="A218" t="inlineStr">
        <is>
          <t>A 19447-2021</t>
        </is>
      </c>
      <c r="B218" s="1" t="n">
        <v>44310.72780092592</v>
      </c>
      <c r="C218" s="1" t="n">
        <v>46079</v>
      </c>
      <c r="D218" t="inlineStr">
        <is>
          <t>GOTLANDS LÄN</t>
        </is>
      </c>
      <c r="E218" t="inlineStr">
        <is>
          <t>GOTLAND</t>
        </is>
      </c>
      <c r="G218" t="n">
        <v>0.4</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46079</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44496.58627314815</v>
      </c>
      <c r="C220" s="1" t="n">
        <v>46079</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46079</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65393-2021</t>
        </is>
      </c>
      <c r="B222" s="1" t="n">
        <v>44515</v>
      </c>
      <c r="C222" s="1" t="n">
        <v>46079</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46079</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46079</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46079</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46079</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46079</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46079</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53225-2022</t>
        </is>
      </c>
      <c r="B229" s="1" t="n">
        <v>44876</v>
      </c>
      <c r="C229" s="1" t="n">
        <v>46079</v>
      </c>
      <c r="D229" t="inlineStr">
        <is>
          <t>GOTLANDS LÄN</t>
        </is>
      </c>
      <c r="E229" t="inlineStr">
        <is>
          <t>GOTLAND</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30055-2021</t>
        </is>
      </c>
      <c r="B230" s="1" t="n">
        <v>44363</v>
      </c>
      <c r="C230" s="1" t="n">
        <v>46079</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46079</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46079</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57652-2023</t>
        </is>
      </c>
      <c r="B233" s="1" t="n">
        <v>45246</v>
      </c>
      <c r="C233" s="1" t="n">
        <v>46079</v>
      </c>
      <c r="D233" t="inlineStr">
        <is>
          <t>GOTLANDS LÄN</t>
        </is>
      </c>
      <c r="E233" t="inlineStr">
        <is>
          <t>GOTLAND</t>
        </is>
      </c>
      <c r="G233" t="n">
        <v>7.2</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46079</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46079</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49315-2024</t>
        </is>
      </c>
      <c r="B236" s="1" t="n">
        <v>45595</v>
      </c>
      <c r="C236" s="1" t="n">
        <v>46079</v>
      </c>
      <c r="D236" t="inlineStr">
        <is>
          <t>GOTLANDS LÄN</t>
        </is>
      </c>
      <c r="E236" t="inlineStr">
        <is>
          <t>GOTLAND</t>
        </is>
      </c>
      <c r="G236" t="n">
        <v>1.5</v>
      </c>
      <c r="H236" t="n">
        <v>0</v>
      </c>
      <c r="I236" t="n">
        <v>0</v>
      </c>
      <c r="J236" t="n">
        <v>0</v>
      </c>
      <c r="K236" t="n">
        <v>0</v>
      </c>
      <c r="L236" t="n">
        <v>0</v>
      </c>
      <c r="M236" t="n">
        <v>0</v>
      </c>
      <c r="N236" t="n">
        <v>0</v>
      </c>
      <c r="O236" t="n">
        <v>0</v>
      </c>
      <c r="P236" t="n">
        <v>0</v>
      </c>
      <c r="Q236" t="n">
        <v>0</v>
      </c>
      <c r="R236" s="2" t="inlineStr"/>
    </row>
    <row r="237" ht="15" customHeight="1">
      <c r="A237" t="inlineStr">
        <is>
          <t>A 26810-2021</t>
        </is>
      </c>
      <c r="B237" s="1" t="n">
        <v>44349.55087962963</v>
      </c>
      <c r="C237" s="1" t="n">
        <v>46079</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46079</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45106-2024</t>
        </is>
      </c>
      <c r="B239" s="1" t="n">
        <v>45575</v>
      </c>
      <c r="C239" s="1" t="n">
        <v>46079</v>
      </c>
      <c r="D239" t="inlineStr">
        <is>
          <t>GOTLANDS LÄN</t>
        </is>
      </c>
      <c r="E239" t="inlineStr">
        <is>
          <t>GOTLAND</t>
        </is>
      </c>
      <c r="G239" t="n">
        <v>10</v>
      </c>
      <c r="H239" t="n">
        <v>0</v>
      </c>
      <c r="I239" t="n">
        <v>0</v>
      </c>
      <c r="J239" t="n">
        <v>0</v>
      </c>
      <c r="K239" t="n">
        <v>0</v>
      </c>
      <c r="L239" t="n">
        <v>0</v>
      </c>
      <c r="M239" t="n">
        <v>0</v>
      </c>
      <c r="N239" t="n">
        <v>0</v>
      </c>
      <c r="O239" t="n">
        <v>0</v>
      </c>
      <c r="P239" t="n">
        <v>0</v>
      </c>
      <c r="Q239" t="n">
        <v>0</v>
      </c>
      <c r="R239" s="2" t="inlineStr"/>
    </row>
    <row r="240" ht="15" customHeight="1">
      <c r="A240" t="inlineStr">
        <is>
          <t>A 45112-2024</t>
        </is>
      </c>
      <c r="B240" s="1" t="n">
        <v>45575</v>
      </c>
      <c r="C240" s="1" t="n">
        <v>46079</v>
      </c>
      <c r="D240" t="inlineStr">
        <is>
          <t>GOTLANDS LÄN</t>
        </is>
      </c>
      <c r="E240" t="inlineStr">
        <is>
          <t>GOTLAND</t>
        </is>
      </c>
      <c r="G240" t="n">
        <v>5.1</v>
      </c>
      <c r="H240" t="n">
        <v>0</v>
      </c>
      <c r="I240" t="n">
        <v>0</v>
      </c>
      <c r="J240" t="n">
        <v>0</v>
      </c>
      <c r="K240" t="n">
        <v>0</v>
      </c>
      <c r="L240" t="n">
        <v>0</v>
      </c>
      <c r="M240" t="n">
        <v>0</v>
      </c>
      <c r="N240" t="n">
        <v>0</v>
      </c>
      <c r="O240" t="n">
        <v>0</v>
      </c>
      <c r="P240" t="n">
        <v>0</v>
      </c>
      <c r="Q240" t="n">
        <v>0</v>
      </c>
      <c r="R240" s="2" t="inlineStr"/>
    </row>
    <row r="241" ht="15" customHeight="1">
      <c r="A241" t="inlineStr">
        <is>
          <t>A 5923-2023</t>
        </is>
      </c>
      <c r="B241" s="1" t="n">
        <v>44963.69503472222</v>
      </c>
      <c r="C241" s="1" t="n">
        <v>46079</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33853-2024</t>
        </is>
      </c>
      <c r="B242" s="1" t="n">
        <v>45520.64298611111</v>
      </c>
      <c r="C242" s="1" t="n">
        <v>46079</v>
      </c>
      <c r="D242" t="inlineStr">
        <is>
          <t>GOTLANDS LÄN</t>
        </is>
      </c>
      <c r="E242" t="inlineStr">
        <is>
          <t>GOTLAND</t>
        </is>
      </c>
      <c r="G242" t="n">
        <v>3.9</v>
      </c>
      <c r="H242" t="n">
        <v>0</v>
      </c>
      <c r="I242" t="n">
        <v>0</v>
      </c>
      <c r="J242" t="n">
        <v>0</v>
      </c>
      <c r="K242" t="n">
        <v>0</v>
      </c>
      <c r="L242" t="n">
        <v>0</v>
      </c>
      <c r="M242" t="n">
        <v>0</v>
      </c>
      <c r="N242" t="n">
        <v>0</v>
      </c>
      <c r="O242" t="n">
        <v>0</v>
      </c>
      <c r="P242" t="n">
        <v>0</v>
      </c>
      <c r="Q242" t="n">
        <v>0</v>
      </c>
      <c r="R242" s="2" t="inlineStr"/>
    </row>
    <row r="243" ht="15" customHeight="1">
      <c r="A243" t="inlineStr">
        <is>
          <t>A 2676-2023</t>
        </is>
      </c>
      <c r="B243" s="1" t="n">
        <v>44944</v>
      </c>
      <c r="C243" s="1" t="n">
        <v>46079</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18918-2025</t>
        </is>
      </c>
      <c r="B244" s="1" t="n">
        <v>45764</v>
      </c>
      <c r="C244" s="1" t="n">
        <v>46079</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2674-2023</t>
        </is>
      </c>
      <c r="B245" s="1" t="n">
        <v>44944</v>
      </c>
      <c r="C245" s="1" t="n">
        <v>46079</v>
      </c>
      <c r="D245" t="inlineStr">
        <is>
          <t>GOTLANDS LÄN</t>
        </is>
      </c>
      <c r="E245" t="inlineStr">
        <is>
          <t>GOTLAND</t>
        </is>
      </c>
      <c r="G245" t="n">
        <v>2.5</v>
      </c>
      <c r="H245" t="n">
        <v>0</v>
      </c>
      <c r="I245" t="n">
        <v>0</v>
      </c>
      <c r="J245" t="n">
        <v>0</v>
      </c>
      <c r="K245" t="n">
        <v>0</v>
      </c>
      <c r="L245" t="n">
        <v>0</v>
      </c>
      <c r="M245" t="n">
        <v>0</v>
      </c>
      <c r="N245" t="n">
        <v>0</v>
      </c>
      <c r="O245" t="n">
        <v>0</v>
      </c>
      <c r="P245" t="n">
        <v>0</v>
      </c>
      <c r="Q245" t="n">
        <v>0</v>
      </c>
      <c r="R245" s="2" t="inlineStr"/>
    </row>
    <row r="246" ht="15" customHeight="1">
      <c r="A246" t="inlineStr">
        <is>
          <t>A 32330-2024</t>
        </is>
      </c>
      <c r="B246" s="1" t="n">
        <v>45512</v>
      </c>
      <c r="C246" s="1" t="n">
        <v>46079</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3150-2025</t>
        </is>
      </c>
      <c r="B247" s="1" t="n">
        <v>45679.28974537037</v>
      </c>
      <c r="C247" s="1" t="n">
        <v>46079</v>
      </c>
      <c r="D247" t="inlineStr">
        <is>
          <t>GOTLANDS LÄN</t>
        </is>
      </c>
      <c r="E247" t="inlineStr">
        <is>
          <t>GOTLAND</t>
        </is>
      </c>
      <c r="G247" t="n">
        <v>2.5</v>
      </c>
      <c r="H247" t="n">
        <v>0</v>
      </c>
      <c r="I247" t="n">
        <v>0</v>
      </c>
      <c r="J247" t="n">
        <v>0</v>
      </c>
      <c r="K247" t="n">
        <v>0</v>
      </c>
      <c r="L247" t="n">
        <v>0</v>
      </c>
      <c r="M247" t="n">
        <v>0</v>
      </c>
      <c r="N247" t="n">
        <v>0</v>
      </c>
      <c r="O247" t="n">
        <v>0</v>
      </c>
      <c r="P247" t="n">
        <v>0</v>
      </c>
      <c r="Q247" t="n">
        <v>0</v>
      </c>
      <c r="R247" s="2" t="inlineStr"/>
    </row>
    <row r="248" ht="15" customHeight="1">
      <c r="A248" t="inlineStr">
        <is>
          <t>A 9613-2025</t>
        </is>
      </c>
      <c r="B248" s="1" t="n">
        <v>45715</v>
      </c>
      <c r="C248" s="1" t="n">
        <v>46079</v>
      </c>
      <c r="D248" t="inlineStr">
        <is>
          <t>GOTLANDS LÄN</t>
        </is>
      </c>
      <c r="E248" t="inlineStr">
        <is>
          <t>GOTLAND</t>
        </is>
      </c>
      <c r="G248" t="n">
        <v>3.5</v>
      </c>
      <c r="H248" t="n">
        <v>0</v>
      </c>
      <c r="I248" t="n">
        <v>0</v>
      </c>
      <c r="J248" t="n">
        <v>0</v>
      </c>
      <c r="K248" t="n">
        <v>0</v>
      </c>
      <c r="L248" t="n">
        <v>0</v>
      </c>
      <c r="M248" t="n">
        <v>0</v>
      </c>
      <c r="N248" t="n">
        <v>0</v>
      </c>
      <c r="O248" t="n">
        <v>0</v>
      </c>
      <c r="P248" t="n">
        <v>0</v>
      </c>
      <c r="Q248" t="n">
        <v>0</v>
      </c>
      <c r="R248" s="2" t="inlineStr"/>
    </row>
    <row r="249" ht="15" customHeight="1">
      <c r="A249" t="inlineStr">
        <is>
          <t>A 8484-2025</t>
        </is>
      </c>
      <c r="B249" s="1" t="n">
        <v>45709</v>
      </c>
      <c r="C249" s="1" t="n">
        <v>46079</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7635-2025</t>
        </is>
      </c>
      <c r="B250" s="1" t="n">
        <v>45705</v>
      </c>
      <c r="C250" s="1" t="n">
        <v>46079</v>
      </c>
      <c r="D250" t="inlineStr">
        <is>
          <t>GOTLANDS LÄN</t>
        </is>
      </c>
      <c r="E250" t="inlineStr">
        <is>
          <t>GOTLAND</t>
        </is>
      </c>
      <c r="G250" t="n">
        <v>0.9</v>
      </c>
      <c r="H250" t="n">
        <v>0</v>
      </c>
      <c r="I250" t="n">
        <v>0</v>
      </c>
      <c r="J250" t="n">
        <v>0</v>
      </c>
      <c r="K250" t="n">
        <v>0</v>
      </c>
      <c r="L250" t="n">
        <v>0</v>
      </c>
      <c r="M250" t="n">
        <v>0</v>
      </c>
      <c r="N250" t="n">
        <v>0</v>
      </c>
      <c r="O250" t="n">
        <v>0</v>
      </c>
      <c r="P250" t="n">
        <v>0</v>
      </c>
      <c r="Q250" t="n">
        <v>0</v>
      </c>
      <c r="R250" s="2" t="inlineStr"/>
    </row>
    <row r="251" ht="15" customHeight="1">
      <c r="A251" t="inlineStr">
        <is>
          <t>A 7636-2025</t>
        </is>
      </c>
      <c r="B251" s="1" t="n">
        <v>45705.7687962963</v>
      </c>
      <c r="C251" s="1" t="n">
        <v>46079</v>
      </c>
      <c r="D251" t="inlineStr">
        <is>
          <t>GOTLANDS LÄN</t>
        </is>
      </c>
      <c r="E251" t="inlineStr">
        <is>
          <t>GOTLAND</t>
        </is>
      </c>
      <c r="G251" t="n">
        <v>0.6</v>
      </c>
      <c r="H251" t="n">
        <v>0</v>
      </c>
      <c r="I251" t="n">
        <v>0</v>
      </c>
      <c r="J251" t="n">
        <v>0</v>
      </c>
      <c r="K251" t="n">
        <v>0</v>
      </c>
      <c r="L251" t="n">
        <v>0</v>
      </c>
      <c r="M251" t="n">
        <v>0</v>
      </c>
      <c r="N251" t="n">
        <v>0</v>
      </c>
      <c r="O251" t="n">
        <v>0</v>
      </c>
      <c r="P251" t="n">
        <v>0</v>
      </c>
      <c r="Q251" t="n">
        <v>0</v>
      </c>
      <c r="R251" s="2" t="inlineStr"/>
    </row>
    <row r="252" ht="15" customHeight="1">
      <c r="A252" t="inlineStr">
        <is>
          <t>A 7639-2025</t>
        </is>
      </c>
      <c r="B252" s="1" t="n">
        <v>45705.77465277778</v>
      </c>
      <c r="C252" s="1" t="n">
        <v>46079</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10655-2023</t>
        </is>
      </c>
      <c r="B253" s="1" t="n">
        <v>44988.49543981482</v>
      </c>
      <c r="C253" s="1" t="n">
        <v>46079</v>
      </c>
      <c r="D253" t="inlineStr">
        <is>
          <t>GOTLANDS LÄN</t>
        </is>
      </c>
      <c r="E253" t="inlineStr">
        <is>
          <t>GOTLAND</t>
        </is>
      </c>
      <c r="F253" t="inlineStr">
        <is>
          <t>Kyrkan</t>
        </is>
      </c>
      <c r="G253" t="n">
        <v>2</v>
      </c>
      <c r="H253" t="n">
        <v>0</v>
      </c>
      <c r="I253" t="n">
        <v>0</v>
      </c>
      <c r="J253" t="n">
        <v>0</v>
      </c>
      <c r="K253" t="n">
        <v>0</v>
      </c>
      <c r="L253" t="n">
        <v>0</v>
      </c>
      <c r="M253" t="n">
        <v>0</v>
      </c>
      <c r="N253" t="n">
        <v>0</v>
      </c>
      <c r="O253" t="n">
        <v>0</v>
      </c>
      <c r="P253" t="n">
        <v>0</v>
      </c>
      <c r="Q253" t="n">
        <v>0</v>
      </c>
      <c r="R253" s="2" t="inlineStr"/>
    </row>
    <row r="254" ht="15" customHeight="1">
      <c r="A254" t="inlineStr">
        <is>
          <t>A 15595-2024</t>
        </is>
      </c>
      <c r="B254" s="1" t="n">
        <v>45401.81480324074</v>
      </c>
      <c r="C254" s="1" t="n">
        <v>46079</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1677-2023</t>
        </is>
      </c>
      <c r="B255" s="1" t="n">
        <v>44938</v>
      </c>
      <c r="C255" s="1" t="n">
        <v>46079</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5751-2024</t>
        </is>
      </c>
      <c r="B256" s="1" t="n">
        <v>45335.32702546296</v>
      </c>
      <c r="C256" s="1" t="n">
        <v>46079</v>
      </c>
      <c r="D256" t="inlineStr">
        <is>
          <t>GOTLANDS LÄN</t>
        </is>
      </c>
      <c r="E256" t="inlineStr">
        <is>
          <t>GOTLAND</t>
        </is>
      </c>
      <c r="G256" t="n">
        <v>4.2</v>
      </c>
      <c r="H256" t="n">
        <v>0</v>
      </c>
      <c r="I256" t="n">
        <v>0</v>
      </c>
      <c r="J256" t="n">
        <v>0</v>
      </c>
      <c r="K256" t="n">
        <v>0</v>
      </c>
      <c r="L256" t="n">
        <v>0</v>
      </c>
      <c r="M256" t="n">
        <v>0</v>
      </c>
      <c r="N256" t="n">
        <v>0</v>
      </c>
      <c r="O256" t="n">
        <v>0</v>
      </c>
      <c r="P256" t="n">
        <v>0</v>
      </c>
      <c r="Q256" t="n">
        <v>0</v>
      </c>
      <c r="R256" s="2" t="inlineStr"/>
    </row>
    <row r="257" ht="15" customHeight="1">
      <c r="A257" t="inlineStr">
        <is>
          <t>A 2719-2023</t>
        </is>
      </c>
      <c r="B257" s="1" t="n">
        <v>44944.55361111111</v>
      </c>
      <c r="C257" s="1" t="n">
        <v>46079</v>
      </c>
      <c r="D257" t="inlineStr">
        <is>
          <t>GOTLANDS LÄN</t>
        </is>
      </c>
      <c r="E257" t="inlineStr">
        <is>
          <t>GOTLAND</t>
        </is>
      </c>
      <c r="G257" t="n">
        <v>0.5</v>
      </c>
      <c r="H257" t="n">
        <v>0</v>
      </c>
      <c r="I257" t="n">
        <v>0</v>
      </c>
      <c r="J257" t="n">
        <v>0</v>
      </c>
      <c r="K257" t="n">
        <v>0</v>
      </c>
      <c r="L257" t="n">
        <v>0</v>
      </c>
      <c r="M257" t="n">
        <v>0</v>
      </c>
      <c r="N257" t="n">
        <v>0</v>
      </c>
      <c r="O257" t="n">
        <v>0</v>
      </c>
      <c r="P257" t="n">
        <v>0</v>
      </c>
      <c r="Q257" t="n">
        <v>0</v>
      </c>
      <c r="R257" s="2" t="inlineStr"/>
    </row>
    <row r="258" ht="15" customHeight="1">
      <c r="A258" t="inlineStr">
        <is>
          <t>A 26891-2024</t>
        </is>
      </c>
      <c r="B258" s="1" t="n">
        <v>45470.65540509259</v>
      </c>
      <c r="C258" s="1" t="n">
        <v>46079</v>
      </c>
      <c r="D258" t="inlineStr">
        <is>
          <t>GOTLANDS LÄN</t>
        </is>
      </c>
      <c r="E258" t="inlineStr">
        <is>
          <t>GOTLAND</t>
        </is>
      </c>
      <c r="G258" t="n">
        <v>0.8</v>
      </c>
      <c r="H258" t="n">
        <v>0</v>
      </c>
      <c r="I258" t="n">
        <v>0</v>
      </c>
      <c r="J258" t="n">
        <v>0</v>
      </c>
      <c r="K258" t="n">
        <v>0</v>
      </c>
      <c r="L258" t="n">
        <v>0</v>
      </c>
      <c r="M258" t="n">
        <v>0</v>
      </c>
      <c r="N258" t="n">
        <v>0</v>
      </c>
      <c r="O258" t="n">
        <v>0</v>
      </c>
      <c r="P258" t="n">
        <v>0</v>
      </c>
      <c r="Q258" t="n">
        <v>0</v>
      </c>
      <c r="R258" s="2" t="inlineStr"/>
    </row>
    <row r="259" ht="15" customHeight="1">
      <c r="A259" t="inlineStr">
        <is>
          <t>A 20356-2022</t>
        </is>
      </c>
      <c r="B259" s="1" t="n">
        <v>44699</v>
      </c>
      <c r="C259" s="1" t="n">
        <v>46079</v>
      </c>
      <c r="D259" t="inlineStr">
        <is>
          <t>GOTLANDS LÄN</t>
        </is>
      </c>
      <c r="E259" t="inlineStr">
        <is>
          <t>GOTLAND</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48734-2022</t>
        </is>
      </c>
      <c r="B260" s="1" t="n">
        <v>44855</v>
      </c>
      <c r="C260" s="1" t="n">
        <v>46079</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14141-2024</t>
        </is>
      </c>
      <c r="B261" s="1" t="n">
        <v>45392.85193287037</v>
      </c>
      <c r="C261" s="1" t="n">
        <v>46079</v>
      </c>
      <c r="D261" t="inlineStr">
        <is>
          <t>GOTLANDS LÄN</t>
        </is>
      </c>
      <c r="E261" t="inlineStr">
        <is>
          <t>GOTLAND</t>
        </is>
      </c>
      <c r="G261" t="n">
        <v>5.3</v>
      </c>
      <c r="H261" t="n">
        <v>0</v>
      </c>
      <c r="I261" t="n">
        <v>0</v>
      </c>
      <c r="J261" t="n">
        <v>0</v>
      </c>
      <c r="K261" t="n">
        <v>0</v>
      </c>
      <c r="L261" t="n">
        <v>0</v>
      </c>
      <c r="M261" t="n">
        <v>0</v>
      </c>
      <c r="N261" t="n">
        <v>0</v>
      </c>
      <c r="O261" t="n">
        <v>0</v>
      </c>
      <c r="P261" t="n">
        <v>0</v>
      </c>
      <c r="Q261" t="n">
        <v>0</v>
      </c>
      <c r="R261" s="2" t="inlineStr"/>
    </row>
    <row r="262" ht="15" customHeight="1">
      <c r="A262" t="inlineStr">
        <is>
          <t>A 29809-2022</t>
        </is>
      </c>
      <c r="B262" s="1" t="n">
        <v>44755.8713425926</v>
      </c>
      <c r="C262" s="1" t="n">
        <v>46079</v>
      </c>
      <c r="D262" t="inlineStr">
        <is>
          <t>GOTLANDS LÄN</t>
        </is>
      </c>
      <c r="E262" t="inlineStr">
        <is>
          <t>GOTLAND</t>
        </is>
      </c>
      <c r="G262" t="n">
        <v>11.5</v>
      </c>
      <c r="H262" t="n">
        <v>0</v>
      </c>
      <c r="I262" t="n">
        <v>0</v>
      </c>
      <c r="J262" t="n">
        <v>0</v>
      </c>
      <c r="K262" t="n">
        <v>0</v>
      </c>
      <c r="L262" t="n">
        <v>0</v>
      </c>
      <c r="M262" t="n">
        <v>0</v>
      </c>
      <c r="N262" t="n">
        <v>0</v>
      </c>
      <c r="O262" t="n">
        <v>0</v>
      </c>
      <c r="P262" t="n">
        <v>0</v>
      </c>
      <c r="Q262" t="n">
        <v>0</v>
      </c>
      <c r="R262" s="2" t="inlineStr"/>
    </row>
    <row r="263" ht="15" customHeight="1">
      <c r="A263" t="inlineStr">
        <is>
          <t>A 42007-2023</t>
        </is>
      </c>
      <c r="B263" s="1" t="n">
        <v>45177</v>
      </c>
      <c r="C263" s="1" t="n">
        <v>46079</v>
      </c>
      <c r="D263" t="inlineStr">
        <is>
          <t>GOTLANDS LÄN</t>
        </is>
      </c>
      <c r="E263" t="inlineStr">
        <is>
          <t>GOTLAND</t>
        </is>
      </c>
      <c r="G263" t="n">
        <v>0.8</v>
      </c>
      <c r="H263" t="n">
        <v>0</v>
      </c>
      <c r="I263" t="n">
        <v>0</v>
      </c>
      <c r="J263" t="n">
        <v>0</v>
      </c>
      <c r="K263" t="n">
        <v>0</v>
      </c>
      <c r="L263" t="n">
        <v>0</v>
      </c>
      <c r="M263" t="n">
        <v>0</v>
      </c>
      <c r="N263" t="n">
        <v>0</v>
      </c>
      <c r="O263" t="n">
        <v>0</v>
      </c>
      <c r="P263" t="n">
        <v>0</v>
      </c>
      <c r="Q263" t="n">
        <v>0</v>
      </c>
      <c r="R263" s="2" t="inlineStr"/>
    </row>
    <row r="264" ht="15" customHeight="1">
      <c r="A264" t="inlineStr">
        <is>
          <t>A 9887-2025</t>
        </is>
      </c>
      <c r="B264" s="1" t="n">
        <v>45716</v>
      </c>
      <c r="C264" s="1" t="n">
        <v>46079</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38165-2023</t>
        </is>
      </c>
      <c r="B265" s="1" t="n">
        <v>45161</v>
      </c>
      <c r="C265" s="1" t="n">
        <v>46079</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24966-2023</t>
        </is>
      </c>
      <c r="B266" s="1" t="n">
        <v>45085</v>
      </c>
      <c r="C266" s="1" t="n">
        <v>46079</v>
      </c>
      <c r="D266" t="inlineStr">
        <is>
          <t>GOTLANDS LÄN</t>
        </is>
      </c>
      <c r="E266" t="inlineStr">
        <is>
          <t>GOTLAND</t>
        </is>
      </c>
      <c r="G266" t="n">
        <v>7</v>
      </c>
      <c r="H266" t="n">
        <v>0</v>
      </c>
      <c r="I266" t="n">
        <v>0</v>
      </c>
      <c r="J266" t="n">
        <v>0</v>
      </c>
      <c r="K266" t="n">
        <v>0</v>
      </c>
      <c r="L266" t="n">
        <v>0</v>
      </c>
      <c r="M266" t="n">
        <v>0</v>
      </c>
      <c r="N266" t="n">
        <v>0</v>
      </c>
      <c r="O266" t="n">
        <v>0</v>
      </c>
      <c r="P266" t="n">
        <v>0</v>
      </c>
      <c r="Q266" t="n">
        <v>0</v>
      </c>
      <c r="R266" s="2" t="inlineStr"/>
    </row>
    <row r="267" ht="15" customHeight="1">
      <c r="A267" t="inlineStr">
        <is>
          <t>A 27596-2023</t>
        </is>
      </c>
      <c r="B267" s="1" t="n">
        <v>45097</v>
      </c>
      <c r="C267" s="1" t="n">
        <v>46079</v>
      </c>
      <c r="D267" t="inlineStr">
        <is>
          <t>GOTLANDS LÄN</t>
        </is>
      </c>
      <c r="E267" t="inlineStr">
        <is>
          <t>GOTLAND</t>
        </is>
      </c>
      <c r="G267" t="n">
        <v>3.6</v>
      </c>
      <c r="H267" t="n">
        <v>0</v>
      </c>
      <c r="I267" t="n">
        <v>0</v>
      </c>
      <c r="J267" t="n">
        <v>0</v>
      </c>
      <c r="K267" t="n">
        <v>0</v>
      </c>
      <c r="L267" t="n">
        <v>0</v>
      </c>
      <c r="M267" t="n">
        <v>0</v>
      </c>
      <c r="N267" t="n">
        <v>0</v>
      </c>
      <c r="O267" t="n">
        <v>0</v>
      </c>
      <c r="P267" t="n">
        <v>0</v>
      </c>
      <c r="Q267" t="n">
        <v>0</v>
      </c>
      <c r="R267" s="2" t="inlineStr"/>
    </row>
    <row r="268" ht="15" customHeight="1">
      <c r="A268" t="inlineStr">
        <is>
          <t>A 46189-2022</t>
        </is>
      </c>
      <c r="B268" s="1" t="n">
        <v>44847</v>
      </c>
      <c r="C268" s="1" t="n">
        <v>46079</v>
      </c>
      <c r="D268" t="inlineStr">
        <is>
          <t>GOTLANDS LÄN</t>
        </is>
      </c>
      <c r="E268" t="inlineStr">
        <is>
          <t>GOTLAND</t>
        </is>
      </c>
      <c r="G268" t="n">
        <v>0.4</v>
      </c>
      <c r="H268" t="n">
        <v>0</v>
      </c>
      <c r="I268" t="n">
        <v>0</v>
      </c>
      <c r="J268" t="n">
        <v>0</v>
      </c>
      <c r="K268" t="n">
        <v>0</v>
      </c>
      <c r="L268" t="n">
        <v>0</v>
      </c>
      <c r="M268" t="n">
        <v>0</v>
      </c>
      <c r="N268" t="n">
        <v>0</v>
      </c>
      <c r="O268" t="n">
        <v>0</v>
      </c>
      <c r="P268" t="n">
        <v>0</v>
      </c>
      <c r="Q268" t="n">
        <v>0</v>
      </c>
      <c r="R268" s="2" t="inlineStr"/>
    </row>
    <row r="269" ht="15" customHeight="1">
      <c r="A269" t="inlineStr">
        <is>
          <t>A 57685-2022</t>
        </is>
      </c>
      <c r="B269" s="1" t="n">
        <v>44897.4777662037</v>
      </c>
      <c r="C269" s="1" t="n">
        <v>46079</v>
      </c>
      <c r="D269" t="inlineStr">
        <is>
          <t>GOTLANDS LÄN</t>
        </is>
      </c>
      <c r="E269" t="inlineStr">
        <is>
          <t>GOTLAND</t>
        </is>
      </c>
      <c r="G269" t="n">
        <v>3.7</v>
      </c>
      <c r="H269" t="n">
        <v>0</v>
      </c>
      <c r="I269" t="n">
        <v>0</v>
      </c>
      <c r="J269" t="n">
        <v>0</v>
      </c>
      <c r="K269" t="n">
        <v>0</v>
      </c>
      <c r="L269" t="n">
        <v>0</v>
      </c>
      <c r="M269" t="n">
        <v>0</v>
      </c>
      <c r="N269" t="n">
        <v>0</v>
      </c>
      <c r="O269" t="n">
        <v>0</v>
      </c>
      <c r="P269" t="n">
        <v>0</v>
      </c>
      <c r="Q269" t="n">
        <v>0</v>
      </c>
      <c r="R269" s="2" t="inlineStr"/>
    </row>
    <row r="270" ht="15" customHeight="1">
      <c r="A270" t="inlineStr">
        <is>
          <t>A 24825-2024</t>
        </is>
      </c>
      <c r="B270" s="1" t="n">
        <v>45461</v>
      </c>
      <c r="C270" s="1" t="n">
        <v>46079</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6696-2023</t>
        </is>
      </c>
      <c r="B271" s="1" t="n">
        <v>44966.66425925926</v>
      </c>
      <c r="C271" s="1" t="n">
        <v>46079</v>
      </c>
      <c r="D271" t="inlineStr">
        <is>
          <t>GOTLANDS LÄN</t>
        </is>
      </c>
      <c r="E271" t="inlineStr">
        <is>
          <t>GOTLAND</t>
        </is>
      </c>
      <c r="G271" t="n">
        <v>1.5</v>
      </c>
      <c r="H271" t="n">
        <v>0</v>
      </c>
      <c r="I271" t="n">
        <v>0</v>
      </c>
      <c r="J271" t="n">
        <v>0</v>
      </c>
      <c r="K271" t="n">
        <v>0</v>
      </c>
      <c r="L271" t="n">
        <v>0</v>
      </c>
      <c r="M271" t="n">
        <v>0</v>
      </c>
      <c r="N271" t="n">
        <v>0</v>
      </c>
      <c r="O271" t="n">
        <v>0</v>
      </c>
      <c r="P271" t="n">
        <v>0</v>
      </c>
      <c r="Q271" t="n">
        <v>0</v>
      </c>
      <c r="R271" s="2" t="inlineStr"/>
    </row>
    <row r="272" ht="15" customHeight="1">
      <c r="A272" t="inlineStr">
        <is>
          <t>A 30815-2023</t>
        </is>
      </c>
      <c r="B272" s="1" t="n">
        <v>45112</v>
      </c>
      <c r="C272" s="1" t="n">
        <v>46079</v>
      </c>
      <c r="D272" t="inlineStr">
        <is>
          <t>GOTLANDS LÄN</t>
        </is>
      </c>
      <c r="E272" t="inlineStr">
        <is>
          <t>GOTLAND</t>
        </is>
      </c>
      <c r="G272" t="n">
        <v>6</v>
      </c>
      <c r="H272" t="n">
        <v>0</v>
      </c>
      <c r="I272" t="n">
        <v>0</v>
      </c>
      <c r="J272" t="n">
        <v>0</v>
      </c>
      <c r="K272" t="n">
        <v>0</v>
      </c>
      <c r="L272" t="n">
        <v>0</v>
      </c>
      <c r="M272" t="n">
        <v>0</v>
      </c>
      <c r="N272" t="n">
        <v>0</v>
      </c>
      <c r="O272" t="n">
        <v>0</v>
      </c>
      <c r="P272" t="n">
        <v>0</v>
      </c>
      <c r="Q272" t="n">
        <v>0</v>
      </c>
      <c r="R272" s="2" t="inlineStr"/>
    </row>
    <row r="273" ht="15" customHeight="1">
      <c r="A273" t="inlineStr">
        <is>
          <t>A 21247-2022</t>
        </is>
      </c>
      <c r="B273" s="1" t="n">
        <v>44705.38832175926</v>
      </c>
      <c r="C273" s="1" t="n">
        <v>46079</v>
      </c>
      <c r="D273" t="inlineStr">
        <is>
          <t>GOTLANDS LÄN</t>
        </is>
      </c>
      <c r="E273" t="inlineStr">
        <is>
          <t>GOTLAND</t>
        </is>
      </c>
      <c r="G273" t="n">
        <v>16.2</v>
      </c>
      <c r="H273" t="n">
        <v>0</v>
      </c>
      <c r="I273" t="n">
        <v>0</v>
      </c>
      <c r="J273" t="n">
        <v>0</v>
      </c>
      <c r="K273" t="n">
        <v>0</v>
      </c>
      <c r="L273" t="n">
        <v>0</v>
      </c>
      <c r="M273" t="n">
        <v>0</v>
      </c>
      <c r="N273" t="n">
        <v>0</v>
      </c>
      <c r="O273" t="n">
        <v>0</v>
      </c>
      <c r="P273" t="n">
        <v>0</v>
      </c>
      <c r="Q273" t="n">
        <v>0</v>
      </c>
      <c r="R273" s="2" t="inlineStr"/>
    </row>
    <row r="274" ht="15" customHeight="1">
      <c r="A274" t="inlineStr">
        <is>
          <t>A 456-2023</t>
        </is>
      </c>
      <c r="B274" s="1" t="n">
        <v>44929.87122685185</v>
      </c>
      <c r="C274" s="1" t="n">
        <v>46079</v>
      </c>
      <c r="D274" t="inlineStr">
        <is>
          <t>GOTLANDS LÄN</t>
        </is>
      </c>
      <c r="E274" t="inlineStr">
        <is>
          <t>GOTLAND</t>
        </is>
      </c>
      <c r="G274" t="n">
        <v>3.2</v>
      </c>
      <c r="H274" t="n">
        <v>0</v>
      </c>
      <c r="I274" t="n">
        <v>0</v>
      </c>
      <c r="J274" t="n">
        <v>0</v>
      </c>
      <c r="K274" t="n">
        <v>0</v>
      </c>
      <c r="L274" t="n">
        <v>0</v>
      </c>
      <c r="M274" t="n">
        <v>0</v>
      </c>
      <c r="N274" t="n">
        <v>0</v>
      </c>
      <c r="O274" t="n">
        <v>0</v>
      </c>
      <c r="P274" t="n">
        <v>0</v>
      </c>
      <c r="Q274" t="n">
        <v>0</v>
      </c>
      <c r="R274" s="2" t="inlineStr"/>
    </row>
    <row r="275" ht="15" customHeight="1">
      <c r="A275" t="inlineStr">
        <is>
          <t>A 2714-2023</t>
        </is>
      </c>
      <c r="B275" s="1" t="n">
        <v>44944.54896990741</v>
      </c>
      <c r="C275" s="1" t="n">
        <v>46079</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22031-2024</t>
        </is>
      </c>
      <c r="B276" s="1" t="n">
        <v>45443.60075231481</v>
      </c>
      <c r="C276" s="1" t="n">
        <v>46079</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7034-2023</t>
        </is>
      </c>
      <c r="B277" s="1" t="n">
        <v>44968.32108796296</v>
      </c>
      <c r="C277" s="1" t="n">
        <v>46079</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7042-2023</t>
        </is>
      </c>
      <c r="B278" s="1" t="n">
        <v>44968</v>
      </c>
      <c r="C278" s="1" t="n">
        <v>46079</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23516-2023</t>
        </is>
      </c>
      <c r="B279" s="1" t="n">
        <v>45076.93391203704</v>
      </c>
      <c r="C279" s="1" t="n">
        <v>46079</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49314-2024</t>
        </is>
      </c>
      <c r="B280" s="1" t="n">
        <v>45595.55893518519</v>
      </c>
      <c r="C280" s="1" t="n">
        <v>46079</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64660-2023</t>
        </is>
      </c>
      <c r="B281" s="1" t="n">
        <v>45281.60122685185</v>
      </c>
      <c r="C281" s="1" t="n">
        <v>46079</v>
      </c>
      <c r="D281" t="inlineStr">
        <is>
          <t>GOTLANDS LÄN</t>
        </is>
      </c>
      <c r="E281" t="inlineStr">
        <is>
          <t>GOTLAND</t>
        </is>
      </c>
      <c r="G281" t="n">
        <v>6.3</v>
      </c>
      <c r="H281" t="n">
        <v>0</v>
      </c>
      <c r="I281" t="n">
        <v>0</v>
      </c>
      <c r="J281" t="n">
        <v>0</v>
      </c>
      <c r="K281" t="n">
        <v>0</v>
      </c>
      <c r="L281" t="n">
        <v>0</v>
      </c>
      <c r="M281" t="n">
        <v>0</v>
      </c>
      <c r="N281" t="n">
        <v>0</v>
      </c>
      <c r="O281" t="n">
        <v>0</v>
      </c>
      <c r="P281" t="n">
        <v>0</v>
      </c>
      <c r="Q281" t="n">
        <v>0</v>
      </c>
      <c r="R281" s="2" t="inlineStr"/>
    </row>
    <row r="282" ht="15" customHeight="1">
      <c r="A282" t="inlineStr">
        <is>
          <t>A 4421-2024</t>
        </is>
      </c>
      <c r="B282" s="1" t="n">
        <v>45327.45173611111</v>
      </c>
      <c r="C282" s="1" t="n">
        <v>46079</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63763-2023</t>
        </is>
      </c>
      <c r="B283" s="1" t="n">
        <v>45278.33944444444</v>
      </c>
      <c r="C283" s="1" t="n">
        <v>46079</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51782-2023</t>
        </is>
      </c>
      <c r="B284" s="1" t="n">
        <v>45222.80952546297</v>
      </c>
      <c r="C284" s="1" t="n">
        <v>46079</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46079</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54268-2022</t>
        </is>
      </c>
      <c r="B286" s="1" t="n">
        <v>44882</v>
      </c>
      <c r="C286" s="1" t="n">
        <v>46079</v>
      </c>
      <c r="D286" t="inlineStr">
        <is>
          <t>GOTLANDS LÄN</t>
        </is>
      </c>
      <c r="E286" t="inlineStr">
        <is>
          <t>GOTLAND</t>
        </is>
      </c>
      <c r="G286" t="n">
        <v>2.7</v>
      </c>
      <c r="H286" t="n">
        <v>0</v>
      </c>
      <c r="I286" t="n">
        <v>0</v>
      </c>
      <c r="J286" t="n">
        <v>0</v>
      </c>
      <c r="K286" t="n">
        <v>0</v>
      </c>
      <c r="L286" t="n">
        <v>0</v>
      </c>
      <c r="M286" t="n">
        <v>0</v>
      </c>
      <c r="N286" t="n">
        <v>0</v>
      </c>
      <c r="O286" t="n">
        <v>0</v>
      </c>
      <c r="P286" t="n">
        <v>0</v>
      </c>
      <c r="Q286" t="n">
        <v>0</v>
      </c>
      <c r="R286" s="2" t="inlineStr"/>
    </row>
    <row r="287" ht="15" customHeight="1">
      <c r="A287" t="inlineStr">
        <is>
          <t>A 44919-2022</t>
        </is>
      </c>
      <c r="B287" s="1" t="n">
        <v>44841</v>
      </c>
      <c r="C287" s="1" t="n">
        <v>46079</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57534-2022</t>
        </is>
      </c>
      <c r="B288" s="1" t="n">
        <v>44896</v>
      </c>
      <c r="C288" s="1" t="n">
        <v>46079</v>
      </c>
      <c r="D288" t="inlineStr">
        <is>
          <t>GOTLANDS LÄN</t>
        </is>
      </c>
      <c r="E288" t="inlineStr">
        <is>
          <t>GOTLAND</t>
        </is>
      </c>
      <c r="G288" t="n">
        <v>0.6</v>
      </c>
      <c r="H288" t="n">
        <v>0</v>
      </c>
      <c r="I288" t="n">
        <v>0</v>
      </c>
      <c r="J288" t="n">
        <v>0</v>
      </c>
      <c r="K288" t="n">
        <v>0</v>
      </c>
      <c r="L288" t="n">
        <v>0</v>
      </c>
      <c r="M288" t="n">
        <v>0</v>
      </c>
      <c r="N288" t="n">
        <v>0</v>
      </c>
      <c r="O288" t="n">
        <v>0</v>
      </c>
      <c r="P288" t="n">
        <v>0</v>
      </c>
      <c r="Q288" t="n">
        <v>0</v>
      </c>
      <c r="R288" s="2" t="inlineStr"/>
    </row>
    <row r="289" ht="15" customHeight="1">
      <c r="A289" t="inlineStr">
        <is>
          <t>A 63229-2021</t>
        </is>
      </c>
      <c r="B289" s="1" t="n">
        <v>44508.34518518519</v>
      </c>
      <c r="C289" s="1" t="n">
        <v>46079</v>
      </c>
      <c r="D289" t="inlineStr">
        <is>
          <t>GOTLANDS LÄN</t>
        </is>
      </c>
      <c r="E289" t="inlineStr">
        <is>
          <t>GOTLAND</t>
        </is>
      </c>
      <c r="F289" t="inlineStr">
        <is>
          <t>Kyrkan</t>
        </is>
      </c>
      <c r="G289" t="n">
        <v>3.8</v>
      </c>
      <c r="H289" t="n">
        <v>0</v>
      </c>
      <c r="I289" t="n">
        <v>0</v>
      </c>
      <c r="J289" t="n">
        <v>0</v>
      </c>
      <c r="K289" t="n">
        <v>0</v>
      </c>
      <c r="L289" t="n">
        <v>0</v>
      </c>
      <c r="M289" t="n">
        <v>0</v>
      </c>
      <c r="N289" t="n">
        <v>0</v>
      </c>
      <c r="O289" t="n">
        <v>0</v>
      </c>
      <c r="P289" t="n">
        <v>0</v>
      </c>
      <c r="Q289" t="n">
        <v>0</v>
      </c>
      <c r="R289" s="2" t="inlineStr"/>
    </row>
    <row r="290" ht="15" customHeight="1">
      <c r="A290" t="inlineStr">
        <is>
          <t>A 46375-2024</t>
        </is>
      </c>
      <c r="B290" s="1" t="n">
        <v>45582</v>
      </c>
      <c r="C290" s="1" t="n">
        <v>46079</v>
      </c>
      <c r="D290" t="inlineStr">
        <is>
          <t>GOTLANDS LÄN</t>
        </is>
      </c>
      <c r="E290" t="inlineStr">
        <is>
          <t>GOTLAND</t>
        </is>
      </c>
      <c r="G290" t="n">
        <v>3</v>
      </c>
      <c r="H290" t="n">
        <v>0</v>
      </c>
      <c r="I290" t="n">
        <v>0</v>
      </c>
      <c r="J290" t="n">
        <v>0</v>
      </c>
      <c r="K290" t="n">
        <v>0</v>
      </c>
      <c r="L290" t="n">
        <v>0</v>
      </c>
      <c r="M290" t="n">
        <v>0</v>
      </c>
      <c r="N290" t="n">
        <v>0</v>
      </c>
      <c r="O290" t="n">
        <v>0</v>
      </c>
      <c r="P290" t="n">
        <v>0</v>
      </c>
      <c r="Q290" t="n">
        <v>0</v>
      </c>
      <c r="R290" s="2" t="inlineStr"/>
    </row>
    <row r="291" ht="15" customHeight="1">
      <c r="A291" t="inlineStr">
        <is>
          <t>A 25866-2022</t>
        </is>
      </c>
      <c r="B291" s="1" t="n">
        <v>44733</v>
      </c>
      <c r="C291" s="1" t="n">
        <v>46079</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43229-2023</t>
        </is>
      </c>
      <c r="B292" s="1" t="n">
        <v>45183.46704861111</v>
      </c>
      <c r="C292" s="1" t="n">
        <v>46079</v>
      </c>
      <c r="D292" t="inlineStr">
        <is>
          <t>GOTLANDS LÄN</t>
        </is>
      </c>
      <c r="E292" t="inlineStr">
        <is>
          <t>GOTLAND</t>
        </is>
      </c>
      <c r="G292" t="n">
        <v>7.1</v>
      </c>
      <c r="H292" t="n">
        <v>0</v>
      </c>
      <c r="I292" t="n">
        <v>0</v>
      </c>
      <c r="J292" t="n">
        <v>0</v>
      </c>
      <c r="K292" t="n">
        <v>0</v>
      </c>
      <c r="L292" t="n">
        <v>0</v>
      </c>
      <c r="M292" t="n">
        <v>0</v>
      </c>
      <c r="N292" t="n">
        <v>0</v>
      </c>
      <c r="O292" t="n">
        <v>0</v>
      </c>
      <c r="P292" t="n">
        <v>0</v>
      </c>
      <c r="Q292" t="n">
        <v>0</v>
      </c>
      <c r="R292" s="2" t="inlineStr"/>
    </row>
    <row r="293" ht="15" customHeight="1">
      <c r="A293" t="inlineStr">
        <is>
          <t>A 1175-2025</t>
        </is>
      </c>
      <c r="B293" s="1" t="n">
        <v>45667.34449074074</v>
      </c>
      <c r="C293" s="1" t="n">
        <v>46079</v>
      </c>
      <c r="D293" t="inlineStr">
        <is>
          <t>GOTLANDS LÄN</t>
        </is>
      </c>
      <c r="E293" t="inlineStr">
        <is>
          <t>GOTLAND</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48503-2023</t>
        </is>
      </c>
      <c r="B294" s="1" t="n">
        <v>45207</v>
      </c>
      <c r="C294" s="1" t="n">
        <v>46079</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27095-2022</t>
        </is>
      </c>
      <c r="B295" s="1" t="n">
        <v>44741</v>
      </c>
      <c r="C295" s="1" t="n">
        <v>46079</v>
      </c>
      <c r="D295" t="inlineStr">
        <is>
          <t>GOTLANDS LÄN</t>
        </is>
      </c>
      <c r="E295" t="inlineStr">
        <is>
          <t>GOTLAND</t>
        </is>
      </c>
      <c r="F295" t="inlineStr">
        <is>
          <t>Övriga Aktiebolag</t>
        </is>
      </c>
      <c r="G295" t="n">
        <v>2.9</v>
      </c>
      <c r="H295" t="n">
        <v>0</v>
      </c>
      <c r="I295" t="n">
        <v>0</v>
      </c>
      <c r="J295" t="n">
        <v>0</v>
      </c>
      <c r="K295" t="n">
        <v>0</v>
      </c>
      <c r="L295" t="n">
        <v>0</v>
      </c>
      <c r="M295" t="n">
        <v>0</v>
      </c>
      <c r="N295" t="n">
        <v>0</v>
      </c>
      <c r="O295" t="n">
        <v>0</v>
      </c>
      <c r="P295" t="n">
        <v>0</v>
      </c>
      <c r="Q295" t="n">
        <v>0</v>
      </c>
      <c r="R295" s="2" t="inlineStr"/>
    </row>
    <row r="296" ht="15" customHeight="1">
      <c r="A296" t="inlineStr">
        <is>
          <t>A 22899-2023</t>
        </is>
      </c>
      <c r="B296" s="1" t="n">
        <v>45072</v>
      </c>
      <c r="C296" s="1" t="n">
        <v>46079</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65901-2021</t>
        </is>
      </c>
      <c r="B297" s="1" t="n">
        <v>44516</v>
      </c>
      <c r="C297" s="1" t="n">
        <v>46079</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23978-2023</t>
        </is>
      </c>
      <c r="B298" s="1" t="n">
        <v>45078</v>
      </c>
      <c r="C298" s="1" t="n">
        <v>46079</v>
      </c>
      <c r="D298" t="inlineStr">
        <is>
          <t>GOTLANDS LÄN</t>
        </is>
      </c>
      <c r="E298" t="inlineStr">
        <is>
          <t>GOTLAND</t>
        </is>
      </c>
      <c r="F298" t="inlineStr">
        <is>
          <t>Naturvårdsverket</t>
        </is>
      </c>
      <c r="G298" t="n">
        <v>1.7</v>
      </c>
      <c r="H298" t="n">
        <v>0</v>
      </c>
      <c r="I298" t="n">
        <v>0</v>
      </c>
      <c r="J298" t="n">
        <v>0</v>
      </c>
      <c r="K298" t="n">
        <v>0</v>
      </c>
      <c r="L298" t="n">
        <v>0</v>
      </c>
      <c r="M298" t="n">
        <v>0</v>
      </c>
      <c r="N298" t="n">
        <v>0</v>
      </c>
      <c r="O298" t="n">
        <v>0</v>
      </c>
      <c r="P298" t="n">
        <v>0</v>
      </c>
      <c r="Q298" t="n">
        <v>0</v>
      </c>
      <c r="R298" s="2" t="inlineStr"/>
    </row>
    <row r="299" ht="15" customHeight="1">
      <c r="A299" t="inlineStr">
        <is>
          <t>A 34407-2023</t>
        </is>
      </c>
      <c r="B299" s="1" t="n">
        <v>45132</v>
      </c>
      <c r="C299" s="1" t="n">
        <v>46079</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11013-2024</t>
        </is>
      </c>
      <c r="B300" s="1" t="n">
        <v>45370</v>
      </c>
      <c r="C300" s="1" t="n">
        <v>46079</v>
      </c>
      <c r="D300" t="inlineStr">
        <is>
          <t>GOTLANDS LÄN</t>
        </is>
      </c>
      <c r="E300" t="inlineStr">
        <is>
          <t>GOTLAND</t>
        </is>
      </c>
      <c r="G300" t="n">
        <v>0.7</v>
      </c>
      <c r="H300" t="n">
        <v>0</v>
      </c>
      <c r="I300" t="n">
        <v>0</v>
      </c>
      <c r="J300" t="n">
        <v>0</v>
      </c>
      <c r="K300" t="n">
        <v>0</v>
      </c>
      <c r="L300" t="n">
        <v>0</v>
      </c>
      <c r="M300" t="n">
        <v>0</v>
      </c>
      <c r="N300" t="n">
        <v>0</v>
      </c>
      <c r="O300" t="n">
        <v>0</v>
      </c>
      <c r="P300" t="n">
        <v>0</v>
      </c>
      <c r="Q300" t="n">
        <v>0</v>
      </c>
      <c r="R300" s="2" t="inlineStr"/>
    </row>
    <row r="301" ht="15" customHeight="1">
      <c r="A301" t="inlineStr">
        <is>
          <t>A 27694-2024</t>
        </is>
      </c>
      <c r="B301" s="1" t="n">
        <v>45475</v>
      </c>
      <c r="C301" s="1" t="n">
        <v>46079</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44649-2021</t>
        </is>
      </c>
      <c r="B302" s="1" t="n">
        <v>44437</v>
      </c>
      <c r="C302" s="1" t="n">
        <v>46079</v>
      </c>
      <c r="D302" t="inlineStr">
        <is>
          <t>GOTLANDS LÄN</t>
        </is>
      </c>
      <c r="E302" t="inlineStr">
        <is>
          <t>GOTLAND</t>
        </is>
      </c>
      <c r="G302" t="n">
        <v>8.1</v>
      </c>
      <c r="H302" t="n">
        <v>0</v>
      </c>
      <c r="I302" t="n">
        <v>0</v>
      </c>
      <c r="J302" t="n">
        <v>0</v>
      </c>
      <c r="K302" t="n">
        <v>0</v>
      </c>
      <c r="L302" t="n">
        <v>0</v>
      </c>
      <c r="M302" t="n">
        <v>0</v>
      </c>
      <c r="N302" t="n">
        <v>0</v>
      </c>
      <c r="O302" t="n">
        <v>0</v>
      </c>
      <c r="P302" t="n">
        <v>0</v>
      </c>
      <c r="Q302" t="n">
        <v>0</v>
      </c>
      <c r="R302" s="2" t="inlineStr"/>
    </row>
    <row r="303" ht="15" customHeight="1">
      <c r="A303" t="inlineStr">
        <is>
          <t>A 15083-2025</t>
        </is>
      </c>
      <c r="B303" s="1" t="n">
        <v>45743</v>
      </c>
      <c r="C303" s="1" t="n">
        <v>46079</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9947-2024</t>
        </is>
      </c>
      <c r="B304" s="1" t="n">
        <v>45363</v>
      </c>
      <c r="C304" s="1" t="n">
        <v>46079</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13037-2025</t>
        </is>
      </c>
      <c r="B305" s="1" t="n">
        <v>45734</v>
      </c>
      <c r="C305" s="1" t="n">
        <v>46079</v>
      </c>
      <c r="D305" t="inlineStr">
        <is>
          <t>GOTLANDS LÄN</t>
        </is>
      </c>
      <c r="E305" t="inlineStr">
        <is>
          <t>GOTLAND</t>
        </is>
      </c>
      <c r="G305" t="n">
        <v>9.5</v>
      </c>
      <c r="H305" t="n">
        <v>0</v>
      </c>
      <c r="I305" t="n">
        <v>0</v>
      </c>
      <c r="J305" t="n">
        <v>0</v>
      </c>
      <c r="K305" t="n">
        <v>0</v>
      </c>
      <c r="L305" t="n">
        <v>0</v>
      </c>
      <c r="M305" t="n">
        <v>0</v>
      </c>
      <c r="N305" t="n">
        <v>0</v>
      </c>
      <c r="O305" t="n">
        <v>0</v>
      </c>
      <c r="P305" t="n">
        <v>0</v>
      </c>
      <c r="Q305" t="n">
        <v>0</v>
      </c>
      <c r="R305" s="2" t="inlineStr"/>
    </row>
    <row r="306" ht="15" customHeight="1">
      <c r="A306" t="inlineStr">
        <is>
          <t>A 1734-2025</t>
        </is>
      </c>
      <c r="B306" s="1" t="n">
        <v>45671.3840625</v>
      </c>
      <c r="C306" s="1" t="n">
        <v>46079</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458-2023</t>
        </is>
      </c>
      <c r="B307" s="1" t="n">
        <v>44929</v>
      </c>
      <c r="C307" s="1" t="n">
        <v>46079</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20993-2023</t>
        </is>
      </c>
      <c r="B308" s="1" t="n">
        <v>45056</v>
      </c>
      <c r="C308" s="1" t="n">
        <v>46079</v>
      </c>
      <c r="D308" t="inlineStr">
        <is>
          <t>GOTLANDS LÄN</t>
        </is>
      </c>
      <c r="E308" t="inlineStr">
        <is>
          <t>GOTLAND</t>
        </is>
      </c>
      <c r="G308" t="n">
        <v>7.1</v>
      </c>
      <c r="H308" t="n">
        <v>0</v>
      </c>
      <c r="I308" t="n">
        <v>0</v>
      </c>
      <c r="J308" t="n">
        <v>0</v>
      </c>
      <c r="K308" t="n">
        <v>0</v>
      </c>
      <c r="L308" t="n">
        <v>0</v>
      </c>
      <c r="M308" t="n">
        <v>0</v>
      </c>
      <c r="N308" t="n">
        <v>0</v>
      </c>
      <c r="O308" t="n">
        <v>0</v>
      </c>
      <c r="P308" t="n">
        <v>0</v>
      </c>
      <c r="Q308" t="n">
        <v>0</v>
      </c>
      <c r="R308" s="2" t="inlineStr"/>
    </row>
    <row r="309" ht="15" customHeight="1">
      <c r="A309" t="inlineStr">
        <is>
          <t>A 17682-2024</t>
        </is>
      </c>
      <c r="B309" s="1" t="n">
        <v>45418.42966435185</v>
      </c>
      <c r="C309" s="1" t="n">
        <v>46079</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57522-2022</t>
        </is>
      </c>
      <c r="B310" s="1" t="n">
        <v>44896</v>
      </c>
      <c r="C310" s="1" t="n">
        <v>46079</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44228-2022</t>
        </is>
      </c>
      <c r="B311" s="1" t="n">
        <v>44839.51599537037</v>
      </c>
      <c r="C311" s="1" t="n">
        <v>46079</v>
      </c>
      <c r="D311" t="inlineStr">
        <is>
          <t>GOTLANDS LÄN</t>
        </is>
      </c>
      <c r="E311" t="inlineStr">
        <is>
          <t>GOTLAND</t>
        </is>
      </c>
      <c r="G311" t="n">
        <v>2.1</v>
      </c>
      <c r="H311" t="n">
        <v>0</v>
      </c>
      <c r="I311" t="n">
        <v>0</v>
      </c>
      <c r="J311" t="n">
        <v>0</v>
      </c>
      <c r="K311" t="n">
        <v>0</v>
      </c>
      <c r="L311" t="n">
        <v>0</v>
      </c>
      <c r="M311" t="n">
        <v>0</v>
      </c>
      <c r="N311" t="n">
        <v>0</v>
      </c>
      <c r="O311" t="n">
        <v>0</v>
      </c>
      <c r="P311" t="n">
        <v>0</v>
      </c>
      <c r="Q311" t="n">
        <v>0</v>
      </c>
      <c r="R311" s="2" t="inlineStr"/>
    </row>
    <row r="312" ht="15" customHeight="1">
      <c r="A312" t="inlineStr">
        <is>
          <t>A 12596-2023</t>
        </is>
      </c>
      <c r="B312" s="1" t="n">
        <v>45000.43310185185</v>
      </c>
      <c r="C312" s="1" t="n">
        <v>46079</v>
      </c>
      <c r="D312" t="inlineStr">
        <is>
          <t>GOTLANDS LÄN</t>
        </is>
      </c>
      <c r="E312" t="inlineStr">
        <is>
          <t>GOTLAND</t>
        </is>
      </c>
      <c r="G312" t="n">
        <v>4.1</v>
      </c>
      <c r="H312" t="n">
        <v>0</v>
      </c>
      <c r="I312" t="n">
        <v>0</v>
      </c>
      <c r="J312" t="n">
        <v>0</v>
      </c>
      <c r="K312" t="n">
        <v>0</v>
      </c>
      <c r="L312" t="n">
        <v>0</v>
      </c>
      <c r="M312" t="n">
        <v>0</v>
      </c>
      <c r="N312" t="n">
        <v>0</v>
      </c>
      <c r="O312" t="n">
        <v>0</v>
      </c>
      <c r="P312" t="n">
        <v>0</v>
      </c>
      <c r="Q312" t="n">
        <v>0</v>
      </c>
      <c r="R312" s="2" t="inlineStr"/>
    </row>
    <row r="313" ht="15" customHeight="1">
      <c r="A313" t="inlineStr">
        <is>
          <t>A 27593-2023</t>
        </is>
      </c>
      <c r="B313" s="1" t="n">
        <v>45097</v>
      </c>
      <c r="C313" s="1" t="n">
        <v>46079</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2125-2025</t>
        </is>
      </c>
      <c r="B314" s="1" t="n">
        <v>45672.64940972222</v>
      </c>
      <c r="C314" s="1" t="n">
        <v>46079</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58132-2023</t>
        </is>
      </c>
      <c r="B315" s="1" t="n">
        <v>45250</v>
      </c>
      <c r="C315" s="1" t="n">
        <v>46079</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12155-2023</t>
        </is>
      </c>
      <c r="B316" s="1" t="n">
        <v>44998.49106481481</v>
      </c>
      <c r="C316" s="1" t="n">
        <v>46079</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457-2023</t>
        </is>
      </c>
      <c r="B317" s="1" t="n">
        <v>44929.87238425926</v>
      </c>
      <c r="C317" s="1" t="n">
        <v>46079</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459-2023</t>
        </is>
      </c>
      <c r="B318" s="1" t="n">
        <v>44929.87423611111</v>
      </c>
      <c r="C318" s="1" t="n">
        <v>46079</v>
      </c>
      <c r="D318" t="inlineStr">
        <is>
          <t>GOTLANDS LÄN</t>
        </is>
      </c>
      <c r="E318" t="inlineStr">
        <is>
          <t>GOTLAND</t>
        </is>
      </c>
      <c r="G318" t="n">
        <v>4.2</v>
      </c>
      <c r="H318" t="n">
        <v>0</v>
      </c>
      <c r="I318" t="n">
        <v>0</v>
      </c>
      <c r="J318" t="n">
        <v>0</v>
      </c>
      <c r="K318" t="n">
        <v>0</v>
      </c>
      <c r="L318" t="n">
        <v>0</v>
      </c>
      <c r="M318" t="n">
        <v>0</v>
      </c>
      <c r="N318" t="n">
        <v>0</v>
      </c>
      <c r="O318" t="n">
        <v>0</v>
      </c>
      <c r="P318" t="n">
        <v>0</v>
      </c>
      <c r="Q318" t="n">
        <v>0</v>
      </c>
      <c r="R318" s="2" t="inlineStr"/>
    </row>
    <row r="319" ht="15" customHeight="1">
      <c r="A319" t="inlineStr">
        <is>
          <t>A 38234-2023</t>
        </is>
      </c>
      <c r="B319" s="1" t="n">
        <v>45161.56663194444</v>
      </c>
      <c r="C319" s="1" t="n">
        <v>46079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50744-2024</t>
        </is>
      </c>
      <c r="B320" s="1" t="n">
        <v>45602.4187037037</v>
      </c>
      <c r="C320" s="1" t="n">
        <v>46079</v>
      </c>
      <c r="D320" t="inlineStr">
        <is>
          <t>GOTLANDS LÄN</t>
        </is>
      </c>
      <c r="E320" t="inlineStr">
        <is>
          <t>GOTLAND</t>
        </is>
      </c>
      <c r="G320" t="n">
        <v>3.2</v>
      </c>
      <c r="H320" t="n">
        <v>0</v>
      </c>
      <c r="I320" t="n">
        <v>0</v>
      </c>
      <c r="J320" t="n">
        <v>0</v>
      </c>
      <c r="K320" t="n">
        <v>0</v>
      </c>
      <c r="L320" t="n">
        <v>0</v>
      </c>
      <c r="M320" t="n">
        <v>0</v>
      </c>
      <c r="N320" t="n">
        <v>0</v>
      </c>
      <c r="O320" t="n">
        <v>0</v>
      </c>
      <c r="P320" t="n">
        <v>0</v>
      </c>
      <c r="Q320" t="n">
        <v>0</v>
      </c>
      <c r="R320" s="2" t="inlineStr"/>
    </row>
    <row r="321" ht="15" customHeight="1">
      <c r="A321" t="inlineStr">
        <is>
          <t>A 63516-2023</t>
        </is>
      </c>
      <c r="B321" s="1" t="n">
        <v>45274</v>
      </c>
      <c r="C321" s="1" t="n">
        <v>46079</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49884-2023</t>
        </is>
      </c>
      <c r="B322" s="1" t="n">
        <v>45213</v>
      </c>
      <c r="C322" s="1" t="n">
        <v>46079</v>
      </c>
      <c r="D322" t="inlineStr">
        <is>
          <t>GOTLANDS LÄN</t>
        </is>
      </c>
      <c r="E322" t="inlineStr">
        <is>
          <t>GOTLAND</t>
        </is>
      </c>
      <c r="G322" t="n">
        <v>8.9</v>
      </c>
      <c r="H322" t="n">
        <v>0</v>
      </c>
      <c r="I322" t="n">
        <v>0</v>
      </c>
      <c r="J322" t="n">
        <v>0</v>
      </c>
      <c r="K322" t="n">
        <v>0</v>
      </c>
      <c r="L322" t="n">
        <v>0</v>
      </c>
      <c r="M322" t="n">
        <v>0</v>
      </c>
      <c r="N322" t="n">
        <v>0</v>
      </c>
      <c r="O322" t="n">
        <v>0</v>
      </c>
      <c r="P322" t="n">
        <v>0</v>
      </c>
      <c r="Q322" t="n">
        <v>0</v>
      </c>
      <c r="R322" s="2" t="inlineStr"/>
    </row>
    <row r="323" ht="15" customHeight="1">
      <c r="A323" t="inlineStr">
        <is>
          <t>A 53934-2024</t>
        </is>
      </c>
      <c r="B323" s="1" t="n">
        <v>45615</v>
      </c>
      <c r="C323" s="1" t="n">
        <v>46079</v>
      </c>
      <c r="D323" t="inlineStr">
        <is>
          <t>GOTLANDS LÄN</t>
        </is>
      </c>
      <c r="E323" t="inlineStr">
        <is>
          <t>GOTLAND</t>
        </is>
      </c>
      <c r="G323" t="n">
        <v>5</v>
      </c>
      <c r="H323" t="n">
        <v>0</v>
      </c>
      <c r="I323" t="n">
        <v>0</v>
      </c>
      <c r="J323" t="n">
        <v>0</v>
      </c>
      <c r="K323" t="n">
        <v>0</v>
      </c>
      <c r="L323" t="n">
        <v>0</v>
      </c>
      <c r="M323" t="n">
        <v>0</v>
      </c>
      <c r="N323" t="n">
        <v>0</v>
      </c>
      <c r="O323" t="n">
        <v>0</v>
      </c>
      <c r="P323" t="n">
        <v>0</v>
      </c>
      <c r="Q323" t="n">
        <v>0</v>
      </c>
      <c r="R323" s="2" t="inlineStr"/>
    </row>
    <row r="324" ht="15" customHeight="1">
      <c r="A324" t="inlineStr">
        <is>
          <t>A 8260-2023</t>
        </is>
      </c>
      <c r="B324" s="1" t="n">
        <v>44974.61608796296</v>
      </c>
      <c r="C324" s="1" t="n">
        <v>46079</v>
      </c>
      <c r="D324" t="inlineStr">
        <is>
          <t>GOTLANDS LÄN</t>
        </is>
      </c>
      <c r="E324" t="inlineStr">
        <is>
          <t>GOTLAND</t>
        </is>
      </c>
      <c r="G324" t="n">
        <v>2.9</v>
      </c>
      <c r="H324" t="n">
        <v>0</v>
      </c>
      <c r="I324" t="n">
        <v>0</v>
      </c>
      <c r="J324" t="n">
        <v>0</v>
      </c>
      <c r="K324" t="n">
        <v>0</v>
      </c>
      <c r="L324" t="n">
        <v>0</v>
      </c>
      <c r="M324" t="n">
        <v>0</v>
      </c>
      <c r="N324" t="n">
        <v>0</v>
      </c>
      <c r="O324" t="n">
        <v>0</v>
      </c>
      <c r="P324" t="n">
        <v>0</v>
      </c>
      <c r="Q324" t="n">
        <v>0</v>
      </c>
      <c r="R324" s="2" t="inlineStr"/>
    </row>
    <row r="325" ht="15" customHeight="1">
      <c r="A325" t="inlineStr">
        <is>
          <t>A 24001-2021</t>
        </is>
      </c>
      <c r="B325" s="1" t="n">
        <v>44335</v>
      </c>
      <c r="C325" s="1" t="n">
        <v>46079</v>
      </c>
      <c r="D325" t="inlineStr">
        <is>
          <t>GOTLANDS LÄN</t>
        </is>
      </c>
      <c r="E325" t="inlineStr">
        <is>
          <t>GOTLAND</t>
        </is>
      </c>
      <c r="G325" t="n">
        <v>3.4</v>
      </c>
      <c r="H325" t="n">
        <v>0</v>
      </c>
      <c r="I325" t="n">
        <v>0</v>
      </c>
      <c r="J325" t="n">
        <v>0</v>
      </c>
      <c r="K325" t="n">
        <v>0</v>
      </c>
      <c r="L325" t="n">
        <v>0</v>
      </c>
      <c r="M325" t="n">
        <v>0</v>
      </c>
      <c r="N325" t="n">
        <v>0</v>
      </c>
      <c r="O325" t="n">
        <v>0</v>
      </c>
      <c r="P325" t="n">
        <v>0</v>
      </c>
      <c r="Q325" t="n">
        <v>0</v>
      </c>
      <c r="R325" s="2" t="inlineStr"/>
    </row>
    <row r="326" ht="15" customHeight="1">
      <c r="A326" t="inlineStr">
        <is>
          <t>A 876-2024</t>
        </is>
      </c>
      <c r="B326" s="1" t="n">
        <v>45301</v>
      </c>
      <c r="C326" s="1" t="n">
        <v>46079</v>
      </c>
      <c r="D326" t="inlineStr">
        <is>
          <t>GOTLANDS LÄN</t>
        </is>
      </c>
      <c r="E326" t="inlineStr">
        <is>
          <t>GOTLAND</t>
        </is>
      </c>
      <c r="G326" t="n">
        <v>5.3</v>
      </c>
      <c r="H326" t="n">
        <v>0</v>
      </c>
      <c r="I326" t="n">
        <v>0</v>
      </c>
      <c r="J326" t="n">
        <v>0</v>
      </c>
      <c r="K326" t="n">
        <v>0</v>
      </c>
      <c r="L326" t="n">
        <v>0</v>
      </c>
      <c r="M326" t="n">
        <v>0</v>
      </c>
      <c r="N326" t="n">
        <v>0</v>
      </c>
      <c r="O326" t="n">
        <v>0</v>
      </c>
      <c r="P326" t="n">
        <v>0</v>
      </c>
      <c r="Q326" t="n">
        <v>0</v>
      </c>
      <c r="R326" s="2" t="inlineStr"/>
    </row>
    <row r="327" ht="15" customHeight="1">
      <c r="A327" t="inlineStr">
        <is>
          <t>A 30365-2024</t>
        </is>
      </c>
      <c r="B327" s="1" t="n">
        <v>45491.3716087963</v>
      </c>
      <c r="C327" s="1" t="n">
        <v>46079</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1681-2023</t>
        </is>
      </c>
      <c r="B328" s="1" t="n">
        <v>44938.39715277778</v>
      </c>
      <c r="C328" s="1" t="n">
        <v>46079</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22704-2023</t>
        </is>
      </c>
      <c r="B329" s="1" t="n">
        <v>45071</v>
      </c>
      <c r="C329" s="1" t="n">
        <v>46079</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28425-2023</t>
        </is>
      </c>
      <c r="B330" s="1" t="n">
        <v>45102</v>
      </c>
      <c r="C330" s="1" t="n">
        <v>46079</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1446-2025</t>
        </is>
      </c>
      <c r="B331" s="1" t="n">
        <v>45669.86035879629</v>
      </c>
      <c r="C331" s="1" t="n">
        <v>46079</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58476-2022</t>
        </is>
      </c>
      <c r="B332" s="1" t="n">
        <v>44902</v>
      </c>
      <c r="C332" s="1" t="n">
        <v>46079</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64969-2023</t>
        </is>
      </c>
      <c r="B333" s="1" t="n">
        <v>45284.54009259259</v>
      </c>
      <c r="C333" s="1" t="n">
        <v>46079</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6099-2024</t>
        </is>
      </c>
      <c r="B334" s="1" t="n">
        <v>45337</v>
      </c>
      <c r="C334" s="1" t="n">
        <v>46079</v>
      </c>
      <c r="D334" t="inlineStr">
        <is>
          <t>GOTLANDS LÄN</t>
        </is>
      </c>
      <c r="E334" t="inlineStr">
        <is>
          <t>GOTLAND</t>
        </is>
      </c>
      <c r="G334" t="n">
        <v>12.6</v>
      </c>
      <c r="H334" t="n">
        <v>0</v>
      </c>
      <c r="I334" t="n">
        <v>0</v>
      </c>
      <c r="J334" t="n">
        <v>0</v>
      </c>
      <c r="K334" t="n">
        <v>0</v>
      </c>
      <c r="L334" t="n">
        <v>0</v>
      </c>
      <c r="M334" t="n">
        <v>0</v>
      </c>
      <c r="N334" t="n">
        <v>0</v>
      </c>
      <c r="O334" t="n">
        <v>0</v>
      </c>
      <c r="P334" t="n">
        <v>0</v>
      </c>
      <c r="Q334" t="n">
        <v>0</v>
      </c>
      <c r="R334" s="2" t="inlineStr"/>
    </row>
    <row r="335" ht="15" customHeight="1">
      <c r="A335" t="inlineStr">
        <is>
          <t>A 48843-2024</t>
        </is>
      </c>
      <c r="B335" s="1" t="n">
        <v>45593</v>
      </c>
      <c r="C335" s="1" t="n">
        <v>46079</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43200-2023</t>
        </is>
      </c>
      <c r="B336" s="1" t="n">
        <v>45183</v>
      </c>
      <c r="C336" s="1" t="n">
        <v>46079</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43223-2023</t>
        </is>
      </c>
      <c r="B337" s="1" t="n">
        <v>45183.45642361111</v>
      </c>
      <c r="C337" s="1" t="n">
        <v>46079</v>
      </c>
      <c r="D337" t="inlineStr">
        <is>
          <t>GOTLANDS LÄN</t>
        </is>
      </c>
      <c r="E337" t="inlineStr">
        <is>
          <t>GOTLAND</t>
        </is>
      </c>
      <c r="G337" t="n">
        <v>1.8</v>
      </c>
      <c r="H337" t="n">
        <v>0</v>
      </c>
      <c r="I337" t="n">
        <v>0</v>
      </c>
      <c r="J337" t="n">
        <v>0</v>
      </c>
      <c r="K337" t="n">
        <v>0</v>
      </c>
      <c r="L337" t="n">
        <v>0</v>
      </c>
      <c r="M337" t="n">
        <v>0</v>
      </c>
      <c r="N337" t="n">
        <v>0</v>
      </c>
      <c r="O337" t="n">
        <v>0</v>
      </c>
      <c r="P337" t="n">
        <v>0</v>
      </c>
      <c r="Q337" t="n">
        <v>0</v>
      </c>
      <c r="R337" s="2" t="inlineStr"/>
    </row>
    <row r="338" ht="15" customHeight="1">
      <c r="A338" t="inlineStr">
        <is>
          <t>A 1273-2023</t>
        </is>
      </c>
      <c r="B338" s="1" t="n">
        <v>44936</v>
      </c>
      <c r="C338" s="1" t="n">
        <v>46079</v>
      </c>
      <c r="D338" t="inlineStr">
        <is>
          <t>GOTLANDS LÄN</t>
        </is>
      </c>
      <c r="E338" t="inlineStr">
        <is>
          <t>GOTLAND</t>
        </is>
      </c>
      <c r="G338" t="n">
        <v>4.5</v>
      </c>
      <c r="H338" t="n">
        <v>0</v>
      </c>
      <c r="I338" t="n">
        <v>0</v>
      </c>
      <c r="J338" t="n">
        <v>0</v>
      </c>
      <c r="K338" t="n">
        <v>0</v>
      </c>
      <c r="L338" t="n">
        <v>0</v>
      </c>
      <c r="M338" t="n">
        <v>0</v>
      </c>
      <c r="N338" t="n">
        <v>0</v>
      </c>
      <c r="O338" t="n">
        <v>0</v>
      </c>
      <c r="P338" t="n">
        <v>0</v>
      </c>
      <c r="Q338" t="n">
        <v>0</v>
      </c>
      <c r="R338" s="2" t="inlineStr"/>
    </row>
    <row r="339" ht="15" customHeight="1">
      <c r="A339" t="inlineStr">
        <is>
          <t>A 31264-2021</t>
        </is>
      </c>
      <c r="B339" s="1" t="n">
        <v>44368</v>
      </c>
      <c r="C339" s="1" t="n">
        <v>46079</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12327-2025</t>
        </is>
      </c>
      <c r="B340" s="1" t="n">
        <v>45730</v>
      </c>
      <c r="C340" s="1" t="n">
        <v>46079</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3431-2025</t>
        </is>
      </c>
      <c r="B341" s="1" t="n">
        <v>45680.42935185185</v>
      </c>
      <c r="C341" s="1" t="n">
        <v>46079</v>
      </c>
      <c r="D341" t="inlineStr">
        <is>
          <t>GOTLANDS LÄN</t>
        </is>
      </c>
      <c r="E341" t="inlineStr">
        <is>
          <t>GOTLAND</t>
        </is>
      </c>
      <c r="G341" t="n">
        <v>4.8</v>
      </c>
      <c r="H341" t="n">
        <v>0</v>
      </c>
      <c r="I341" t="n">
        <v>0</v>
      </c>
      <c r="J341" t="n">
        <v>0</v>
      </c>
      <c r="K341" t="n">
        <v>0</v>
      </c>
      <c r="L341" t="n">
        <v>0</v>
      </c>
      <c r="M341" t="n">
        <v>0</v>
      </c>
      <c r="N341" t="n">
        <v>0</v>
      </c>
      <c r="O341" t="n">
        <v>0</v>
      </c>
      <c r="P341" t="n">
        <v>0</v>
      </c>
      <c r="Q341" t="n">
        <v>0</v>
      </c>
      <c r="R341" s="2" t="inlineStr"/>
    </row>
    <row r="342" ht="15" customHeight="1">
      <c r="A342" t="inlineStr">
        <is>
          <t>A 17541-2024</t>
        </is>
      </c>
      <c r="B342" s="1" t="n">
        <v>45415</v>
      </c>
      <c r="C342" s="1" t="n">
        <v>46079</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43901-2023</t>
        </is>
      </c>
      <c r="B343" s="1" t="n">
        <v>45187</v>
      </c>
      <c r="C343" s="1" t="n">
        <v>46079</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58780-2024</t>
        </is>
      </c>
      <c r="B344" s="1" t="n">
        <v>45635.84113425926</v>
      </c>
      <c r="C344" s="1" t="n">
        <v>46079</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46079</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12209-2024</t>
        </is>
      </c>
      <c r="B346" s="1" t="n">
        <v>45378</v>
      </c>
      <c r="C346" s="1" t="n">
        <v>46079</v>
      </c>
      <c r="D346" t="inlineStr">
        <is>
          <t>GOTLANDS LÄN</t>
        </is>
      </c>
      <c r="E346" t="inlineStr">
        <is>
          <t>GOTLAND</t>
        </is>
      </c>
      <c r="G346" t="n">
        <v>5.3</v>
      </c>
      <c r="H346" t="n">
        <v>0</v>
      </c>
      <c r="I346" t="n">
        <v>0</v>
      </c>
      <c r="J346" t="n">
        <v>0</v>
      </c>
      <c r="K346" t="n">
        <v>0</v>
      </c>
      <c r="L346" t="n">
        <v>0</v>
      </c>
      <c r="M346" t="n">
        <v>0</v>
      </c>
      <c r="N346" t="n">
        <v>0</v>
      </c>
      <c r="O346" t="n">
        <v>0</v>
      </c>
      <c r="P346" t="n">
        <v>0</v>
      </c>
      <c r="Q346" t="n">
        <v>0</v>
      </c>
      <c r="R346" s="2" t="inlineStr"/>
    </row>
    <row r="347" ht="15" customHeight="1">
      <c r="A347" t="inlineStr">
        <is>
          <t>A 12210-2024</t>
        </is>
      </c>
      <c r="B347" s="1" t="n">
        <v>45378</v>
      </c>
      <c r="C347" s="1" t="n">
        <v>46079</v>
      </c>
      <c r="D347" t="inlineStr">
        <is>
          <t>GOTLANDS LÄN</t>
        </is>
      </c>
      <c r="E347" t="inlineStr">
        <is>
          <t>GOTLAND</t>
        </is>
      </c>
      <c r="G347" t="n">
        <v>4.1</v>
      </c>
      <c r="H347" t="n">
        <v>0</v>
      </c>
      <c r="I347" t="n">
        <v>0</v>
      </c>
      <c r="J347" t="n">
        <v>0</v>
      </c>
      <c r="K347" t="n">
        <v>0</v>
      </c>
      <c r="L347" t="n">
        <v>0</v>
      </c>
      <c r="M347" t="n">
        <v>0</v>
      </c>
      <c r="N347" t="n">
        <v>0</v>
      </c>
      <c r="O347" t="n">
        <v>0</v>
      </c>
      <c r="P347" t="n">
        <v>0</v>
      </c>
      <c r="Q347" t="n">
        <v>0</v>
      </c>
      <c r="R347" s="2" t="inlineStr"/>
    </row>
    <row r="348" ht="15" customHeight="1">
      <c r="A348" t="inlineStr">
        <is>
          <t>A 16501-2023</t>
        </is>
      </c>
      <c r="B348" s="1" t="n">
        <v>45029</v>
      </c>
      <c r="C348" s="1" t="n">
        <v>46079</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1364-2025</t>
        </is>
      </c>
      <c r="B349" s="1" t="n">
        <v>45667.63929398148</v>
      </c>
      <c r="C349" s="1" t="n">
        <v>46079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46079</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15042-2025</t>
        </is>
      </c>
      <c r="B351" s="1" t="n">
        <v>45743</v>
      </c>
      <c r="C351" s="1" t="n">
        <v>46079</v>
      </c>
      <c r="D351" t="inlineStr">
        <is>
          <t>GOTLANDS LÄN</t>
        </is>
      </c>
      <c r="E351" t="inlineStr">
        <is>
          <t>GOTLAND</t>
        </is>
      </c>
      <c r="G351" t="n">
        <v>8.5</v>
      </c>
      <c r="H351" t="n">
        <v>0</v>
      </c>
      <c r="I351" t="n">
        <v>0</v>
      </c>
      <c r="J351" t="n">
        <v>0</v>
      </c>
      <c r="K351" t="n">
        <v>0</v>
      </c>
      <c r="L351" t="n">
        <v>0</v>
      </c>
      <c r="M351" t="n">
        <v>0</v>
      </c>
      <c r="N351" t="n">
        <v>0</v>
      </c>
      <c r="O351" t="n">
        <v>0</v>
      </c>
      <c r="P351" t="n">
        <v>0</v>
      </c>
      <c r="Q351" t="n">
        <v>0</v>
      </c>
      <c r="R351" s="2" t="inlineStr"/>
    </row>
    <row r="352" ht="15" customHeight="1">
      <c r="A352" t="inlineStr">
        <is>
          <t>A 33876-2024</t>
        </is>
      </c>
      <c r="B352" s="1" t="n">
        <v>45521.87988425926</v>
      </c>
      <c r="C352" s="1" t="n">
        <v>46079</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27930-2021</t>
        </is>
      </c>
      <c r="B353" s="1" t="n">
        <v>44354</v>
      </c>
      <c r="C353" s="1" t="n">
        <v>46079</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2180-2025</t>
        </is>
      </c>
      <c r="B354" s="1" t="n">
        <v>45673</v>
      </c>
      <c r="C354" s="1" t="n">
        <v>46079</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15436-2025</t>
        </is>
      </c>
      <c r="B355" s="1" t="n">
        <v>45747.47462962963</v>
      </c>
      <c r="C355" s="1" t="n">
        <v>46079</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28285-2024</t>
        </is>
      </c>
      <c r="B356" s="1" t="n">
        <v>45477</v>
      </c>
      <c r="C356" s="1" t="n">
        <v>46079</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61962-2024</t>
        </is>
      </c>
      <c r="B357" s="1" t="n">
        <v>45653.54340277778</v>
      </c>
      <c r="C357" s="1" t="n">
        <v>46079</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61100-2022</t>
        </is>
      </c>
      <c r="B358" s="1" t="n">
        <v>44915</v>
      </c>
      <c r="C358" s="1" t="n">
        <v>46079</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49257-2024</t>
        </is>
      </c>
      <c r="B359" s="1" t="n">
        <v>45595.47627314815</v>
      </c>
      <c r="C359" s="1" t="n">
        <v>46079</v>
      </c>
      <c r="D359" t="inlineStr">
        <is>
          <t>GOTLANDS LÄN</t>
        </is>
      </c>
      <c r="E359" t="inlineStr">
        <is>
          <t>GOTLAND</t>
        </is>
      </c>
      <c r="G359" t="n">
        <v>6.3</v>
      </c>
      <c r="H359" t="n">
        <v>0</v>
      </c>
      <c r="I359" t="n">
        <v>0</v>
      </c>
      <c r="J359" t="n">
        <v>0</v>
      </c>
      <c r="K359" t="n">
        <v>0</v>
      </c>
      <c r="L359" t="n">
        <v>0</v>
      </c>
      <c r="M359" t="n">
        <v>0</v>
      </c>
      <c r="N359" t="n">
        <v>0</v>
      </c>
      <c r="O359" t="n">
        <v>0</v>
      </c>
      <c r="P359" t="n">
        <v>0</v>
      </c>
      <c r="Q359" t="n">
        <v>0</v>
      </c>
      <c r="R359" s="2" t="inlineStr"/>
    </row>
    <row r="360" ht="15" customHeight="1">
      <c r="A360" t="inlineStr">
        <is>
          <t>A 61682-2024</t>
        </is>
      </c>
      <c r="B360" s="1" t="n">
        <v>45647.48824074074</v>
      </c>
      <c r="C360" s="1" t="n">
        <v>46079</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2241-2025</t>
        </is>
      </c>
      <c r="B361" s="1" t="n">
        <v>45673.48710648148</v>
      </c>
      <c r="C361" s="1" t="n">
        <v>46079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10492-2023</t>
        </is>
      </c>
      <c r="B362" s="1" t="n">
        <v>44987</v>
      </c>
      <c r="C362" s="1" t="n">
        <v>46079</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37202-2024</t>
        </is>
      </c>
      <c r="B363" s="1" t="n">
        <v>45539.67310185185</v>
      </c>
      <c r="C363" s="1" t="n">
        <v>46079</v>
      </c>
      <c r="D363" t="inlineStr">
        <is>
          <t>GOTLANDS LÄN</t>
        </is>
      </c>
      <c r="E363" t="inlineStr">
        <is>
          <t>GOTLAND</t>
        </is>
      </c>
      <c r="G363" t="n">
        <v>0.3</v>
      </c>
      <c r="H363" t="n">
        <v>0</v>
      </c>
      <c r="I363" t="n">
        <v>0</v>
      </c>
      <c r="J363" t="n">
        <v>0</v>
      </c>
      <c r="K363" t="n">
        <v>0</v>
      </c>
      <c r="L363" t="n">
        <v>0</v>
      </c>
      <c r="M363" t="n">
        <v>0</v>
      </c>
      <c r="N363" t="n">
        <v>0</v>
      </c>
      <c r="O363" t="n">
        <v>0</v>
      </c>
      <c r="P363" t="n">
        <v>0</v>
      </c>
      <c r="Q363" t="n">
        <v>0</v>
      </c>
      <c r="R363" s="2" t="inlineStr"/>
    </row>
    <row r="364" ht="15" customHeight="1">
      <c r="A364" t="inlineStr">
        <is>
          <t>A 56115-2023</t>
        </is>
      </c>
      <c r="B364" s="1" t="n">
        <v>45236</v>
      </c>
      <c r="C364" s="1" t="n">
        <v>46079</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5909-2025</t>
        </is>
      </c>
      <c r="B365" s="1" t="n">
        <v>45695.40634259259</v>
      </c>
      <c r="C365" s="1" t="n">
        <v>46079</v>
      </c>
      <c r="D365" t="inlineStr">
        <is>
          <t>GOTLANDS LÄN</t>
        </is>
      </c>
      <c r="E365" t="inlineStr">
        <is>
          <t>GOTLAND</t>
        </is>
      </c>
      <c r="G365" t="n">
        <v>2.9</v>
      </c>
      <c r="H365" t="n">
        <v>0</v>
      </c>
      <c r="I365" t="n">
        <v>0</v>
      </c>
      <c r="J365" t="n">
        <v>0</v>
      </c>
      <c r="K365" t="n">
        <v>0</v>
      </c>
      <c r="L365" t="n">
        <v>0</v>
      </c>
      <c r="M365" t="n">
        <v>0</v>
      </c>
      <c r="N365" t="n">
        <v>0</v>
      </c>
      <c r="O365" t="n">
        <v>0</v>
      </c>
      <c r="P365" t="n">
        <v>0</v>
      </c>
      <c r="Q365" t="n">
        <v>0</v>
      </c>
      <c r="R365" s="2" t="inlineStr"/>
    </row>
    <row r="366" ht="15" customHeight="1">
      <c r="A366" t="inlineStr">
        <is>
          <t>A 10653-2023</t>
        </is>
      </c>
      <c r="B366" s="1" t="n">
        <v>44988.48859953704</v>
      </c>
      <c r="C366" s="1" t="n">
        <v>46079</v>
      </c>
      <c r="D366" t="inlineStr">
        <is>
          <t>GOTLANDS LÄN</t>
        </is>
      </c>
      <c r="E366" t="inlineStr">
        <is>
          <t>GOTLAND</t>
        </is>
      </c>
      <c r="F366" t="inlineStr">
        <is>
          <t>Kyrkan</t>
        </is>
      </c>
      <c r="G366" t="n">
        <v>3</v>
      </c>
      <c r="H366" t="n">
        <v>0</v>
      </c>
      <c r="I366" t="n">
        <v>0</v>
      </c>
      <c r="J366" t="n">
        <v>0</v>
      </c>
      <c r="K366" t="n">
        <v>0</v>
      </c>
      <c r="L366" t="n">
        <v>0</v>
      </c>
      <c r="M366" t="n">
        <v>0</v>
      </c>
      <c r="N366" t="n">
        <v>0</v>
      </c>
      <c r="O366" t="n">
        <v>0</v>
      </c>
      <c r="P366" t="n">
        <v>0</v>
      </c>
      <c r="Q366" t="n">
        <v>0</v>
      </c>
      <c r="R366" s="2" t="inlineStr"/>
    </row>
    <row r="367" ht="15" customHeight="1">
      <c r="A367" t="inlineStr">
        <is>
          <t>A 4990-2025</t>
        </is>
      </c>
      <c r="B367" s="1" t="n">
        <v>45691</v>
      </c>
      <c r="C367" s="1" t="n">
        <v>46079</v>
      </c>
      <c r="D367" t="inlineStr">
        <is>
          <t>GOTLANDS LÄN</t>
        </is>
      </c>
      <c r="E367" t="inlineStr">
        <is>
          <t>GOTLAND</t>
        </is>
      </c>
      <c r="G367" t="n">
        <v>7.7</v>
      </c>
      <c r="H367" t="n">
        <v>0</v>
      </c>
      <c r="I367" t="n">
        <v>0</v>
      </c>
      <c r="J367" t="n">
        <v>0</v>
      </c>
      <c r="K367" t="n">
        <v>0</v>
      </c>
      <c r="L367" t="n">
        <v>0</v>
      </c>
      <c r="M367" t="n">
        <v>0</v>
      </c>
      <c r="N367" t="n">
        <v>0</v>
      </c>
      <c r="O367" t="n">
        <v>0</v>
      </c>
      <c r="P367" t="n">
        <v>0</v>
      </c>
      <c r="Q367" t="n">
        <v>0</v>
      </c>
      <c r="R367" s="2" t="inlineStr"/>
    </row>
    <row r="368" ht="15" customHeight="1">
      <c r="A368" t="inlineStr">
        <is>
          <t>A 2774-2024</t>
        </is>
      </c>
      <c r="B368" s="1" t="n">
        <v>45314.62375</v>
      </c>
      <c r="C368" s="1" t="n">
        <v>46079</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58388-2022</t>
        </is>
      </c>
      <c r="B369" s="1" t="n">
        <v>44894</v>
      </c>
      <c r="C369" s="1" t="n">
        <v>46079</v>
      </c>
      <c r="D369" t="inlineStr">
        <is>
          <t>GOTLANDS LÄN</t>
        </is>
      </c>
      <c r="E369" t="inlineStr">
        <is>
          <t>GOTLAND</t>
        </is>
      </c>
      <c r="F369" t="inlineStr">
        <is>
          <t>Övriga statliga verk och myndigheter</t>
        </is>
      </c>
      <c r="G369" t="n">
        <v>3.1</v>
      </c>
      <c r="H369" t="n">
        <v>0</v>
      </c>
      <c r="I369" t="n">
        <v>0</v>
      </c>
      <c r="J369" t="n">
        <v>0</v>
      </c>
      <c r="K369" t="n">
        <v>0</v>
      </c>
      <c r="L369" t="n">
        <v>0</v>
      </c>
      <c r="M369" t="n">
        <v>0</v>
      </c>
      <c r="N369" t="n">
        <v>0</v>
      </c>
      <c r="O369" t="n">
        <v>0</v>
      </c>
      <c r="P369" t="n">
        <v>0</v>
      </c>
      <c r="Q369" t="n">
        <v>0</v>
      </c>
      <c r="R369" s="2" t="inlineStr"/>
    </row>
    <row r="370" ht="15" customHeight="1">
      <c r="A370" t="inlineStr">
        <is>
          <t>A 43081-2022</t>
        </is>
      </c>
      <c r="B370" s="1" t="n">
        <v>44833</v>
      </c>
      <c r="C370" s="1" t="n">
        <v>46079</v>
      </c>
      <c r="D370" t="inlineStr">
        <is>
          <t>GOTLANDS LÄN</t>
        </is>
      </c>
      <c r="E370" t="inlineStr">
        <is>
          <t>GOTLAND</t>
        </is>
      </c>
      <c r="G370" t="n">
        <v>6.8</v>
      </c>
      <c r="H370" t="n">
        <v>0</v>
      </c>
      <c r="I370" t="n">
        <v>0</v>
      </c>
      <c r="J370" t="n">
        <v>0</v>
      </c>
      <c r="K370" t="n">
        <v>0</v>
      </c>
      <c r="L370" t="n">
        <v>0</v>
      </c>
      <c r="M370" t="n">
        <v>0</v>
      </c>
      <c r="N370" t="n">
        <v>0</v>
      </c>
      <c r="O370" t="n">
        <v>0</v>
      </c>
      <c r="P370" t="n">
        <v>0</v>
      </c>
      <c r="Q370" t="n">
        <v>0</v>
      </c>
      <c r="R370" s="2" t="inlineStr"/>
    </row>
    <row r="371" ht="15" customHeight="1">
      <c r="A371" t="inlineStr">
        <is>
          <t>A 21792-2024</t>
        </is>
      </c>
      <c r="B371" s="1" t="n">
        <v>45442.64326388889</v>
      </c>
      <c r="C371" s="1" t="n">
        <v>46079</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32958-2021</t>
        </is>
      </c>
      <c r="B372" s="1" t="n">
        <v>44376</v>
      </c>
      <c r="C372" s="1" t="n">
        <v>46079</v>
      </c>
      <c r="D372" t="inlineStr">
        <is>
          <t>GOTLANDS LÄN</t>
        </is>
      </c>
      <c r="E372" t="inlineStr">
        <is>
          <t>GOTLAND</t>
        </is>
      </c>
      <c r="G372" t="n">
        <v>2.2</v>
      </c>
      <c r="H372" t="n">
        <v>0</v>
      </c>
      <c r="I372" t="n">
        <v>0</v>
      </c>
      <c r="J372" t="n">
        <v>0</v>
      </c>
      <c r="K372" t="n">
        <v>0</v>
      </c>
      <c r="L372" t="n">
        <v>0</v>
      </c>
      <c r="M372" t="n">
        <v>0</v>
      </c>
      <c r="N372" t="n">
        <v>0</v>
      </c>
      <c r="O372" t="n">
        <v>0</v>
      </c>
      <c r="P372" t="n">
        <v>0</v>
      </c>
      <c r="Q372" t="n">
        <v>0</v>
      </c>
      <c r="R372" s="2" t="inlineStr"/>
    </row>
    <row r="373" ht="15" customHeight="1">
      <c r="A373" t="inlineStr">
        <is>
          <t>A 60709-2023</t>
        </is>
      </c>
      <c r="B373" s="1" t="n">
        <v>45260</v>
      </c>
      <c r="C373" s="1" t="n">
        <v>46079</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5884-2025</t>
        </is>
      </c>
      <c r="B374" s="1" t="n">
        <v>45695.37482638889</v>
      </c>
      <c r="C374" s="1" t="n">
        <v>46079</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5897-2025</t>
        </is>
      </c>
      <c r="B375" s="1" t="n">
        <v>45695.39273148148</v>
      </c>
      <c r="C375" s="1" t="n">
        <v>46079</v>
      </c>
      <c r="D375" t="inlineStr">
        <is>
          <t>GOTLANDS LÄN</t>
        </is>
      </c>
      <c r="E375" t="inlineStr">
        <is>
          <t>GOTLAND</t>
        </is>
      </c>
      <c r="G375" t="n">
        <v>3.7</v>
      </c>
      <c r="H375" t="n">
        <v>0</v>
      </c>
      <c r="I375" t="n">
        <v>0</v>
      </c>
      <c r="J375" t="n">
        <v>0</v>
      </c>
      <c r="K375" t="n">
        <v>0</v>
      </c>
      <c r="L375" t="n">
        <v>0</v>
      </c>
      <c r="M375" t="n">
        <v>0</v>
      </c>
      <c r="N375" t="n">
        <v>0</v>
      </c>
      <c r="O375" t="n">
        <v>0</v>
      </c>
      <c r="P375" t="n">
        <v>0</v>
      </c>
      <c r="Q375" t="n">
        <v>0</v>
      </c>
      <c r="R375" s="2" t="inlineStr"/>
    </row>
    <row r="376" ht="15" customHeight="1">
      <c r="A376" t="inlineStr">
        <is>
          <t>A 64208-2021</t>
        </is>
      </c>
      <c r="B376" s="1" t="n">
        <v>44510</v>
      </c>
      <c r="C376" s="1" t="n">
        <v>46079</v>
      </c>
      <c r="D376" t="inlineStr">
        <is>
          <t>GOTLANDS LÄN</t>
        </is>
      </c>
      <c r="E376" t="inlineStr">
        <is>
          <t>GOTLAND</t>
        </is>
      </c>
      <c r="G376" t="n">
        <v>4.7</v>
      </c>
      <c r="H376" t="n">
        <v>0</v>
      </c>
      <c r="I376" t="n">
        <v>0</v>
      </c>
      <c r="J376" t="n">
        <v>0</v>
      </c>
      <c r="K376" t="n">
        <v>0</v>
      </c>
      <c r="L376" t="n">
        <v>0</v>
      </c>
      <c r="M376" t="n">
        <v>0</v>
      </c>
      <c r="N376" t="n">
        <v>0</v>
      </c>
      <c r="O376" t="n">
        <v>0</v>
      </c>
      <c r="P376" t="n">
        <v>0</v>
      </c>
      <c r="Q376" t="n">
        <v>0</v>
      </c>
      <c r="R376" s="2" t="inlineStr"/>
    </row>
    <row r="377" ht="15" customHeight="1">
      <c r="A377" t="inlineStr">
        <is>
          <t>A 39764-2022</t>
        </is>
      </c>
      <c r="B377" s="1" t="n">
        <v>44819</v>
      </c>
      <c r="C377" s="1" t="n">
        <v>46079</v>
      </c>
      <c r="D377" t="inlineStr">
        <is>
          <t>GOTLANDS LÄN</t>
        </is>
      </c>
      <c r="E377" t="inlineStr">
        <is>
          <t>GOTLAND</t>
        </is>
      </c>
      <c r="F377" t="inlineStr">
        <is>
          <t>Kyrkan</t>
        </is>
      </c>
      <c r="G377" t="n">
        <v>3.7</v>
      </c>
      <c r="H377" t="n">
        <v>0</v>
      </c>
      <c r="I377" t="n">
        <v>0</v>
      </c>
      <c r="J377" t="n">
        <v>0</v>
      </c>
      <c r="K377" t="n">
        <v>0</v>
      </c>
      <c r="L377" t="n">
        <v>0</v>
      </c>
      <c r="M377" t="n">
        <v>0</v>
      </c>
      <c r="N377" t="n">
        <v>0</v>
      </c>
      <c r="O377" t="n">
        <v>0</v>
      </c>
      <c r="P377" t="n">
        <v>0</v>
      </c>
      <c r="Q377" t="n">
        <v>0</v>
      </c>
      <c r="R377" s="2" t="inlineStr"/>
    </row>
    <row r="378" ht="15" customHeight="1">
      <c r="A378" t="inlineStr">
        <is>
          <t>A 49693-2023</t>
        </is>
      </c>
      <c r="B378" s="1" t="n">
        <v>45212.38138888889</v>
      </c>
      <c r="C378" s="1" t="n">
        <v>46079</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49697-2023</t>
        </is>
      </c>
      <c r="B379" s="1" t="n">
        <v>45212.38909722222</v>
      </c>
      <c r="C379" s="1" t="n">
        <v>46079</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15434-2024</t>
        </is>
      </c>
      <c r="B380" s="1" t="n">
        <v>45401.38836805556</v>
      </c>
      <c r="C380" s="1" t="n">
        <v>46079</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46079</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7837-2024</t>
        </is>
      </c>
      <c r="B382" s="1" t="n">
        <v>45349.83787037037</v>
      </c>
      <c r="C382" s="1" t="n">
        <v>46079</v>
      </c>
      <c r="D382" t="inlineStr">
        <is>
          <t>GOTLANDS LÄN</t>
        </is>
      </c>
      <c r="E382" t="inlineStr">
        <is>
          <t>GOTLAND</t>
        </is>
      </c>
      <c r="G382" t="n">
        <v>5</v>
      </c>
      <c r="H382" t="n">
        <v>0</v>
      </c>
      <c r="I382" t="n">
        <v>0</v>
      </c>
      <c r="J382" t="n">
        <v>0</v>
      </c>
      <c r="K382" t="n">
        <v>0</v>
      </c>
      <c r="L382" t="n">
        <v>0</v>
      </c>
      <c r="M382" t="n">
        <v>0</v>
      </c>
      <c r="N382" t="n">
        <v>0</v>
      </c>
      <c r="O382" t="n">
        <v>0</v>
      </c>
      <c r="P382" t="n">
        <v>0</v>
      </c>
      <c r="Q382" t="n">
        <v>0</v>
      </c>
      <c r="R382" s="2" t="inlineStr"/>
    </row>
    <row r="383" ht="15" customHeight="1">
      <c r="A383" t="inlineStr">
        <is>
          <t>A 58211-2024</t>
        </is>
      </c>
      <c r="B383" s="1" t="n">
        <v>45632.49292824074</v>
      </c>
      <c r="C383" s="1" t="n">
        <v>46079</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30956-2024</t>
        </is>
      </c>
      <c r="B384" s="1" t="n">
        <v>45499.42527777778</v>
      </c>
      <c r="C384" s="1" t="n">
        <v>46079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30892-2024</t>
        </is>
      </c>
      <c r="B385" s="1" t="n">
        <v>45491</v>
      </c>
      <c r="C385" s="1" t="n">
        <v>46079</v>
      </c>
      <c r="D385" t="inlineStr">
        <is>
          <t>GOTLANDS LÄN</t>
        </is>
      </c>
      <c r="E385" t="inlineStr">
        <is>
          <t>GOTLAND</t>
        </is>
      </c>
      <c r="G385" t="n">
        <v>6.1</v>
      </c>
      <c r="H385" t="n">
        <v>0</v>
      </c>
      <c r="I385" t="n">
        <v>0</v>
      </c>
      <c r="J385" t="n">
        <v>0</v>
      </c>
      <c r="K385" t="n">
        <v>0</v>
      </c>
      <c r="L385" t="n">
        <v>0</v>
      </c>
      <c r="M385" t="n">
        <v>0</v>
      </c>
      <c r="N385" t="n">
        <v>0</v>
      </c>
      <c r="O385" t="n">
        <v>0</v>
      </c>
      <c r="P385" t="n">
        <v>0</v>
      </c>
      <c r="Q385" t="n">
        <v>0</v>
      </c>
      <c r="R385" s="2" t="inlineStr"/>
    </row>
    <row r="386" ht="15" customHeight="1">
      <c r="A386" t="inlineStr">
        <is>
          <t>A 17901-2023</t>
        </is>
      </c>
      <c r="B386" s="1" t="n">
        <v>45039</v>
      </c>
      <c r="C386" s="1" t="n">
        <v>46079</v>
      </c>
      <c r="D386" t="inlineStr">
        <is>
          <t>GOTLANDS LÄN</t>
        </is>
      </c>
      <c r="E386" t="inlineStr">
        <is>
          <t>GOTLAND</t>
        </is>
      </c>
      <c r="F386" t="inlineStr">
        <is>
          <t>Kyrkan</t>
        </is>
      </c>
      <c r="G386" t="n">
        <v>0.6</v>
      </c>
      <c r="H386" t="n">
        <v>0</v>
      </c>
      <c r="I386" t="n">
        <v>0</v>
      </c>
      <c r="J386" t="n">
        <v>0</v>
      </c>
      <c r="K386" t="n">
        <v>0</v>
      </c>
      <c r="L386" t="n">
        <v>0</v>
      </c>
      <c r="M386" t="n">
        <v>0</v>
      </c>
      <c r="N386" t="n">
        <v>0</v>
      </c>
      <c r="O386" t="n">
        <v>0</v>
      </c>
      <c r="P386" t="n">
        <v>0</v>
      </c>
      <c r="Q386" t="n">
        <v>0</v>
      </c>
      <c r="R386" s="2" t="inlineStr"/>
    </row>
    <row r="387" ht="15" customHeight="1">
      <c r="A387" t="inlineStr">
        <is>
          <t>A 14635-2023</t>
        </is>
      </c>
      <c r="B387" s="1" t="n">
        <v>45013.69365740741</v>
      </c>
      <c r="C387" s="1" t="n">
        <v>46079</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59469-2024</t>
        </is>
      </c>
      <c r="B388" s="1" t="n">
        <v>45638</v>
      </c>
      <c r="C388" s="1" t="n">
        <v>46079</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7858-2025</t>
        </is>
      </c>
      <c r="B389" s="1" t="n">
        <v>45706.68633101852</v>
      </c>
      <c r="C389" s="1" t="n">
        <v>46079</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52892-2021</t>
        </is>
      </c>
      <c r="B390" s="1" t="n">
        <v>44467.49048611111</v>
      </c>
      <c r="C390" s="1" t="n">
        <v>46079</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4568-2025</t>
        </is>
      </c>
      <c r="B391" s="1" t="n">
        <v>45687</v>
      </c>
      <c r="C391" s="1" t="n">
        <v>46079</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53935-2024</t>
        </is>
      </c>
      <c r="B392" s="1" t="n">
        <v>45615</v>
      </c>
      <c r="C392" s="1" t="n">
        <v>46079</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5943-2024</t>
        </is>
      </c>
      <c r="B393" s="1" t="n">
        <v>45336</v>
      </c>
      <c r="C393" s="1" t="n">
        <v>46079</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18223-2025</t>
        </is>
      </c>
      <c r="B394" s="1" t="n">
        <v>45761</v>
      </c>
      <c r="C394" s="1" t="n">
        <v>46079</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4420-2025</t>
        </is>
      </c>
      <c r="B395" s="1" t="n">
        <v>45686.47157407407</v>
      </c>
      <c r="C395" s="1" t="n">
        <v>46079</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46396-2023</t>
        </is>
      </c>
      <c r="B396" s="1" t="n">
        <v>45197</v>
      </c>
      <c r="C396" s="1" t="n">
        <v>46079</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5891-2025</t>
        </is>
      </c>
      <c r="B397" s="1" t="n">
        <v>45695.38327546296</v>
      </c>
      <c r="C397" s="1" t="n">
        <v>46079</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54073-2022</t>
        </is>
      </c>
      <c r="B398" s="1" t="n">
        <v>44881.50380787037</v>
      </c>
      <c r="C398" s="1" t="n">
        <v>46079</v>
      </c>
      <c r="D398" t="inlineStr">
        <is>
          <t>GOTLANDS LÄN</t>
        </is>
      </c>
      <c r="E398" t="inlineStr">
        <is>
          <t>GOTLAND</t>
        </is>
      </c>
      <c r="G398" t="n">
        <v>3.8</v>
      </c>
      <c r="H398" t="n">
        <v>0</v>
      </c>
      <c r="I398" t="n">
        <v>0</v>
      </c>
      <c r="J398" t="n">
        <v>0</v>
      </c>
      <c r="K398" t="n">
        <v>0</v>
      </c>
      <c r="L398" t="n">
        <v>0</v>
      </c>
      <c r="M398" t="n">
        <v>0</v>
      </c>
      <c r="N398" t="n">
        <v>0</v>
      </c>
      <c r="O398" t="n">
        <v>0</v>
      </c>
      <c r="P398" t="n">
        <v>0</v>
      </c>
      <c r="Q398" t="n">
        <v>0</v>
      </c>
      <c r="R398" s="2" t="inlineStr"/>
    </row>
    <row r="399" ht="15" customHeight="1">
      <c r="A399" t="inlineStr">
        <is>
          <t>A 16361-2024</t>
        </is>
      </c>
      <c r="B399" s="1" t="n">
        <v>45407</v>
      </c>
      <c r="C399" s="1" t="n">
        <v>46079</v>
      </c>
      <c r="D399" t="inlineStr">
        <is>
          <t>GOTLANDS LÄN</t>
        </is>
      </c>
      <c r="E399" t="inlineStr">
        <is>
          <t>GOTLAND</t>
        </is>
      </c>
      <c r="G399" t="n">
        <v>6</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46079</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46079</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41038-2023</t>
        </is>
      </c>
      <c r="B402" s="1" t="n">
        <v>45173.60959490741</v>
      </c>
      <c r="C402" s="1" t="n">
        <v>46079</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17724-2024</t>
        </is>
      </c>
      <c r="B403" s="1" t="n">
        <v>45418.55096064815</v>
      </c>
      <c r="C403" s="1" t="n">
        <v>46079</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34312-2024</t>
        </is>
      </c>
      <c r="B404" s="1" t="n">
        <v>45524.69703703704</v>
      </c>
      <c r="C404" s="1" t="n">
        <v>46079</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1291-2023</t>
        </is>
      </c>
      <c r="B405" s="1" t="n">
        <v>44936.47561342592</v>
      </c>
      <c r="C405" s="1" t="n">
        <v>46079</v>
      </c>
      <c r="D405" t="inlineStr">
        <is>
          <t>GOTLANDS LÄN</t>
        </is>
      </c>
      <c r="E405" t="inlineStr">
        <is>
          <t>GOTLAND</t>
        </is>
      </c>
      <c r="G405" t="n">
        <v>7.4</v>
      </c>
      <c r="H405" t="n">
        <v>0</v>
      </c>
      <c r="I405" t="n">
        <v>0</v>
      </c>
      <c r="J405" t="n">
        <v>0</v>
      </c>
      <c r="K405" t="n">
        <v>0</v>
      </c>
      <c r="L405" t="n">
        <v>0</v>
      </c>
      <c r="M405" t="n">
        <v>0</v>
      </c>
      <c r="N405" t="n">
        <v>0</v>
      </c>
      <c r="O405" t="n">
        <v>0</v>
      </c>
      <c r="P405" t="n">
        <v>0</v>
      </c>
      <c r="Q405" t="n">
        <v>0</v>
      </c>
      <c r="R405" s="2" t="inlineStr"/>
    </row>
    <row r="406" ht="15" customHeight="1">
      <c r="A406" t="inlineStr">
        <is>
          <t>A 7835-2024</t>
        </is>
      </c>
      <c r="B406" s="1" t="n">
        <v>45349.83138888889</v>
      </c>
      <c r="C406" s="1" t="n">
        <v>46079</v>
      </c>
      <c r="D406" t="inlineStr">
        <is>
          <t>GOTLANDS LÄN</t>
        </is>
      </c>
      <c r="E406" t="inlineStr">
        <is>
          <t>GOTLAND</t>
        </is>
      </c>
      <c r="G406" t="n">
        <v>3.8</v>
      </c>
      <c r="H406" t="n">
        <v>0</v>
      </c>
      <c r="I406" t="n">
        <v>0</v>
      </c>
      <c r="J406" t="n">
        <v>0</v>
      </c>
      <c r="K406" t="n">
        <v>0</v>
      </c>
      <c r="L406" t="n">
        <v>0</v>
      </c>
      <c r="M406" t="n">
        <v>0</v>
      </c>
      <c r="N406" t="n">
        <v>0</v>
      </c>
      <c r="O406" t="n">
        <v>0</v>
      </c>
      <c r="P406" t="n">
        <v>0</v>
      </c>
      <c r="Q406" t="n">
        <v>0</v>
      </c>
      <c r="R406" s="2" t="inlineStr"/>
    </row>
    <row r="407" ht="15" customHeight="1">
      <c r="A407" t="inlineStr">
        <is>
          <t>A 14427-2024</t>
        </is>
      </c>
      <c r="B407" s="1" t="n">
        <v>45394</v>
      </c>
      <c r="C407" s="1" t="n">
        <v>46079</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20794-2025</t>
        </is>
      </c>
      <c r="B408" s="1" t="n">
        <v>45776</v>
      </c>
      <c r="C408" s="1" t="n">
        <v>46079</v>
      </c>
      <c r="D408" t="inlineStr">
        <is>
          <t>GOTLANDS LÄN</t>
        </is>
      </c>
      <c r="E408" t="inlineStr">
        <is>
          <t>GOTLAND</t>
        </is>
      </c>
      <c r="G408" t="n">
        <v>6</v>
      </c>
      <c r="H408" t="n">
        <v>0</v>
      </c>
      <c r="I408" t="n">
        <v>0</v>
      </c>
      <c r="J408" t="n">
        <v>0</v>
      </c>
      <c r="K408" t="n">
        <v>0</v>
      </c>
      <c r="L408" t="n">
        <v>0</v>
      </c>
      <c r="M408" t="n">
        <v>0</v>
      </c>
      <c r="N408" t="n">
        <v>0</v>
      </c>
      <c r="O408" t="n">
        <v>0</v>
      </c>
      <c r="P408" t="n">
        <v>0</v>
      </c>
      <c r="Q408" t="n">
        <v>0</v>
      </c>
      <c r="R408" s="2" t="inlineStr"/>
    </row>
    <row r="409" ht="15" customHeight="1">
      <c r="A409" t="inlineStr">
        <is>
          <t>A 20805-2025</t>
        </is>
      </c>
      <c r="B409" s="1" t="n">
        <v>45776</v>
      </c>
      <c r="C409" s="1" t="n">
        <v>46079</v>
      </c>
      <c r="D409" t="inlineStr">
        <is>
          <t>GOTLANDS LÄN</t>
        </is>
      </c>
      <c r="E409" t="inlineStr">
        <is>
          <t>GOTLAND</t>
        </is>
      </c>
      <c r="G409" t="n">
        <v>3.1</v>
      </c>
      <c r="H409" t="n">
        <v>0</v>
      </c>
      <c r="I409" t="n">
        <v>0</v>
      </c>
      <c r="J409" t="n">
        <v>0</v>
      </c>
      <c r="K409" t="n">
        <v>0</v>
      </c>
      <c r="L409" t="n">
        <v>0</v>
      </c>
      <c r="M409" t="n">
        <v>0</v>
      </c>
      <c r="N409" t="n">
        <v>0</v>
      </c>
      <c r="O409" t="n">
        <v>0</v>
      </c>
      <c r="P409" t="n">
        <v>0</v>
      </c>
      <c r="Q409" t="n">
        <v>0</v>
      </c>
      <c r="R409" s="2" t="inlineStr"/>
    </row>
    <row r="410" ht="15" customHeight="1">
      <c r="A410" t="inlineStr">
        <is>
          <t>A 31802-2024</t>
        </is>
      </c>
      <c r="B410" s="1" t="n">
        <v>45509</v>
      </c>
      <c r="C410" s="1" t="n">
        <v>46079</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69112-2021</t>
        </is>
      </c>
      <c r="B411" s="1" t="n">
        <v>44530</v>
      </c>
      <c r="C411" s="1" t="n">
        <v>46079</v>
      </c>
      <c r="D411" t="inlineStr">
        <is>
          <t>GOTLANDS LÄN</t>
        </is>
      </c>
      <c r="E411" t="inlineStr">
        <is>
          <t>GOTLAND</t>
        </is>
      </c>
      <c r="G411" t="n">
        <v>4.2</v>
      </c>
      <c r="H411" t="n">
        <v>0</v>
      </c>
      <c r="I411" t="n">
        <v>0</v>
      </c>
      <c r="J411" t="n">
        <v>0</v>
      </c>
      <c r="K411" t="n">
        <v>0</v>
      </c>
      <c r="L411" t="n">
        <v>0</v>
      </c>
      <c r="M411" t="n">
        <v>0</v>
      </c>
      <c r="N411" t="n">
        <v>0</v>
      </c>
      <c r="O411" t="n">
        <v>0</v>
      </c>
      <c r="P411" t="n">
        <v>0</v>
      </c>
      <c r="Q411" t="n">
        <v>0</v>
      </c>
      <c r="R411" s="2" t="inlineStr"/>
    </row>
    <row r="412" ht="15" customHeight="1">
      <c r="A412" t="inlineStr">
        <is>
          <t>A 20356-2022</t>
        </is>
      </c>
      <c r="B412" s="1" t="n">
        <v>44699</v>
      </c>
      <c r="C412" s="1" t="n">
        <v>46079</v>
      </c>
      <c r="D412" t="inlineStr">
        <is>
          <t>GOTLANDS LÄN</t>
        </is>
      </c>
      <c r="E412" t="inlineStr">
        <is>
          <t>GOTLAND</t>
        </is>
      </c>
      <c r="F412" t="inlineStr">
        <is>
          <t>Övriga Aktiebolag</t>
        </is>
      </c>
      <c r="G412" t="n">
        <v>4.4</v>
      </c>
      <c r="H412" t="n">
        <v>0</v>
      </c>
      <c r="I412" t="n">
        <v>0</v>
      </c>
      <c r="J412" t="n">
        <v>0</v>
      </c>
      <c r="K412" t="n">
        <v>0</v>
      </c>
      <c r="L412" t="n">
        <v>0</v>
      </c>
      <c r="M412" t="n">
        <v>0</v>
      </c>
      <c r="N412" t="n">
        <v>0</v>
      </c>
      <c r="O412" t="n">
        <v>0</v>
      </c>
      <c r="P412" t="n">
        <v>0</v>
      </c>
      <c r="Q412" t="n">
        <v>0</v>
      </c>
      <c r="R412" s="2" t="inlineStr"/>
    </row>
    <row r="413" ht="15" customHeight="1">
      <c r="A413" t="inlineStr">
        <is>
          <t>A 21389-2025</t>
        </is>
      </c>
      <c r="B413" s="1" t="n">
        <v>45782</v>
      </c>
      <c r="C413" s="1" t="n">
        <v>46079</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7638-2025</t>
        </is>
      </c>
      <c r="B414" s="1" t="n">
        <v>45705.77306712963</v>
      </c>
      <c r="C414" s="1" t="n">
        <v>46079</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50482-2024</t>
        </is>
      </c>
      <c r="B415" s="1" t="n">
        <v>45601.48114583334</v>
      </c>
      <c r="C415" s="1" t="n">
        <v>46079</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8036-2022</t>
        </is>
      </c>
      <c r="B416" s="1" t="n">
        <v>44609.44362268518</v>
      </c>
      <c r="C416" s="1" t="n">
        <v>46079</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12846-2025</t>
        </is>
      </c>
      <c r="B417" s="1" t="n">
        <v>45733.65049768519</v>
      </c>
      <c r="C417" s="1" t="n">
        <v>46079</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1394-2023</t>
        </is>
      </c>
      <c r="B418" s="1" t="n">
        <v>44936.72997685185</v>
      </c>
      <c r="C418" s="1" t="n">
        <v>46079</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21651-2025</t>
        </is>
      </c>
      <c r="B419" s="1" t="n">
        <v>45783</v>
      </c>
      <c r="C419" s="1" t="n">
        <v>46079</v>
      </c>
      <c r="D419" t="inlineStr">
        <is>
          <t>GOTLANDS LÄN</t>
        </is>
      </c>
      <c r="E419" t="inlineStr">
        <is>
          <t>GOTLAND</t>
        </is>
      </c>
      <c r="G419" t="n">
        <v>4.2</v>
      </c>
      <c r="H419" t="n">
        <v>0</v>
      </c>
      <c r="I419" t="n">
        <v>0</v>
      </c>
      <c r="J419" t="n">
        <v>0</v>
      </c>
      <c r="K419" t="n">
        <v>0</v>
      </c>
      <c r="L419" t="n">
        <v>0</v>
      </c>
      <c r="M419" t="n">
        <v>0</v>
      </c>
      <c r="N419" t="n">
        <v>0</v>
      </c>
      <c r="O419" t="n">
        <v>0</v>
      </c>
      <c r="P419" t="n">
        <v>0</v>
      </c>
      <c r="Q419" t="n">
        <v>0</v>
      </c>
      <c r="R419" s="2" t="inlineStr"/>
    </row>
    <row r="420" ht="15" customHeight="1">
      <c r="A420" t="inlineStr">
        <is>
          <t>A 58230-2024</t>
        </is>
      </c>
      <c r="B420" s="1" t="n">
        <v>45632.51625</v>
      </c>
      <c r="C420" s="1" t="n">
        <v>46079</v>
      </c>
      <c r="D420" t="inlineStr">
        <is>
          <t>GOTLANDS LÄN</t>
        </is>
      </c>
      <c r="E420" t="inlineStr">
        <is>
          <t>GOTLAND</t>
        </is>
      </c>
      <c r="G420" t="n">
        <v>7.3</v>
      </c>
      <c r="H420" t="n">
        <v>0</v>
      </c>
      <c r="I420" t="n">
        <v>0</v>
      </c>
      <c r="J420" t="n">
        <v>0</v>
      </c>
      <c r="K420" t="n">
        <v>0</v>
      </c>
      <c r="L420" t="n">
        <v>0</v>
      </c>
      <c r="M420" t="n">
        <v>0</v>
      </c>
      <c r="N420" t="n">
        <v>0</v>
      </c>
      <c r="O420" t="n">
        <v>0</v>
      </c>
      <c r="P420" t="n">
        <v>0</v>
      </c>
      <c r="Q420" t="n">
        <v>0</v>
      </c>
      <c r="R420" s="2" t="inlineStr"/>
    </row>
    <row r="421" ht="15" customHeight="1">
      <c r="A421" t="inlineStr">
        <is>
          <t>A 1462-2025</t>
        </is>
      </c>
      <c r="B421" s="1" t="n">
        <v>45670.36319444444</v>
      </c>
      <c r="C421" s="1" t="n">
        <v>46079</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46949-2024</t>
        </is>
      </c>
      <c r="B422" s="1" t="n">
        <v>45585</v>
      </c>
      <c r="C422" s="1" t="n">
        <v>46079</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10650-2022</t>
        </is>
      </c>
      <c r="B423" s="1" t="n">
        <v>44624.57945601852</v>
      </c>
      <c r="C423" s="1" t="n">
        <v>46079</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18993-2025</t>
        </is>
      </c>
      <c r="B424" s="1" t="n">
        <v>45764</v>
      </c>
      <c r="C424" s="1" t="n">
        <v>46079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25129-2023</t>
        </is>
      </c>
      <c r="B425" s="1" t="n">
        <v>45086.44261574074</v>
      </c>
      <c r="C425" s="1" t="n">
        <v>46079</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24192-2023</t>
        </is>
      </c>
      <c r="B426" s="1" t="n">
        <v>45079</v>
      </c>
      <c r="C426" s="1" t="n">
        <v>46079</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30135-2025</t>
        </is>
      </c>
      <c r="B427" s="1" t="n">
        <v>45826</v>
      </c>
      <c r="C427" s="1" t="n">
        <v>46079</v>
      </c>
      <c r="D427" t="inlineStr">
        <is>
          <t>GOTLANDS LÄN</t>
        </is>
      </c>
      <c r="E427" t="inlineStr">
        <is>
          <t>GOTLAND</t>
        </is>
      </c>
      <c r="G427" t="n">
        <v>2.7</v>
      </c>
      <c r="H427" t="n">
        <v>0</v>
      </c>
      <c r="I427" t="n">
        <v>0</v>
      </c>
      <c r="J427" t="n">
        <v>0</v>
      </c>
      <c r="K427" t="n">
        <v>0</v>
      </c>
      <c r="L427" t="n">
        <v>0</v>
      </c>
      <c r="M427" t="n">
        <v>0</v>
      </c>
      <c r="N427" t="n">
        <v>0</v>
      </c>
      <c r="O427" t="n">
        <v>0</v>
      </c>
      <c r="P427" t="n">
        <v>0</v>
      </c>
      <c r="Q427" t="n">
        <v>0</v>
      </c>
      <c r="R427" s="2" t="inlineStr"/>
    </row>
    <row r="428" ht="15" customHeight="1">
      <c r="A428" t="inlineStr">
        <is>
          <t>A 12599-2025</t>
        </is>
      </c>
      <c r="B428" s="1" t="n">
        <v>45733.29546296296</v>
      </c>
      <c r="C428" s="1" t="n">
        <v>46079</v>
      </c>
      <c r="D428" t="inlineStr">
        <is>
          <t>GOTLANDS LÄN</t>
        </is>
      </c>
      <c r="E428" t="inlineStr">
        <is>
          <t>GOTLAND</t>
        </is>
      </c>
      <c r="G428" t="n">
        <v>4.7</v>
      </c>
      <c r="H428" t="n">
        <v>0</v>
      </c>
      <c r="I428" t="n">
        <v>0</v>
      </c>
      <c r="J428" t="n">
        <v>0</v>
      </c>
      <c r="K428" t="n">
        <v>0</v>
      </c>
      <c r="L428" t="n">
        <v>0</v>
      </c>
      <c r="M428" t="n">
        <v>0</v>
      </c>
      <c r="N428" t="n">
        <v>0</v>
      </c>
      <c r="O428" t="n">
        <v>0</v>
      </c>
      <c r="P428" t="n">
        <v>0</v>
      </c>
      <c r="Q428" t="n">
        <v>0</v>
      </c>
      <c r="R428" s="2" t="inlineStr"/>
    </row>
    <row r="429" ht="15" customHeight="1">
      <c r="A429" t="inlineStr">
        <is>
          <t>A 35141-2025</t>
        </is>
      </c>
      <c r="B429" s="1" t="n">
        <v>45852.65206018519</v>
      </c>
      <c r="C429" s="1" t="n">
        <v>46079</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35142-2025</t>
        </is>
      </c>
      <c r="B430" s="1" t="n">
        <v>45852.65532407408</v>
      </c>
      <c r="C430" s="1" t="n">
        <v>46079</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5386-2023</t>
        </is>
      </c>
      <c r="B431" s="1" t="n">
        <v>44959</v>
      </c>
      <c r="C431" s="1" t="n">
        <v>46079</v>
      </c>
      <c r="D431" t="inlineStr">
        <is>
          <t>GOTLANDS LÄN</t>
        </is>
      </c>
      <c r="E431" t="inlineStr">
        <is>
          <t>GOTLAND</t>
        </is>
      </c>
      <c r="G431" t="n">
        <v>5.4</v>
      </c>
      <c r="H431" t="n">
        <v>0</v>
      </c>
      <c r="I431" t="n">
        <v>0</v>
      </c>
      <c r="J431" t="n">
        <v>0</v>
      </c>
      <c r="K431" t="n">
        <v>0</v>
      </c>
      <c r="L431" t="n">
        <v>0</v>
      </c>
      <c r="M431" t="n">
        <v>0</v>
      </c>
      <c r="N431" t="n">
        <v>0</v>
      </c>
      <c r="O431" t="n">
        <v>0</v>
      </c>
      <c r="P431" t="n">
        <v>0</v>
      </c>
      <c r="Q431" t="n">
        <v>0</v>
      </c>
      <c r="R431" s="2" t="inlineStr"/>
    </row>
    <row r="432" ht="15" customHeight="1">
      <c r="A432" t="inlineStr">
        <is>
          <t>A 11634-2024</t>
        </is>
      </c>
      <c r="B432" s="1" t="n">
        <v>45373</v>
      </c>
      <c r="C432" s="1" t="n">
        <v>46079</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1351-2025</t>
        </is>
      </c>
      <c r="B433" s="1" t="n">
        <v>45667.62246527777</v>
      </c>
      <c r="C433" s="1" t="n">
        <v>46079</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7026-2023</t>
        </is>
      </c>
      <c r="B434" s="1" t="n">
        <v>44968.30340277778</v>
      </c>
      <c r="C434" s="1" t="n">
        <v>46079</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20855-2023</t>
        </is>
      </c>
      <c r="B435" s="1" t="n">
        <v>45058.82172453704</v>
      </c>
      <c r="C435" s="1" t="n">
        <v>46079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39496-2022</t>
        </is>
      </c>
      <c r="B436" s="1" t="n">
        <v>44818</v>
      </c>
      <c r="C436" s="1" t="n">
        <v>46079</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49874-2024</t>
        </is>
      </c>
      <c r="B437" s="1" t="n">
        <v>45597.49274305555</v>
      </c>
      <c r="C437" s="1" t="n">
        <v>46079</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1000-2024</t>
        </is>
      </c>
      <c r="B438" s="1" t="n">
        <v>45301.63371527778</v>
      </c>
      <c r="C438" s="1" t="n">
        <v>46079</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1010-2024</t>
        </is>
      </c>
      <c r="B439" s="1" t="n">
        <v>45301</v>
      </c>
      <c r="C439" s="1" t="n">
        <v>46079</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39819-2025</t>
        </is>
      </c>
      <c r="B440" s="1" t="n">
        <v>45891.53418981482</v>
      </c>
      <c r="C440" s="1" t="n">
        <v>46079</v>
      </c>
      <c r="D440" t="inlineStr">
        <is>
          <t>GOTLANDS LÄN</t>
        </is>
      </c>
      <c r="E440" t="inlineStr">
        <is>
          <t>GOTLAND</t>
        </is>
      </c>
      <c r="G440" t="n">
        <v>3.1</v>
      </c>
      <c r="H440" t="n">
        <v>0</v>
      </c>
      <c r="I440" t="n">
        <v>0</v>
      </c>
      <c r="J440" t="n">
        <v>0</v>
      </c>
      <c r="K440" t="n">
        <v>0</v>
      </c>
      <c r="L440" t="n">
        <v>0</v>
      </c>
      <c r="M440" t="n">
        <v>0</v>
      </c>
      <c r="N440" t="n">
        <v>0</v>
      </c>
      <c r="O440" t="n">
        <v>0</v>
      </c>
      <c r="P440" t="n">
        <v>0</v>
      </c>
      <c r="Q440" t="n">
        <v>0</v>
      </c>
      <c r="R440" s="2" t="inlineStr"/>
    </row>
    <row r="441" ht="15" customHeight="1">
      <c r="A441" t="inlineStr">
        <is>
          <t>A 42201-2023</t>
        </is>
      </c>
      <c r="B441" s="1" t="n">
        <v>45179</v>
      </c>
      <c r="C441" s="1" t="n">
        <v>46079</v>
      </c>
      <c r="D441" t="inlineStr">
        <is>
          <t>GOTLANDS LÄN</t>
        </is>
      </c>
      <c r="E441" t="inlineStr">
        <is>
          <t>GOTLAND</t>
        </is>
      </c>
      <c r="G441" t="n">
        <v>11.9</v>
      </c>
      <c r="H441" t="n">
        <v>0</v>
      </c>
      <c r="I441" t="n">
        <v>0</v>
      </c>
      <c r="J441" t="n">
        <v>0</v>
      </c>
      <c r="K441" t="n">
        <v>0</v>
      </c>
      <c r="L441" t="n">
        <v>0</v>
      </c>
      <c r="M441" t="n">
        <v>0</v>
      </c>
      <c r="N441" t="n">
        <v>0</v>
      </c>
      <c r="O441" t="n">
        <v>0</v>
      </c>
      <c r="P441" t="n">
        <v>0</v>
      </c>
      <c r="Q441" t="n">
        <v>0</v>
      </c>
      <c r="R441" s="2" t="inlineStr"/>
    </row>
    <row r="442" ht="15" customHeight="1">
      <c r="A442" t="inlineStr">
        <is>
          <t>A 39814-2025</t>
        </is>
      </c>
      <c r="B442" s="1" t="n">
        <v>45891.52694444444</v>
      </c>
      <c r="C442" s="1" t="n">
        <v>46079</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39849-2025</t>
        </is>
      </c>
      <c r="B443" s="1" t="n">
        <v>45891.58502314815</v>
      </c>
      <c r="C443" s="1" t="n">
        <v>46079</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46400-2023</t>
        </is>
      </c>
      <c r="B444" s="1" t="n">
        <v>45197.49290509259</v>
      </c>
      <c r="C444" s="1" t="n">
        <v>46079</v>
      </c>
      <c r="D444" t="inlineStr">
        <is>
          <t>GOTLANDS LÄN</t>
        </is>
      </c>
      <c r="E444" t="inlineStr">
        <is>
          <t>GOTLAND</t>
        </is>
      </c>
      <c r="G444" t="n">
        <v>0.8</v>
      </c>
      <c r="H444" t="n">
        <v>0</v>
      </c>
      <c r="I444" t="n">
        <v>0</v>
      </c>
      <c r="J444" t="n">
        <v>0</v>
      </c>
      <c r="K444" t="n">
        <v>0</v>
      </c>
      <c r="L444" t="n">
        <v>0</v>
      </c>
      <c r="M444" t="n">
        <v>0</v>
      </c>
      <c r="N444" t="n">
        <v>0</v>
      </c>
      <c r="O444" t="n">
        <v>0</v>
      </c>
      <c r="P444" t="n">
        <v>0</v>
      </c>
      <c r="Q444" t="n">
        <v>0</v>
      </c>
      <c r="R444" s="2" t="inlineStr"/>
    </row>
    <row r="445" ht="15" customHeight="1">
      <c r="A445" t="inlineStr">
        <is>
          <t>A 39752-2025</t>
        </is>
      </c>
      <c r="B445" s="1" t="n">
        <v>45891</v>
      </c>
      <c r="C445" s="1" t="n">
        <v>46079</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9875-2025</t>
        </is>
      </c>
      <c r="B446" s="1" t="n">
        <v>45716</v>
      </c>
      <c r="C446" s="1" t="n">
        <v>46079</v>
      </c>
      <c r="D446" t="inlineStr">
        <is>
          <t>GOTLANDS LÄN</t>
        </is>
      </c>
      <c r="E446" t="inlineStr">
        <is>
          <t>GOTLAND</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39816-2025</t>
        </is>
      </c>
      <c r="B447" s="1" t="n">
        <v>45891</v>
      </c>
      <c r="C447" s="1" t="n">
        <v>46079</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40103-2025</t>
        </is>
      </c>
      <c r="B448" s="1" t="n">
        <v>45894.4880324074</v>
      </c>
      <c r="C448" s="1" t="n">
        <v>46079</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40373-2025</t>
        </is>
      </c>
      <c r="B449" s="1" t="n">
        <v>45895.51821759259</v>
      </c>
      <c r="C449" s="1" t="n">
        <v>46079</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40499-2025</t>
        </is>
      </c>
      <c r="B450" s="1" t="n">
        <v>45896.32517361111</v>
      </c>
      <c r="C450" s="1" t="n">
        <v>46079</v>
      </c>
      <c r="D450" t="inlineStr">
        <is>
          <t>GOTLANDS LÄN</t>
        </is>
      </c>
      <c r="E450" t="inlineStr">
        <is>
          <t>GOTLAND</t>
        </is>
      </c>
      <c r="G450" t="n">
        <v>2.6</v>
      </c>
      <c r="H450" t="n">
        <v>0</v>
      </c>
      <c r="I450" t="n">
        <v>0</v>
      </c>
      <c r="J450" t="n">
        <v>0</v>
      </c>
      <c r="K450" t="n">
        <v>0</v>
      </c>
      <c r="L450" t="n">
        <v>0</v>
      </c>
      <c r="M450" t="n">
        <v>0</v>
      </c>
      <c r="N450" t="n">
        <v>0</v>
      </c>
      <c r="O450" t="n">
        <v>0</v>
      </c>
      <c r="P450" t="n">
        <v>0</v>
      </c>
      <c r="Q450" t="n">
        <v>0</v>
      </c>
      <c r="R450" s="2" t="inlineStr"/>
    </row>
    <row r="451" ht="15" customHeight="1">
      <c r="A451" t="inlineStr">
        <is>
          <t>A 40372-2025</t>
        </is>
      </c>
      <c r="B451" s="1" t="n">
        <v>45895.5162037037</v>
      </c>
      <c r="C451" s="1" t="n">
        <v>46079</v>
      </c>
      <c r="D451" t="inlineStr">
        <is>
          <t>GOTLANDS LÄN</t>
        </is>
      </c>
      <c r="E451" t="inlineStr">
        <is>
          <t>GOTLAND</t>
        </is>
      </c>
      <c r="G451" t="n">
        <v>3.3</v>
      </c>
      <c r="H451" t="n">
        <v>0</v>
      </c>
      <c r="I451" t="n">
        <v>0</v>
      </c>
      <c r="J451" t="n">
        <v>0</v>
      </c>
      <c r="K451" t="n">
        <v>0</v>
      </c>
      <c r="L451" t="n">
        <v>0</v>
      </c>
      <c r="M451" t="n">
        <v>0</v>
      </c>
      <c r="N451" t="n">
        <v>0</v>
      </c>
      <c r="O451" t="n">
        <v>0</v>
      </c>
      <c r="P451" t="n">
        <v>0</v>
      </c>
      <c r="Q451" t="n">
        <v>0</v>
      </c>
      <c r="R451" s="2" t="inlineStr"/>
    </row>
    <row r="452" ht="15" customHeight="1">
      <c r="A452" t="inlineStr">
        <is>
          <t>A 47762-2023</t>
        </is>
      </c>
      <c r="B452" s="1" t="n">
        <v>45203.86256944444</v>
      </c>
      <c r="C452" s="1" t="n">
        <v>46079</v>
      </c>
      <c r="D452" t="inlineStr">
        <is>
          <t>GOTLANDS LÄN</t>
        </is>
      </c>
      <c r="E452" t="inlineStr">
        <is>
          <t>GOTLAND</t>
        </is>
      </c>
      <c r="G452" t="n">
        <v>1.3</v>
      </c>
      <c r="H452" t="n">
        <v>0</v>
      </c>
      <c r="I452" t="n">
        <v>0</v>
      </c>
      <c r="J452" t="n">
        <v>0</v>
      </c>
      <c r="K452" t="n">
        <v>0</v>
      </c>
      <c r="L452" t="n">
        <v>0</v>
      </c>
      <c r="M452" t="n">
        <v>0</v>
      </c>
      <c r="N452" t="n">
        <v>0</v>
      </c>
      <c r="O452" t="n">
        <v>0</v>
      </c>
      <c r="P452" t="n">
        <v>0</v>
      </c>
      <c r="Q452" t="n">
        <v>0</v>
      </c>
      <c r="R452" s="2" t="inlineStr"/>
    </row>
    <row r="453" ht="15" customHeight="1">
      <c r="A453" t="inlineStr">
        <is>
          <t>A 21164-2024</t>
        </is>
      </c>
      <c r="B453" s="1" t="n">
        <v>45440</v>
      </c>
      <c r="C453" s="1" t="n">
        <v>46079</v>
      </c>
      <c r="D453" t="inlineStr">
        <is>
          <t>GOTLANDS LÄN</t>
        </is>
      </c>
      <c r="E453" t="inlineStr">
        <is>
          <t>GOTLAND</t>
        </is>
      </c>
      <c r="G453" t="n">
        <v>6.3</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46079</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46079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39278-2025</t>
        </is>
      </c>
      <c r="B456" s="1" t="n">
        <v>45889</v>
      </c>
      <c r="C456" s="1" t="n">
        <v>46079</v>
      </c>
      <c r="D456" t="inlineStr">
        <is>
          <t>GOTLANDS LÄN</t>
        </is>
      </c>
      <c r="E456" t="inlineStr">
        <is>
          <t>GOTLAND</t>
        </is>
      </c>
      <c r="G456" t="n">
        <v>3.7</v>
      </c>
      <c r="H456" t="n">
        <v>0</v>
      </c>
      <c r="I456" t="n">
        <v>0</v>
      </c>
      <c r="J456" t="n">
        <v>0</v>
      </c>
      <c r="K456" t="n">
        <v>0</v>
      </c>
      <c r="L456" t="n">
        <v>0</v>
      </c>
      <c r="M456" t="n">
        <v>0</v>
      </c>
      <c r="N456" t="n">
        <v>0</v>
      </c>
      <c r="O456" t="n">
        <v>0</v>
      </c>
      <c r="P456" t="n">
        <v>0</v>
      </c>
      <c r="Q456" t="n">
        <v>0</v>
      </c>
      <c r="R456" s="2" t="inlineStr"/>
    </row>
    <row r="457" ht="15" customHeight="1">
      <c r="A457" t="inlineStr">
        <is>
          <t>A 57356-2023</t>
        </is>
      </c>
      <c r="B457" s="1" t="n">
        <v>45240</v>
      </c>
      <c r="C457" s="1" t="n">
        <v>46079</v>
      </c>
      <c r="D457" t="inlineStr">
        <is>
          <t>GOTLANDS LÄN</t>
        </is>
      </c>
      <c r="E457" t="inlineStr">
        <is>
          <t>GOTLAND</t>
        </is>
      </c>
      <c r="G457" t="n">
        <v>6.4</v>
      </c>
      <c r="H457" t="n">
        <v>0</v>
      </c>
      <c r="I457" t="n">
        <v>0</v>
      </c>
      <c r="J457" t="n">
        <v>0</v>
      </c>
      <c r="K457" t="n">
        <v>0</v>
      </c>
      <c r="L457" t="n">
        <v>0</v>
      </c>
      <c r="M457" t="n">
        <v>0</v>
      </c>
      <c r="N457" t="n">
        <v>0</v>
      </c>
      <c r="O457" t="n">
        <v>0</v>
      </c>
      <c r="P457" t="n">
        <v>0</v>
      </c>
      <c r="Q457" t="n">
        <v>0</v>
      </c>
      <c r="R457" s="2" t="inlineStr"/>
    </row>
    <row r="458" ht="15" customHeight="1">
      <c r="A458" t="inlineStr">
        <is>
          <t>A 10656-2024</t>
        </is>
      </c>
      <c r="B458" s="1" t="n">
        <v>45368</v>
      </c>
      <c r="C458" s="1" t="n">
        <v>46079</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60086-2022</t>
        </is>
      </c>
      <c r="B459" s="1" t="n">
        <v>44909</v>
      </c>
      <c r="C459" s="1" t="n">
        <v>46079</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28480-2023</t>
        </is>
      </c>
      <c r="B460" s="1" t="n">
        <v>45103</v>
      </c>
      <c r="C460" s="1" t="n">
        <v>46079</v>
      </c>
      <c r="D460" t="inlineStr">
        <is>
          <t>GOTLANDS LÄN</t>
        </is>
      </c>
      <c r="E460" t="inlineStr">
        <is>
          <t>GOTLAND</t>
        </is>
      </c>
      <c r="G460" t="n">
        <v>5.7</v>
      </c>
      <c r="H460" t="n">
        <v>0</v>
      </c>
      <c r="I460" t="n">
        <v>0</v>
      </c>
      <c r="J460" t="n">
        <v>0</v>
      </c>
      <c r="K460" t="n">
        <v>0</v>
      </c>
      <c r="L460" t="n">
        <v>0</v>
      </c>
      <c r="M460" t="n">
        <v>0</v>
      </c>
      <c r="N460" t="n">
        <v>0</v>
      </c>
      <c r="O460" t="n">
        <v>0</v>
      </c>
      <c r="P460" t="n">
        <v>0</v>
      </c>
      <c r="Q460" t="n">
        <v>0</v>
      </c>
      <c r="R460" s="2" t="inlineStr"/>
    </row>
    <row r="461" ht="15" customHeight="1">
      <c r="A461" t="inlineStr">
        <is>
          <t>A 28485-2023</t>
        </is>
      </c>
      <c r="B461" s="1" t="n">
        <v>45103.43731481482</v>
      </c>
      <c r="C461" s="1" t="n">
        <v>46079</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28506-2023</t>
        </is>
      </c>
      <c r="B462" s="1" t="n">
        <v>45103</v>
      </c>
      <c r="C462" s="1" t="n">
        <v>46079</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21420-2024</t>
        </is>
      </c>
      <c r="B463" s="1" t="n">
        <v>45441.38293981482</v>
      </c>
      <c r="C463" s="1" t="n">
        <v>46079</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46079</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23188-2025</t>
        </is>
      </c>
      <c r="B465" s="1" t="n">
        <v>45791</v>
      </c>
      <c r="C465" s="1" t="n">
        <v>46079</v>
      </c>
      <c r="D465" t="inlineStr">
        <is>
          <t>GOTLANDS LÄN</t>
        </is>
      </c>
      <c r="E465" t="inlineStr">
        <is>
          <t>GOTLAND</t>
        </is>
      </c>
      <c r="G465" t="n">
        <v>6.2</v>
      </c>
      <c r="H465" t="n">
        <v>0</v>
      </c>
      <c r="I465" t="n">
        <v>0</v>
      </c>
      <c r="J465" t="n">
        <v>0</v>
      </c>
      <c r="K465" t="n">
        <v>0</v>
      </c>
      <c r="L465" t="n">
        <v>0</v>
      </c>
      <c r="M465" t="n">
        <v>0</v>
      </c>
      <c r="N465" t="n">
        <v>0</v>
      </c>
      <c r="O465" t="n">
        <v>0</v>
      </c>
      <c r="P465" t="n">
        <v>0</v>
      </c>
      <c r="Q465" t="n">
        <v>0</v>
      </c>
      <c r="R465" s="2" t="inlineStr"/>
    </row>
    <row r="466" ht="15" customHeight="1">
      <c r="A466" t="inlineStr">
        <is>
          <t>A 44949-2023</t>
        </is>
      </c>
      <c r="B466" s="1" t="n">
        <v>45190.69520833333</v>
      </c>
      <c r="C466" s="1" t="n">
        <v>46079</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41435-2025</t>
        </is>
      </c>
      <c r="B467" s="1" t="n">
        <v>45901.39974537037</v>
      </c>
      <c r="C467" s="1" t="n">
        <v>46079</v>
      </c>
      <c r="D467" t="inlineStr">
        <is>
          <t>GOTLANDS LÄN</t>
        </is>
      </c>
      <c r="E467" t="inlineStr">
        <is>
          <t>GOTLAND</t>
        </is>
      </c>
      <c r="G467" t="n">
        <v>4.9</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46079</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23473-2025</t>
        </is>
      </c>
      <c r="B469" s="1" t="n">
        <v>45792</v>
      </c>
      <c r="C469" s="1" t="n">
        <v>46079</v>
      </c>
      <c r="D469" t="inlineStr">
        <is>
          <t>GOTLANDS LÄN</t>
        </is>
      </c>
      <c r="E469" t="inlineStr">
        <is>
          <t>GOTLAND</t>
        </is>
      </c>
      <c r="G469" t="n">
        <v>3.6</v>
      </c>
      <c r="H469" t="n">
        <v>0</v>
      </c>
      <c r="I469" t="n">
        <v>0</v>
      </c>
      <c r="J469" t="n">
        <v>0</v>
      </c>
      <c r="K469" t="n">
        <v>0</v>
      </c>
      <c r="L469" t="n">
        <v>0</v>
      </c>
      <c r="M469" t="n">
        <v>0</v>
      </c>
      <c r="N469" t="n">
        <v>0</v>
      </c>
      <c r="O469" t="n">
        <v>0</v>
      </c>
      <c r="P469" t="n">
        <v>0</v>
      </c>
      <c r="Q469" t="n">
        <v>0</v>
      </c>
      <c r="R469" s="2" t="inlineStr"/>
    </row>
    <row r="470" ht="15" customHeight="1">
      <c r="A470" t="inlineStr">
        <is>
          <t>A 41551-2025</t>
        </is>
      </c>
      <c r="B470" s="1" t="n">
        <v>45901.58854166666</v>
      </c>
      <c r="C470" s="1" t="n">
        <v>46079</v>
      </c>
      <c r="D470" t="inlineStr">
        <is>
          <t>GOTLANDS LÄN</t>
        </is>
      </c>
      <c r="E470" t="inlineStr">
        <is>
          <t>GOTLAND</t>
        </is>
      </c>
      <c r="G470" t="n">
        <v>5.6</v>
      </c>
      <c r="H470" t="n">
        <v>0</v>
      </c>
      <c r="I470" t="n">
        <v>0</v>
      </c>
      <c r="J470" t="n">
        <v>0</v>
      </c>
      <c r="K470" t="n">
        <v>0</v>
      </c>
      <c r="L470" t="n">
        <v>0</v>
      </c>
      <c r="M470" t="n">
        <v>0</v>
      </c>
      <c r="N470" t="n">
        <v>0</v>
      </c>
      <c r="O470" t="n">
        <v>0</v>
      </c>
      <c r="P470" t="n">
        <v>0</v>
      </c>
      <c r="Q470" t="n">
        <v>0</v>
      </c>
      <c r="R470" s="2" t="inlineStr"/>
    </row>
    <row r="471" ht="15" customHeight="1">
      <c r="A471" t="inlineStr">
        <is>
          <t>A 23856-2025</t>
        </is>
      </c>
      <c r="B471" s="1" t="n">
        <v>45793</v>
      </c>
      <c r="C471" s="1" t="n">
        <v>46079</v>
      </c>
      <c r="D471" t="inlineStr">
        <is>
          <t>GOTLANDS LÄN</t>
        </is>
      </c>
      <c r="E471" t="inlineStr">
        <is>
          <t>GOTLAND</t>
        </is>
      </c>
      <c r="G471" t="n">
        <v>4.4</v>
      </c>
      <c r="H471" t="n">
        <v>0</v>
      </c>
      <c r="I471" t="n">
        <v>0</v>
      </c>
      <c r="J471" t="n">
        <v>0</v>
      </c>
      <c r="K471" t="n">
        <v>0</v>
      </c>
      <c r="L471" t="n">
        <v>0</v>
      </c>
      <c r="M471" t="n">
        <v>0</v>
      </c>
      <c r="N471" t="n">
        <v>0</v>
      </c>
      <c r="O471" t="n">
        <v>0</v>
      </c>
      <c r="P471" t="n">
        <v>0</v>
      </c>
      <c r="Q471" t="n">
        <v>0</v>
      </c>
      <c r="R471" s="2" t="inlineStr"/>
    </row>
    <row r="472" ht="15" customHeight="1">
      <c r="A472" t="inlineStr">
        <is>
          <t>A 3964-2024</t>
        </is>
      </c>
      <c r="B472" s="1" t="n">
        <v>45322</v>
      </c>
      <c r="C472" s="1" t="n">
        <v>46079</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15073-2025</t>
        </is>
      </c>
      <c r="B473" s="1" t="n">
        <v>45743</v>
      </c>
      <c r="C473" s="1" t="n">
        <v>46079</v>
      </c>
      <c r="D473" t="inlineStr">
        <is>
          <t>GOTLANDS LÄN</t>
        </is>
      </c>
      <c r="E473" t="inlineStr">
        <is>
          <t>GOTLAND</t>
        </is>
      </c>
      <c r="G473" t="n">
        <v>12.1</v>
      </c>
      <c r="H473" t="n">
        <v>0</v>
      </c>
      <c r="I473" t="n">
        <v>0</v>
      </c>
      <c r="J473" t="n">
        <v>0</v>
      </c>
      <c r="K473" t="n">
        <v>0</v>
      </c>
      <c r="L473" t="n">
        <v>0</v>
      </c>
      <c r="M473" t="n">
        <v>0</v>
      </c>
      <c r="N473" t="n">
        <v>0</v>
      </c>
      <c r="O473" t="n">
        <v>0</v>
      </c>
      <c r="P473" t="n">
        <v>0</v>
      </c>
      <c r="Q473" t="n">
        <v>0</v>
      </c>
      <c r="R473" s="2" t="inlineStr"/>
    </row>
    <row r="474" ht="15" customHeight="1">
      <c r="A474" t="inlineStr">
        <is>
          <t>A 45084-2024</t>
        </is>
      </c>
      <c r="B474" s="1" t="n">
        <v>45575</v>
      </c>
      <c r="C474" s="1" t="n">
        <v>46079</v>
      </c>
      <c r="D474" t="inlineStr">
        <is>
          <t>GOTLANDS LÄN</t>
        </is>
      </c>
      <c r="E474" t="inlineStr">
        <is>
          <t>GOTLAND</t>
        </is>
      </c>
      <c r="G474" t="n">
        <v>6.8</v>
      </c>
      <c r="H474" t="n">
        <v>0</v>
      </c>
      <c r="I474" t="n">
        <v>0</v>
      </c>
      <c r="J474" t="n">
        <v>0</v>
      </c>
      <c r="K474" t="n">
        <v>0</v>
      </c>
      <c r="L474" t="n">
        <v>0</v>
      </c>
      <c r="M474" t="n">
        <v>0</v>
      </c>
      <c r="N474" t="n">
        <v>0</v>
      </c>
      <c r="O474" t="n">
        <v>0</v>
      </c>
      <c r="P474" t="n">
        <v>0</v>
      </c>
      <c r="Q474" t="n">
        <v>0</v>
      </c>
      <c r="R474" s="2" t="inlineStr"/>
    </row>
    <row r="475" ht="15" customHeight="1">
      <c r="A475" t="inlineStr">
        <is>
          <t>A 6749-2025</t>
        </is>
      </c>
      <c r="B475" s="1" t="n">
        <v>45700</v>
      </c>
      <c r="C475" s="1" t="n">
        <v>46079</v>
      </c>
      <c r="D475" t="inlineStr">
        <is>
          <t>GOTLANDS LÄN</t>
        </is>
      </c>
      <c r="E475" t="inlineStr">
        <is>
          <t>GOTLAND</t>
        </is>
      </c>
      <c r="G475" t="n">
        <v>4.5</v>
      </c>
      <c r="H475" t="n">
        <v>0</v>
      </c>
      <c r="I475" t="n">
        <v>0</v>
      </c>
      <c r="J475" t="n">
        <v>0</v>
      </c>
      <c r="K475" t="n">
        <v>0</v>
      </c>
      <c r="L475" t="n">
        <v>0</v>
      </c>
      <c r="M475" t="n">
        <v>0</v>
      </c>
      <c r="N475" t="n">
        <v>0</v>
      </c>
      <c r="O475" t="n">
        <v>0</v>
      </c>
      <c r="P475" t="n">
        <v>0</v>
      </c>
      <c r="Q475" t="n">
        <v>0</v>
      </c>
      <c r="R475" s="2" t="inlineStr"/>
    </row>
    <row r="476" ht="15" customHeight="1">
      <c r="A476" t="inlineStr">
        <is>
          <t>A 23698-2025</t>
        </is>
      </c>
      <c r="B476" s="1" t="n">
        <v>45793</v>
      </c>
      <c r="C476" s="1" t="n">
        <v>46079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42608-2025</t>
        </is>
      </c>
      <c r="B477" s="1" t="n">
        <v>45905</v>
      </c>
      <c r="C477" s="1" t="n">
        <v>46079</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16373-2025</t>
        </is>
      </c>
      <c r="B478" s="1" t="n">
        <v>45751</v>
      </c>
      <c r="C478" s="1" t="n">
        <v>46079</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5217-2023</t>
        </is>
      </c>
      <c r="B479" s="1" t="n">
        <v>44959.39582175926</v>
      </c>
      <c r="C479" s="1" t="n">
        <v>46079</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22897-2023</t>
        </is>
      </c>
      <c r="B480" s="1" t="n">
        <v>45072.55239583334</v>
      </c>
      <c r="C480" s="1" t="n">
        <v>46079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10158-2025</t>
        </is>
      </c>
      <c r="B481" s="1" t="n">
        <v>45719</v>
      </c>
      <c r="C481" s="1" t="n">
        <v>46079</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43911-2025</t>
        </is>
      </c>
      <c r="B482" s="1" t="n">
        <v>45914.3881712963</v>
      </c>
      <c r="C482" s="1" t="n">
        <v>46079</v>
      </c>
      <c r="D482" t="inlineStr">
        <is>
          <t>GOTLANDS LÄN</t>
        </is>
      </c>
      <c r="E482" t="inlineStr">
        <is>
          <t>GOTLAND</t>
        </is>
      </c>
      <c r="G482" t="n">
        <v>1.9</v>
      </c>
      <c r="H482" t="n">
        <v>0</v>
      </c>
      <c r="I482" t="n">
        <v>0</v>
      </c>
      <c r="J482" t="n">
        <v>0</v>
      </c>
      <c r="K482" t="n">
        <v>0</v>
      </c>
      <c r="L482" t="n">
        <v>0</v>
      </c>
      <c r="M482" t="n">
        <v>0</v>
      </c>
      <c r="N482" t="n">
        <v>0</v>
      </c>
      <c r="O482" t="n">
        <v>0</v>
      </c>
      <c r="P482" t="n">
        <v>0</v>
      </c>
      <c r="Q482" t="n">
        <v>0</v>
      </c>
      <c r="R482" s="2" t="inlineStr"/>
    </row>
    <row r="483" ht="15" customHeight="1">
      <c r="A483" t="inlineStr">
        <is>
          <t>A 44410-2025</t>
        </is>
      </c>
      <c r="B483" s="1" t="n">
        <v>45916.53699074074</v>
      </c>
      <c r="C483" s="1" t="n">
        <v>46079</v>
      </c>
      <c r="D483" t="inlineStr">
        <is>
          <t>GOTLANDS LÄN</t>
        </is>
      </c>
      <c r="E483" t="inlineStr">
        <is>
          <t>GOTLAND</t>
        </is>
      </c>
      <c r="G483" t="n">
        <v>2.3</v>
      </c>
      <c r="H483" t="n">
        <v>0</v>
      </c>
      <c r="I483" t="n">
        <v>0</v>
      </c>
      <c r="J483" t="n">
        <v>0</v>
      </c>
      <c r="K483" t="n">
        <v>0</v>
      </c>
      <c r="L483" t="n">
        <v>0</v>
      </c>
      <c r="M483" t="n">
        <v>0</v>
      </c>
      <c r="N483" t="n">
        <v>0</v>
      </c>
      <c r="O483" t="n">
        <v>0</v>
      </c>
      <c r="P483" t="n">
        <v>0</v>
      </c>
      <c r="Q483" t="n">
        <v>0</v>
      </c>
      <c r="R483" s="2" t="inlineStr"/>
    </row>
    <row r="484" ht="15" customHeight="1">
      <c r="A484" t="inlineStr">
        <is>
          <t>A 5462-2025</t>
        </is>
      </c>
      <c r="B484" s="1" t="n">
        <v>45693.29331018519</v>
      </c>
      <c r="C484" s="1" t="n">
        <v>46079</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43951-2025</t>
        </is>
      </c>
      <c r="B485" s="1" t="n">
        <v>45915.38119212963</v>
      </c>
      <c r="C485" s="1" t="n">
        <v>46079</v>
      </c>
      <c r="D485" t="inlineStr">
        <is>
          <t>GOTLANDS LÄN</t>
        </is>
      </c>
      <c r="E485" t="inlineStr">
        <is>
          <t>GOTLAND</t>
        </is>
      </c>
      <c r="G485" t="n">
        <v>4.4</v>
      </c>
      <c r="H485" t="n">
        <v>0</v>
      </c>
      <c r="I485" t="n">
        <v>0</v>
      </c>
      <c r="J485" t="n">
        <v>0</v>
      </c>
      <c r="K485" t="n">
        <v>0</v>
      </c>
      <c r="L485" t="n">
        <v>0</v>
      </c>
      <c r="M485" t="n">
        <v>0</v>
      </c>
      <c r="N485" t="n">
        <v>0</v>
      </c>
      <c r="O485" t="n">
        <v>0</v>
      </c>
      <c r="P485" t="n">
        <v>0</v>
      </c>
      <c r="Q485" t="n">
        <v>0</v>
      </c>
      <c r="R485" s="2" t="inlineStr"/>
    </row>
    <row r="486" ht="15" customHeight="1">
      <c r="A486" t="inlineStr">
        <is>
          <t>A 44405-2025</t>
        </is>
      </c>
      <c r="B486" s="1" t="n">
        <v>45916.52405092592</v>
      </c>
      <c r="C486" s="1" t="n">
        <v>46079</v>
      </c>
      <c r="D486" t="inlineStr">
        <is>
          <t>GOTLANDS LÄN</t>
        </is>
      </c>
      <c r="E486" t="inlineStr">
        <is>
          <t>GOTLAND</t>
        </is>
      </c>
      <c r="G486" t="n">
        <v>2.6</v>
      </c>
      <c r="H486" t="n">
        <v>0</v>
      </c>
      <c r="I486" t="n">
        <v>0</v>
      </c>
      <c r="J486" t="n">
        <v>0</v>
      </c>
      <c r="K486" t="n">
        <v>0</v>
      </c>
      <c r="L486" t="n">
        <v>0</v>
      </c>
      <c r="M486" t="n">
        <v>0</v>
      </c>
      <c r="N486" t="n">
        <v>0</v>
      </c>
      <c r="O486" t="n">
        <v>0</v>
      </c>
      <c r="P486" t="n">
        <v>0</v>
      </c>
      <c r="Q486" t="n">
        <v>0</v>
      </c>
      <c r="R486" s="2" t="inlineStr"/>
    </row>
    <row r="487" ht="15" customHeight="1">
      <c r="A487" t="inlineStr">
        <is>
          <t>A 61897-2024</t>
        </is>
      </c>
      <c r="B487" s="1" t="n">
        <v>45652.75685185185</v>
      </c>
      <c r="C487" s="1" t="n">
        <v>46079</v>
      </c>
      <c r="D487" t="inlineStr">
        <is>
          <t>GOTLANDS LÄN</t>
        </is>
      </c>
      <c r="E487" t="inlineStr">
        <is>
          <t>GOTLAND</t>
        </is>
      </c>
      <c r="G487" t="n">
        <v>6.4</v>
      </c>
      <c r="H487" t="n">
        <v>0</v>
      </c>
      <c r="I487" t="n">
        <v>0</v>
      </c>
      <c r="J487" t="n">
        <v>0</v>
      </c>
      <c r="K487" t="n">
        <v>0</v>
      </c>
      <c r="L487" t="n">
        <v>0</v>
      </c>
      <c r="M487" t="n">
        <v>0</v>
      </c>
      <c r="N487" t="n">
        <v>0</v>
      </c>
      <c r="O487" t="n">
        <v>0</v>
      </c>
      <c r="P487" t="n">
        <v>0</v>
      </c>
      <c r="Q487" t="n">
        <v>0</v>
      </c>
      <c r="R487" s="2" t="inlineStr"/>
    </row>
    <row r="488" ht="15" customHeight="1">
      <c r="A488" t="inlineStr">
        <is>
          <t>A 25796-2025</t>
        </is>
      </c>
      <c r="B488" s="1" t="n">
        <v>45804.39543981481</v>
      </c>
      <c r="C488" s="1" t="n">
        <v>46079</v>
      </c>
      <c r="D488" t="inlineStr">
        <is>
          <t>GOTLANDS LÄN</t>
        </is>
      </c>
      <c r="E488" t="inlineStr">
        <is>
          <t>GOTLAND</t>
        </is>
      </c>
      <c r="G488" t="n">
        <v>2</v>
      </c>
      <c r="H488" t="n">
        <v>0</v>
      </c>
      <c r="I488" t="n">
        <v>0</v>
      </c>
      <c r="J488" t="n">
        <v>0</v>
      </c>
      <c r="K488" t="n">
        <v>0</v>
      </c>
      <c r="L488" t="n">
        <v>0</v>
      </c>
      <c r="M488" t="n">
        <v>0</v>
      </c>
      <c r="N488" t="n">
        <v>0</v>
      </c>
      <c r="O488" t="n">
        <v>0</v>
      </c>
      <c r="P488" t="n">
        <v>0</v>
      </c>
      <c r="Q488" t="n">
        <v>0</v>
      </c>
      <c r="R488" s="2" t="inlineStr"/>
    </row>
    <row r="489" ht="15" customHeight="1">
      <c r="A489" t="inlineStr">
        <is>
          <t>A 49962-2023</t>
        </is>
      </c>
      <c r="B489" s="1" t="n">
        <v>45215.38775462963</v>
      </c>
      <c r="C489" s="1" t="n">
        <v>46079</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44698.49854166667</v>
      </c>
      <c r="C490" s="1" t="n">
        <v>46079</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40294-2022</t>
        </is>
      </c>
      <c r="B491" s="1" t="n">
        <v>44821</v>
      </c>
      <c r="C491" s="1" t="n">
        <v>46079</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12032-2025</t>
        </is>
      </c>
      <c r="B492" s="1" t="n">
        <v>45728.64472222222</v>
      </c>
      <c r="C492" s="1" t="n">
        <v>46079</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26391-2025</t>
        </is>
      </c>
      <c r="B493" s="1" t="n">
        <v>45806</v>
      </c>
      <c r="C493" s="1" t="n">
        <v>46079</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26457-2025</t>
        </is>
      </c>
      <c r="B494" s="1" t="n">
        <v>45807.42773148148</v>
      </c>
      <c r="C494" s="1" t="n">
        <v>46079</v>
      </c>
      <c r="D494" t="inlineStr">
        <is>
          <t>GOTLANDS LÄN</t>
        </is>
      </c>
      <c r="E494" t="inlineStr">
        <is>
          <t>GOTLAND</t>
        </is>
      </c>
      <c r="G494" t="n">
        <v>5.7</v>
      </c>
      <c r="H494" t="n">
        <v>0</v>
      </c>
      <c r="I494" t="n">
        <v>0</v>
      </c>
      <c r="J494" t="n">
        <v>0</v>
      </c>
      <c r="K494" t="n">
        <v>0</v>
      </c>
      <c r="L494" t="n">
        <v>0</v>
      </c>
      <c r="M494" t="n">
        <v>0</v>
      </c>
      <c r="N494" t="n">
        <v>0</v>
      </c>
      <c r="O494" t="n">
        <v>0</v>
      </c>
      <c r="P494" t="n">
        <v>0</v>
      </c>
      <c r="Q494" t="n">
        <v>0</v>
      </c>
      <c r="R494" s="2" t="inlineStr"/>
    </row>
    <row r="495" ht="15" customHeight="1">
      <c r="A495" t="inlineStr">
        <is>
          <t>A 26467-2025</t>
        </is>
      </c>
      <c r="B495" s="1" t="n">
        <v>45807.44640046296</v>
      </c>
      <c r="C495" s="1" t="n">
        <v>46079</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38787-2023</t>
        </is>
      </c>
      <c r="B496" s="1" t="n">
        <v>45163</v>
      </c>
      <c r="C496" s="1" t="n">
        <v>46079</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26465-2025</t>
        </is>
      </c>
      <c r="B497" s="1" t="n">
        <v>45807.44377314814</v>
      </c>
      <c r="C497" s="1" t="n">
        <v>46079</v>
      </c>
      <c r="D497" t="inlineStr">
        <is>
          <t>GOTLANDS LÄN</t>
        </is>
      </c>
      <c r="E497" t="inlineStr">
        <is>
          <t>GOTLAND</t>
        </is>
      </c>
      <c r="G497" t="n">
        <v>4.5</v>
      </c>
      <c r="H497" t="n">
        <v>0</v>
      </c>
      <c r="I497" t="n">
        <v>0</v>
      </c>
      <c r="J497" t="n">
        <v>0</v>
      </c>
      <c r="K497" t="n">
        <v>0</v>
      </c>
      <c r="L497" t="n">
        <v>0</v>
      </c>
      <c r="M497" t="n">
        <v>0</v>
      </c>
      <c r="N497" t="n">
        <v>0</v>
      </c>
      <c r="O497" t="n">
        <v>0</v>
      </c>
      <c r="P497" t="n">
        <v>0</v>
      </c>
      <c r="Q497" t="n">
        <v>0</v>
      </c>
      <c r="R497" s="2" t="inlineStr"/>
    </row>
    <row r="498" ht="15" customHeight="1">
      <c r="A498" t="inlineStr">
        <is>
          <t>A 26660-2025</t>
        </is>
      </c>
      <c r="B498" s="1" t="n">
        <v>45810.39737268518</v>
      </c>
      <c r="C498" s="1" t="n">
        <v>46079</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46836-2025</t>
        </is>
      </c>
      <c r="B499" s="1" t="n">
        <v>45928.31511574074</v>
      </c>
      <c r="C499" s="1" t="n">
        <v>46079</v>
      </c>
      <c r="D499" t="inlineStr">
        <is>
          <t>GOTLANDS LÄN</t>
        </is>
      </c>
      <c r="E499" t="inlineStr">
        <is>
          <t>GOTLAND</t>
        </is>
      </c>
      <c r="G499" t="n">
        <v>2.8</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46079</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46079</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27371-2025</t>
        </is>
      </c>
      <c r="B502" s="1" t="n">
        <v>45812</v>
      </c>
      <c r="C502" s="1" t="n">
        <v>46079</v>
      </c>
      <c r="D502" t="inlineStr">
        <is>
          <t>GOTLANDS LÄN</t>
        </is>
      </c>
      <c r="E502" t="inlineStr">
        <is>
          <t>GOTLAND</t>
        </is>
      </c>
      <c r="G502" t="n">
        <v>8</v>
      </c>
      <c r="H502" t="n">
        <v>0</v>
      </c>
      <c r="I502" t="n">
        <v>0</v>
      </c>
      <c r="J502" t="n">
        <v>0</v>
      </c>
      <c r="K502" t="n">
        <v>0</v>
      </c>
      <c r="L502" t="n">
        <v>0</v>
      </c>
      <c r="M502" t="n">
        <v>0</v>
      </c>
      <c r="N502" t="n">
        <v>0</v>
      </c>
      <c r="O502" t="n">
        <v>0</v>
      </c>
      <c r="P502" t="n">
        <v>0</v>
      </c>
      <c r="Q502" t="n">
        <v>0</v>
      </c>
      <c r="R502" s="2" t="inlineStr"/>
    </row>
    <row r="503" ht="15" customHeight="1">
      <c r="A503" t="inlineStr">
        <is>
          <t>A 27355-2025</t>
        </is>
      </c>
      <c r="B503" s="1" t="n">
        <v>45812</v>
      </c>
      <c r="C503" s="1" t="n">
        <v>46079</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6739-2025</t>
        </is>
      </c>
      <c r="B504" s="1" t="n">
        <v>45700</v>
      </c>
      <c r="C504" s="1" t="n">
        <v>46079</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7850-2025</t>
        </is>
      </c>
      <c r="B505" s="1" t="n">
        <v>45706</v>
      </c>
      <c r="C505" s="1" t="n">
        <v>46079</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3935-2025</t>
        </is>
      </c>
      <c r="B506" s="1" t="n">
        <v>45684.46070601852</v>
      </c>
      <c r="C506" s="1" t="n">
        <v>46079</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47637-2025</t>
        </is>
      </c>
      <c r="B507" s="1" t="n">
        <v>45931.49753472222</v>
      </c>
      <c r="C507" s="1" t="n">
        <v>46079</v>
      </c>
      <c r="D507" t="inlineStr">
        <is>
          <t>GOTLANDS LÄN</t>
        </is>
      </c>
      <c r="E507" t="inlineStr">
        <is>
          <t>GOTLAND</t>
        </is>
      </c>
      <c r="G507" t="n">
        <v>1.3</v>
      </c>
      <c r="H507" t="n">
        <v>0</v>
      </c>
      <c r="I507" t="n">
        <v>0</v>
      </c>
      <c r="J507" t="n">
        <v>0</v>
      </c>
      <c r="K507" t="n">
        <v>0</v>
      </c>
      <c r="L507" t="n">
        <v>0</v>
      </c>
      <c r="M507" t="n">
        <v>0</v>
      </c>
      <c r="N507" t="n">
        <v>0</v>
      </c>
      <c r="O507" t="n">
        <v>0</v>
      </c>
      <c r="P507" t="n">
        <v>0</v>
      </c>
      <c r="Q507" t="n">
        <v>0</v>
      </c>
      <c r="R507" s="2" t="inlineStr"/>
    </row>
    <row r="508" ht="15" customHeight="1">
      <c r="A508" t="inlineStr">
        <is>
          <t>A 8444-2025</t>
        </is>
      </c>
      <c r="B508" s="1" t="n">
        <v>45709</v>
      </c>
      <c r="C508" s="1" t="n">
        <v>46079</v>
      </c>
      <c r="D508" t="inlineStr">
        <is>
          <t>GOTLANDS LÄN</t>
        </is>
      </c>
      <c r="E508" t="inlineStr">
        <is>
          <t>GOTLAND</t>
        </is>
      </c>
      <c r="G508" t="n">
        <v>5.2</v>
      </c>
      <c r="H508" t="n">
        <v>0</v>
      </c>
      <c r="I508" t="n">
        <v>0</v>
      </c>
      <c r="J508" t="n">
        <v>0</v>
      </c>
      <c r="K508" t="n">
        <v>0</v>
      </c>
      <c r="L508" t="n">
        <v>0</v>
      </c>
      <c r="M508" t="n">
        <v>0</v>
      </c>
      <c r="N508" t="n">
        <v>0</v>
      </c>
      <c r="O508" t="n">
        <v>0</v>
      </c>
      <c r="P508" t="n">
        <v>0</v>
      </c>
      <c r="Q508" t="n">
        <v>0</v>
      </c>
      <c r="R508" s="2" t="inlineStr"/>
    </row>
    <row r="509" ht="15" customHeight="1">
      <c r="A509" t="inlineStr">
        <is>
          <t>A 32378-2025</t>
        </is>
      </c>
      <c r="B509" s="1" t="n">
        <v>45837</v>
      </c>
      <c r="C509" s="1" t="n">
        <v>46079</v>
      </c>
      <c r="D509" t="inlineStr">
        <is>
          <t>GOTLANDS LÄN</t>
        </is>
      </c>
      <c r="E509" t="inlineStr">
        <is>
          <t>GOTLAND</t>
        </is>
      </c>
      <c r="G509" t="n">
        <v>4.1</v>
      </c>
      <c r="H509" t="n">
        <v>0</v>
      </c>
      <c r="I509" t="n">
        <v>0</v>
      </c>
      <c r="J509" t="n">
        <v>0</v>
      </c>
      <c r="K509" t="n">
        <v>0</v>
      </c>
      <c r="L509" t="n">
        <v>0</v>
      </c>
      <c r="M509" t="n">
        <v>0</v>
      </c>
      <c r="N509" t="n">
        <v>0</v>
      </c>
      <c r="O509" t="n">
        <v>0</v>
      </c>
      <c r="P509" t="n">
        <v>0</v>
      </c>
      <c r="Q509" t="n">
        <v>0</v>
      </c>
      <c r="R509" s="2" t="inlineStr"/>
    </row>
    <row r="510" ht="15" customHeight="1">
      <c r="A510" t="inlineStr">
        <is>
          <t>A 35550-2025</t>
        </is>
      </c>
      <c r="B510" s="1" t="n">
        <v>45856.49324074074</v>
      </c>
      <c r="C510" s="1" t="n">
        <v>46079</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20225-2025</t>
        </is>
      </c>
      <c r="B511" s="1" t="n">
        <v>45772.65802083333</v>
      </c>
      <c r="C511" s="1" t="n">
        <v>46079</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19905-2025</t>
        </is>
      </c>
      <c r="B512" s="1" t="n">
        <v>45771</v>
      </c>
      <c r="C512" s="1" t="n">
        <v>46079</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883-2025</t>
        </is>
      </c>
      <c r="B513" s="1" t="n">
        <v>45665</v>
      </c>
      <c r="C513" s="1" t="n">
        <v>46079</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29196-2025</t>
        </is>
      </c>
      <c r="B514" s="1" t="n">
        <v>45822</v>
      </c>
      <c r="C514" s="1" t="n">
        <v>46079</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47578-2025</t>
        </is>
      </c>
      <c r="B515" s="1" t="n">
        <v>45931</v>
      </c>
      <c r="C515" s="1" t="n">
        <v>46079</v>
      </c>
      <c r="D515" t="inlineStr">
        <is>
          <t>GOTLANDS LÄN</t>
        </is>
      </c>
      <c r="E515" t="inlineStr">
        <is>
          <t>GOTLAND</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46079</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49724-2025</t>
        </is>
      </c>
      <c r="B517" s="1" t="n">
        <v>45939.83730324074</v>
      </c>
      <c r="C517" s="1" t="n">
        <v>46079</v>
      </c>
      <c r="D517" t="inlineStr">
        <is>
          <t>GOTLANDS LÄN</t>
        </is>
      </c>
      <c r="E517" t="inlineStr">
        <is>
          <t>GOTLAND</t>
        </is>
      </c>
      <c r="F517" t="inlineStr">
        <is>
          <t>Kyrkan</t>
        </is>
      </c>
      <c r="G517" t="n">
        <v>3.1</v>
      </c>
      <c r="H517" t="n">
        <v>0</v>
      </c>
      <c r="I517" t="n">
        <v>0</v>
      </c>
      <c r="J517" t="n">
        <v>0</v>
      </c>
      <c r="K517" t="n">
        <v>0</v>
      </c>
      <c r="L517" t="n">
        <v>0</v>
      </c>
      <c r="M517" t="n">
        <v>0</v>
      </c>
      <c r="N517" t="n">
        <v>0</v>
      </c>
      <c r="O517" t="n">
        <v>0</v>
      </c>
      <c r="P517" t="n">
        <v>0</v>
      </c>
      <c r="Q517" t="n">
        <v>0</v>
      </c>
      <c r="R517" s="2" t="inlineStr"/>
    </row>
    <row r="518" ht="15" customHeight="1">
      <c r="A518" t="inlineStr">
        <is>
          <t>A 49730-2025</t>
        </is>
      </c>
      <c r="B518" s="1" t="n">
        <v>45939.87613425926</v>
      </c>
      <c r="C518" s="1" t="n">
        <v>46079</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49690-2025</t>
        </is>
      </c>
      <c r="B519" s="1" t="n">
        <v>45939.66730324074</v>
      </c>
      <c r="C519" s="1" t="n">
        <v>46079</v>
      </c>
      <c r="D519" t="inlineStr">
        <is>
          <t>GOTLANDS LÄN</t>
        </is>
      </c>
      <c r="E519" t="inlineStr">
        <is>
          <t>GOTLAND</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33011-2025</t>
        </is>
      </c>
      <c r="B520" s="1" t="n">
        <v>45840</v>
      </c>
      <c r="C520" s="1" t="n">
        <v>46079</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50421-2025</t>
        </is>
      </c>
      <c r="B521" s="1" t="n">
        <v>45944.66049768519</v>
      </c>
      <c r="C521" s="1" t="n">
        <v>46079</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30061-2025</t>
        </is>
      </c>
      <c r="B522" s="1" t="n">
        <v>45826.61488425926</v>
      </c>
      <c r="C522" s="1" t="n">
        <v>46079</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1066-2024</t>
        </is>
      </c>
      <c r="B523" s="1" t="n">
        <v>45302.285</v>
      </c>
      <c r="C523" s="1" t="n">
        <v>46079</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17144-2025</t>
        </is>
      </c>
      <c r="B524" s="1" t="n">
        <v>45755.9499537037</v>
      </c>
      <c r="C524" s="1" t="n">
        <v>46079</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50431-2025</t>
        </is>
      </c>
      <c r="B525" s="1" t="n">
        <v>45944.68453703704</v>
      </c>
      <c r="C525" s="1" t="n">
        <v>46079</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58160-2024</t>
        </is>
      </c>
      <c r="B526" s="1" t="n">
        <v>45632.44927083333</v>
      </c>
      <c r="C526" s="1" t="n">
        <v>46079</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50928-2025</t>
        </is>
      </c>
      <c r="B527" s="1" t="n">
        <v>45946.67896990741</v>
      </c>
      <c r="C527" s="1" t="n">
        <v>46079</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56009-2024</t>
        </is>
      </c>
      <c r="B528" s="1" t="n">
        <v>45623.80864583333</v>
      </c>
      <c r="C528" s="1" t="n">
        <v>46079</v>
      </c>
      <c r="D528" t="inlineStr">
        <is>
          <t>GOTLANDS LÄN</t>
        </is>
      </c>
      <c r="E528" t="inlineStr">
        <is>
          <t>GOTLAND</t>
        </is>
      </c>
      <c r="G528" t="n">
        <v>2.8</v>
      </c>
      <c r="H528" t="n">
        <v>0</v>
      </c>
      <c r="I528" t="n">
        <v>0</v>
      </c>
      <c r="J528" t="n">
        <v>0</v>
      </c>
      <c r="K528" t="n">
        <v>0</v>
      </c>
      <c r="L528" t="n">
        <v>0</v>
      </c>
      <c r="M528" t="n">
        <v>0</v>
      </c>
      <c r="N528" t="n">
        <v>0</v>
      </c>
      <c r="O528" t="n">
        <v>0</v>
      </c>
      <c r="P528" t="n">
        <v>0</v>
      </c>
      <c r="Q528" t="n">
        <v>0</v>
      </c>
      <c r="R528" s="2" t="inlineStr"/>
    </row>
    <row r="529" ht="15" customHeight="1">
      <c r="A529" t="inlineStr">
        <is>
          <t>A 51262-2025</t>
        </is>
      </c>
      <c r="B529" s="1" t="n">
        <v>45949.49872685185</v>
      </c>
      <c r="C529" s="1" t="n">
        <v>46079</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42338-2023</t>
        </is>
      </c>
      <c r="B530" s="1" t="n">
        <v>45180</v>
      </c>
      <c r="C530" s="1" t="n">
        <v>46079</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52249-2025</t>
        </is>
      </c>
      <c r="B531" s="1" t="n">
        <v>45953.48637731482</v>
      </c>
      <c r="C531" s="1" t="n">
        <v>46079</v>
      </c>
      <c r="D531" t="inlineStr">
        <is>
          <t>GOTLANDS LÄN</t>
        </is>
      </c>
      <c r="E531" t="inlineStr">
        <is>
          <t>GOTLAND</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32379-2025</t>
        </is>
      </c>
      <c r="B532" s="1" t="n">
        <v>45837</v>
      </c>
      <c r="C532" s="1" t="n">
        <v>46079</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32467-2025</t>
        </is>
      </c>
      <c r="B533" s="1" t="n">
        <v>45838.42111111111</v>
      </c>
      <c r="C533" s="1" t="n">
        <v>46079</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52637-2025</t>
        </is>
      </c>
      <c r="B534" s="1" t="n">
        <v>45954.75099537037</v>
      </c>
      <c r="C534" s="1" t="n">
        <v>46079</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16109-2025</t>
        </is>
      </c>
      <c r="B535" s="1" t="n">
        <v>45750</v>
      </c>
      <c r="C535" s="1" t="n">
        <v>46079</v>
      </c>
      <c r="D535" t="inlineStr">
        <is>
          <t>GOTLANDS LÄN</t>
        </is>
      </c>
      <c r="E535" t="inlineStr">
        <is>
          <t>GOTLAND</t>
        </is>
      </c>
      <c r="G535" t="n">
        <v>4.9</v>
      </c>
      <c r="H535" t="n">
        <v>0</v>
      </c>
      <c r="I535" t="n">
        <v>0</v>
      </c>
      <c r="J535" t="n">
        <v>0</v>
      </c>
      <c r="K535" t="n">
        <v>0</v>
      </c>
      <c r="L535" t="n">
        <v>0</v>
      </c>
      <c r="M535" t="n">
        <v>0</v>
      </c>
      <c r="N535" t="n">
        <v>0</v>
      </c>
      <c r="O535" t="n">
        <v>0</v>
      </c>
      <c r="P535" t="n">
        <v>0</v>
      </c>
      <c r="Q535" t="n">
        <v>0</v>
      </c>
      <c r="R535" s="2" t="inlineStr"/>
    </row>
    <row r="536" ht="15" customHeight="1">
      <c r="A536" t="inlineStr">
        <is>
          <t>A 581-2023</t>
        </is>
      </c>
      <c r="B536" s="1" t="n">
        <v>44930</v>
      </c>
      <c r="C536" s="1" t="n">
        <v>46079</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33007-2025</t>
        </is>
      </c>
      <c r="B537" s="1" t="n">
        <v>45840</v>
      </c>
      <c r="C537" s="1" t="n">
        <v>46079</v>
      </c>
      <c r="D537" t="inlineStr">
        <is>
          <t>GOTLANDS LÄN</t>
        </is>
      </c>
      <c r="E537" t="inlineStr">
        <is>
          <t>GOTLAND</t>
        </is>
      </c>
      <c r="G537" t="n">
        <v>4.9</v>
      </c>
      <c r="H537" t="n">
        <v>0</v>
      </c>
      <c r="I537" t="n">
        <v>0</v>
      </c>
      <c r="J537" t="n">
        <v>0</v>
      </c>
      <c r="K537" t="n">
        <v>0</v>
      </c>
      <c r="L537" t="n">
        <v>0</v>
      </c>
      <c r="M537" t="n">
        <v>0</v>
      </c>
      <c r="N537" t="n">
        <v>0</v>
      </c>
      <c r="O537" t="n">
        <v>0</v>
      </c>
      <c r="P537" t="n">
        <v>0</v>
      </c>
      <c r="Q537" t="n">
        <v>0</v>
      </c>
      <c r="R537" s="2" t="inlineStr"/>
    </row>
    <row r="538" ht="15" customHeight="1">
      <c r="A538" t="inlineStr">
        <is>
          <t>A 53569-2025</t>
        </is>
      </c>
      <c r="B538" s="1" t="n">
        <v>45960.41155092593</v>
      </c>
      <c r="C538" s="1" t="n">
        <v>46079</v>
      </c>
      <c r="D538" t="inlineStr">
        <is>
          <t>GOTLANDS LÄN</t>
        </is>
      </c>
      <c r="E538" t="inlineStr">
        <is>
          <t>GOTLAND</t>
        </is>
      </c>
      <c r="F538" t="inlineStr">
        <is>
          <t>Övriga Aktiebolag</t>
        </is>
      </c>
      <c r="G538" t="n">
        <v>11.3</v>
      </c>
      <c r="H538" t="n">
        <v>0</v>
      </c>
      <c r="I538" t="n">
        <v>0</v>
      </c>
      <c r="J538" t="n">
        <v>0</v>
      </c>
      <c r="K538" t="n">
        <v>0</v>
      </c>
      <c r="L538" t="n">
        <v>0</v>
      </c>
      <c r="M538" t="n">
        <v>0</v>
      </c>
      <c r="N538" t="n">
        <v>0</v>
      </c>
      <c r="O538" t="n">
        <v>0</v>
      </c>
      <c r="P538" t="n">
        <v>0</v>
      </c>
      <c r="Q538" t="n">
        <v>0</v>
      </c>
      <c r="R538" s="2" t="inlineStr"/>
    </row>
    <row r="539" ht="15" customHeight="1">
      <c r="A539" t="inlineStr">
        <is>
          <t>A 61386-2023</t>
        </is>
      </c>
      <c r="B539" s="1" t="n">
        <v>45264</v>
      </c>
      <c r="C539" s="1" t="n">
        <v>46079</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53577-2025</t>
        </is>
      </c>
      <c r="B540" s="1" t="n">
        <v>45960.42224537037</v>
      </c>
      <c r="C540" s="1" t="n">
        <v>46079</v>
      </c>
      <c r="D540" t="inlineStr">
        <is>
          <t>GOTLANDS LÄN</t>
        </is>
      </c>
      <c r="E540" t="inlineStr">
        <is>
          <t>GOTLAND</t>
        </is>
      </c>
      <c r="F540" t="inlineStr">
        <is>
          <t>Övriga Aktiebolag</t>
        </is>
      </c>
      <c r="G540" t="n">
        <v>3.3</v>
      </c>
      <c r="H540" t="n">
        <v>0</v>
      </c>
      <c r="I540" t="n">
        <v>0</v>
      </c>
      <c r="J540" t="n">
        <v>0</v>
      </c>
      <c r="K540" t="n">
        <v>0</v>
      </c>
      <c r="L540" t="n">
        <v>0</v>
      </c>
      <c r="M540" t="n">
        <v>0</v>
      </c>
      <c r="N540" t="n">
        <v>0</v>
      </c>
      <c r="O540" t="n">
        <v>0</v>
      </c>
      <c r="P540" t="n">
        <v>0</v>
      </c>
      <c r="Q540" t="n">
        <v>0</v>
      </c>
      <c r="R540" s="2" t="inlineStr"/>
    </row>
    <row r="541" ht="15" customHeight="1">
      <c r="A541" t="inlineStr">
        <is>
          <t>A 873-2024</t>
        </is>
      </c>
      <c r="B541" s="1" t="n">
        <v>45301</v>
      </c>
      <c r="C541" s="1" t="n">
        <v>46079</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49411-2023</t>
        </is>
      </c>
      <c r="B542" s="1" t="n">
        <v>45205</v>
      </c>
      <c r="C542" s="1" t="n">
        <v>46079</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22275-2023</t>
        </is>
      </c>
      <c r="B543" s="1" t="n">
        <v>45070.39875</v>
      </c>
      <c r="C543" s="1" t="n">
        <v>46079</v>
      </c>
      <c r="D543" t="inlineStr">
        <is>
          <t>GOTLANDS LÄN</t>
        </is>
      </c>
      <c r="E543" t="inlineStr">
        <is>
          <t>GOTLAND</t>
        </is>
      </c>
      <c r="G543" t="n">
        <v>7.2</v>
      </c>
      <c r="H543" t="n">
        <v>0</v>
      </c>
      <c r="I543" t="n">
        <v>0</v>
      </c>
      <c r="J543" t="n">
        <v>0</v>
      </c>
      <c r="K543" t="n">
        <v>0</v>
      </c>
      <c r="L543" t="n">
        <v>0</v>
      </c>
      <c r="M543" t="n">
        <v>0</v>
      </c>
      <c r="N543" t="n">
        <v>0</v>
      </c>
      <c r="O543" t="n">
        <v>0</v>
      </c>
      <c r="P543" t="n">
        <v>0</v>
      </c>
      <c r="Q543" t="n">
        <v>0</v>
      </c>
      <c r="R543" s="2" t="inlineStr"/>
    </row>
    <row r="544" ht="15" customHeight="1">
      <c r="A544" t="inlineStr">
        <is>
          <t>A 12322-2025</t>
        </is>
      </c>
      <c r="B544" s="1" t="n">
        <v>45730</v>
      </c>
      <c r="C544" s="1" t="n">
        <v>46079</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14797-2024</t>
        </is>
      </c>
      <c r="B545" s="1" t="n">
        <v>45397.87030092593</v>
      </c>
      <c r="C545" s="1" t="n">
        <v>46079</v>
      </c>
      <c r="D545" t="inlineStr">
        <is>
          <t>GOTLANDS LÄN</t>
        </is>
      </c>
      <c r="E545" t="inlineStr">
        <is>
          <t>GOTLAND</t>
        </is>
      </c>
      <c r="G545" t="n">
        <v>8.1</v>
      </c>
      <c r="H545" t="n">
        <v>0</v>
      </c>
      <c r="I545" t="n">
        <v>0</v>
      </c>
      <c r="J545" t="n">
        <v>0</v>
      </c>
      <c r="K545" t="n">
        <v>0</v>
      </c>
      <c r="L545" t="n">
        <v>0</v>
      </c>
      <c r="M545" t="n">
        <v>0</v>
      </c>
      <c r="N545" t="n">
        <v>0</v>
      </c>
      <c r="O545" t="n">
        <v>0</v>
      </c>
      <c r="P545" t="n">
        <v>0</v>
      </c>
      <c r="Q545" t="n">
        <v>0</v>
      </c>
      <c r="R545" s="2" t="inlineStr"/>
    </row>
    <row r="546" ht="15" customHeight="1">
      <c r="A546" t="inlineStr">
        <is>
          <t>A 999-2024</t>
        </is>
      </c>
      <c r="B546" s="1" t="n">
        <v>45301</v>
      </c>
      <c r="C546" s="1" t="n">
        <v>46079</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61596-2023</t>
        </is>
      </c>
      <c r="B547" s="1" t="n">
        <v>45265</v>
      </c>
      <c r="C547" s="1" t="n">
        <v>46079</v>
      </c>
      <c r="D547" t="inlineStr">
        <is>
          <t>GOTLANDS LÄN</t>
        </is>
      </c>
      <c r="E547" t="inlineStr">
        <is>
          <t>GOTLAND</t>
        </is>
      </c>
      <c r="G547" t="n">
        <v>1.7</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46079</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15413-2025</t>
        </is>
      </c>
      <c r="B549" s="1" t="n">
        <v>45747.451875</v>
      </c>
      <c r="C549" s="1" t="n">
        <v>46079</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60675-2021</t>
        </is>
      </c>
      <c r="B550" s="1" t="n">
        <v>44496.64855324074</v>
      </c>
      <c r="C550" s="1" t="n">
        <v>46079</v>
      </c>
      <c r="D550" t="inlineStr">
        <is>
          <t>GOTLANDS LÄN</t>
        </is>
      </c>
      <c r="E550" t="inlineStr">
        <is>
          <t>GOTLAND</t>
        </is>
      </c>
      <c r="G550" t="n">
        <v>4.6</v>
      </c>
      <c r="H550" t="n">
        <v>0</v>
      </c>
      <c r="I550" t="n">
        <v>0</v>
      </c>
      <c r="J550" t="n">
        <v>0</v>
      </c>
      <c r="K550" t="n">
        <v>0</v>
      </c>
      <c r="L550" t="n">
        <v>0</v>
      </c>
      <c r="M550" t="n">
        <v>0</v>
      </c>
      <c r="N550" t="n">
        <v>0</v>
      </c>
      <c r="O550" t="n">
        <v>0</v>
      </c>
      <c r="P550" t="n">
        <v>0</v>
      </c>
      <c r="Q550" t="n">
        <v>0</v>
      </c>
      <c r="R550" s="2" t="inlineStr"/>
    </row>
    <row r="551" ht="15" customHeight="1">
      <c r="A551" t="inlineStr">
        <is>
          <t>A 35123-2025</t>
        </is>
      </c>
      <c r="B551" s="1" t="n">
        <v>45852.614375</v>
      </c>
      <c r="C551" s="1" t="n">
        <v>46079</v>
      </c>
      <c r="D551" t="inlineStr">
        <is>
          <t>GOTLANDS LÄN</t>
        </is>
      </c>
      <c r="E551" t="inlineStr">
        <is>
          <t>GOTLAND</t>
        </is>
      </c>
      <c r="G551" t="n">
        <v>1.1</v>
      </c>
      <c r="H551" t="n">
        <v>0</v>
      </c>
      <c r="I551" t="n">
        <v>0</v>
      </c>
      <c r="J551" t="n">
        <v>0</v>
      </c>
      <c r="K551" t="n">
        <v>0</v>
      </c>
      <c r="L551" t="n">
        <v>0</v>
      </c>
      <c r="M551" t="n">
        <v>0</v>
      </c>
      <c r="N551" t="n">
        <v>0</v>
      </c>
      <c r="O551" t="n">
        <v>0</v>
      </c>
      <c r="P551" t="n">
        <v>0</v>
      </c>
      <c r="Q551" t="n">
        <v>0</v>
      </c>
      <c r="R551" s="2" t="inlineStr"/>
    </row>
    <row r="552" ht="15" customHeight="1">
      <c r="A552" t="inlineStr">
        <is>
          <t>A 37728-2024</t>
        </is>
      </c>
      <c r="B552" s="1" t="n">
        <v>45541</v>
      </c>
      <c r="C552" s="1" t="n">
        <v>46079</v>
      </c>
      <c r="D552" t="inlineStr">
        <is>
          <t>GOTLANDS LÄN</t>
        </is>
      </c>
      <c r="E552" t="inlineStr">
        <is>
          <t>GOTLAND</t>
        </is>
      </c>
      <c r="G552" t="n">
        <v>0.4</v>
      </c>
      <c r="H552" t="n">
        <v>0</v>
      </c>
      <c r="I552" t="n">
        <v>0</v>
      </c>
      <c r="J552" t="n">
        <v>0</v>
      </c>
      <c r="K552" t="n">
        <v>0</v>
      </c>
      <c r="L552" t="n">
        <v>0</v>
      </c>
      <c r="M552" t="n">
        <v>0</v>
      </c>
      <c r="N552" t="n">
        <v>0</v>
      </c>
      <c r="O552" t="n">
        <v>0</v>
      </c>
      <c r="P552" t="n">
        <v>0</v>
      </c>
      <c r="Q552" t="n">
        <v>0</v>
      </c>
      <c r="R552" s="2" t="inlineStr"/>
    </row>
    <row r="553" ht="15" customHeight="1">
      <c r="A553" t="inlineStr">
        <is>
          <t>A 35096-2025</t>
        </is>
      </c>
      <c r="B553" s="1" t="n">
        <v>45852.54356481481</v>
      </c>
      <c r="C553" s="1" t="n">
        <v>46079</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30104-2025</t>
        </is>
      </c>
      <c r="B554" s="1" t="n">
        <v>45826.68806712963</v>
      </c>
      <c r="C554" s="1" t="n">
        <v>46079</v>
      </c>
      <c r="D554" t="inlineStr">
        <is>
          <t>GOTLANDS LÄN</t>
        </is>
      </c>
      <c r="E554" t="inlineStr">
        <is>
          <t>GOTLAND</t>
        </is>
      </c>
      <c r="G554" t="n">
        <v>15.4</v>
      </c>
      <c r="H554" t="n">
        <v>0</v>
      </c>
      <c r="I554" t="n">
        <v>0</v>
      </c>
      <c r="J554" t="n">
        <v>0</v>
      </c>
      <c r="K554" t="n">
        <v>0</v>
      </c>
      <c r="L554" t="n">
        <v>0</v>
      </c>
      <c r="M554" t="n">
        <v>0</v>
      </c>
      <c r="N554" t="n">
        <v>0</v>
      </c>
      <c r="O554" t="n">
        <v>0</v>
      </c>
      <c r="P554" t="n">
        <v>0</v>
      </c>
      <c r="Q554" t="n">
        <v>0</v>
      </c>
      <c r="R554" s="2" t="inlineStr"/>
    </row>
    <row r="555" ht="15" customHeight="1">
      <c r="A555" t="inlineStr">
        <is>
          <t>A 22287-2022</t>
        </is>
      </c>
      <c r="B555" s="1" t="n">
        <v>44712</v>
      </c>
      <c r="C555" s="1" t="n">
        <v>46079</v>
      </c>
      <c r="D555" t="inlineStr">
        <is>
          <t>GOTLANDS LÄN</t>
        </is>
      </c>
      <c r="E555" t="inlineStr">
        <is>
          <t>GOTLAND</t>
        </is>
      </c>
      <c r="G555" t="n">
        <v>6.1</v>
      </c>
      <c r="H555" t="n">
        <v>0</v>
      </c>
      <c r="I555" t="n">
        <v>0</v>
      </c>
      <c r="J555" t="n">
        <v>0</v>
      </c>
      <c r="K555" t="n">
        <v>0</v>
      </c>
      <c r="L555" t="n">
        <v>0</v>
      </c>
      <c r="M555" t="n">
        <v>0</v>
      </c>
      <c r="N555" t="n">
        <v>0</v>
      </c>
      <c r="O555" t="n">
        <v>0</v>
      </c>
      <c r="P555" t="n">
        <v>0</v>
      </c>
      <c r="Q555" t="n">
        <v>0</v>
      </c>
      <c r="R555" s="2" t="inlineStr"/>
    </row>
    <row r="556" ht="15" customHeight="1">
      <c r="A556" t="inlineStr">
        <is>
          <t>A 35290-2025</t>
        </is>
      </c>
      <c r="B556" s="1" t="n">
        <v>45854.38502314815</v>
      </c>
      <c r="C556" s="1" t="n">
        <v>46079</v>
      </c>
      <c r="D556" t="inlineStr">
        <is>
          <t>GOTLANDS LÄN</t>
        </is>
      </c>
      <c r="E556" t="inlineStr">
        <is>
          <t>GOTLAND</t>
        </is>
      </c>
      <c r="G556" t="n">
        <v>5.4</v>
      </c>
      <c r="H556" t="n">
        <v>0</v>
      </c>
      <c r="I556" t="n">
        <v>0</v>
      </c>
      <c r="J556" t="n">
        <v>0</v>
      </c>
      <c r="K556" t="n">
        <v>0</v>
      </c>
      <c r="L556" t="n">
        <v>0</v>
      </c>
      <c r="M556" t="n">
        <v>0</v>
      </c>
      <c r="N556" t="n">
        <v>0</v>
      </c>
      <c r="O556" t="n">
        <v>0</v>
      </c>
      <c r="P556" t="n">
        <v>0</v>
      </c>
      <c r="Q556" t="n">
        <v>0</v>
      </c>
      <c r="R556" s="2" t="inlineStr"/>
    </row>
    <row r="557" ht="15" customHeight="1">
      <c r="A557" t="inlineStr">
        <is>
          <t>A 32669-2024</t>
        </is>
      </c>
      <c r="B557" s="1" t="n">
        <v>45514</v>
      </c>
      <c r="C557" s="1" t="n">
        <v>46079</v>
      </c>
      <c r="D557" t="inlineStr">
        <is>
          <t>GOTLANDS LÄN</t>
        </is>
      </c>
      <c r="E557" t="inlineStr">
        <is>
          <t>GOTLAND</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35537-2025</t>
        </is>
      </c>
      <c r="B558" s="1" t="n">
        <v>45856</v>
      </c>
      <c r="C558" s="1" t="n">
        <v>46079</v>
      </c>
      <c r="D558" t="inlineStr">
        <is>
          <t>GOTLANDS LÄN</t>
        </is>
      </c>
      <c r="E558" t="inlineStr">
        <is>
          <t>GOTLAND</t>
        </is>
      </c>
      <c r="G558" t="n">
        <v>16.8</v>
      </c>
      <c r="H558" t="n">
        <v>0</v>
      </c>
      <c r="I558" t="n">
        <v>0</v>
      </c>
      <c r="J558" t="n">
        <v>0</v>
      </c>
      <c r="K558" t="n">
        <v>0</v>
      </c>
      <c r="L558" t="n">
        <v>0</v>
      </c>
      <c r="M558" t="n">
        <v>0</v>
      </c>
      <c r="N558" t="n">
        <v>0</v>
      </c>
      <c r="O558" t="n">
        <v>0</v>
      </c>
      <c r="P558" t="n">
        <v>0</v>
      </c>
      <c r="Q558" t="n">
        <v>0</v>
      </c>
      <c r="R558" s="2" t="inlineStr"/>
    </row>
    <row r="559" ht="15" customHeight="1">
      <c r="A559" t="inlineStr">
        <is>
          <t>A 54074-2022</t>
        </is>
      </c>
      <c r="B559" s="1" t="n">
        <v>44881</v>
      </c>
      <c r="C559" s="1" t="n">
        <v>46079</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65249-2023</t>
        </is>
      </c>
      <c r="B560" s="1" t="n">
        <v>45290</v>
      </c>
      <c r="C560" s="1" t="n">
        <v>46079</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56799-2025</t>
        </is>
      </c>
      <c r="B561" s="1" t="n">
        <v>45978.43392361111</v>
      </c>
      <c r="C561" s="1" t="n">
        <v>46079</v>
      </c>
      <c r="D561" t="inlineStr">
        <is>
          <t>GOTLANDS LÄN</t>
        </is>
      </c>
      <c r="E561" t="inlineStr">
        <is>
          <t>GOTLAND</t>
        </is>
      </c>
      <c r="G561" t="n">
        <v>1.1</v>
      </c>
      <c r="H561" t="n">
        <v>0</v>
      </c>
      <c r="I561" t="n">
        <v>0</v>
      </c>
      <c r="J561" t="n">
        <v>0</v>
      </c>
      <c r="K561" t="n">
        <v>0</v>
      </c>
      <c r="L561" t="n">
        <v>0</v>
      </c>
      <c r="M561" t="n">
        <v>0</v>
      </c>
      <c r="N561" t="n">
        <v>0</v>
      </c>
      <c r="O561" t="n">
        <v>0</v>
      </c>
      <c r="P561" t="n">
        <v>0</v>
      </c>
      <c r="Q561" t="n">
        <v>0</v>
      </c>
      <c r="R561" s="2" t="inlineStr"/>
    </row>
    <row r="562" ht="15" customHeight="1">
      <c r="A562" t="inlineStr">
        <is>
          <t>A 56688-2025</t>
        </is>
      </c>
      <c r="B562" s="1" t="n">
        <v>45975.84331018518</v>
      </c>
      <c r="C562" s="1" t="n">
        <v>46079</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15216-2025</t>
        </is>
      </c>
      <c r="B563" s="1" t="n">
        <v>45744</v>
      </c>
      <c r="C563" s="1" t="n">
        <v>46079</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43790-2024</t>
        </is>
      </c>
      <c r="B564" s="1" t="n">
        <v>45571</v>
      </c>
      <c r="C564" s="1" t="n">
        <v>46079</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15001-2025</t>
        </is>
      </c>
      <c r="B565" s="1" t="n">
        <v>45743</v>
      </c>
      <c r="C565" s="1" t="n">
        <v>46079</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30488-2025</t>
        </is>
      </c>
      <c r="B566" s="1" t="n">
        <v>45830</v>
      </c>
      <c r="C566" s="1" t="n">
        <v>46079</v>
      </c>
      <c r="D566" t="inlineStr">
        <is>
          <t>GOTLANDS LÄN</t>
        </is>
      </c>
      <c r="E566" t="inlineStr">
        <is>
          <t>GOTLAND</t>
        </is>
      </c>
      <c r="F566" t="inlineStr">
        <is>
          <t>Kyrkan</t>
        </is>
      </c>
      <c r="G566" t="n">
        <v>3.9</v>
      </c>
      <c r="H566" t="n">
        <v>0</v>
      </c>
      <c r="I566" t="n">
        <v>0</v>
      </c>
      <c r="J566" t="n">
        <v>0</v>
      </c>
      <c r="K566" t="n">
        <v>0</v>
      </c>
      <c r="L566" t="n">
        <v>0</v>
      </c>
      <c r="M566" t="n">
        <v>0</v>
      </c>
      <c r="N566" t="n">
        <v>0</v>
      </c>
      <c r="O566" t="n">
        <v>0</v>
      </c>
      <c r="P566" t="n">
        <v>0</v>
      </c>
      <c r="Q566" t="n">
        <v>0</v>
      </c>
      <c r="R566" s="2" t="inlineStr"/>
    </row>
    <row r="567" ht="15" customHeight="1">
      <c r="A567" t="inlineStr">
        <is>
          <t>A 17847-2025</t>
        </is>
      </c>
      <c r="B567" s="1" t="n">
        <v>45758</v>
      </c>
      <c r="C567" s="1" t="n">
        <v>46079</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18742-2025</t>
        </is>
      </c>
      <c r="B568" s="1" t="n">
        <v>45763</v>
      </c>
      <c r="C568" s="1" t="n">
        <v>46079</v>
      </c>
      <c r="D568" t="inlineStr">
        <is>
          <t>GOTLANDS LÄN</t>
        </is>
      </c>
      <c r="E568" t="inlineStr">
        <is>
          <t>GOTLAND</t>
        </is>
      </c>
      <c r="G568" t="n">
        <v>3.4</v>
      </c>
      <c r="H568" t="n">
        <v>0</v>
      </c>
      <c r="I568" t="n">
        <v>0</v>
      </c>
      <c r="J568" t="n">
        <v>0</v>
      </c>
      <c r="K568" t="n">
        <v>0</v>
      </c>
      <c r="L568" t="n">
        <v>0</v>
      </c>
      <c r="M568" t="n">
        <v>0</v>
      </c>
      <c r="N568" t="n">
        <v>0</v>
      </c>
      <c r="O568" t="n">
        <v>0</v>
      </c>
      <c r="P568" t="n">
        <v>0</v>
      </c>
      <c r="Q568" t="n">
        <v>0</v>
      </c>
      <c r="R568" s="2" t="inlineStr"/>
    </row>
    <row r="569" ht="15" customHeight="1">
      <c r="A569" t="inlineStr">
        <is>
          <t>A 35129-2025</t>
        </is>
      </c>
      <c r="B569" s="1" t="n">
        <v>45852.63224537037</v>
      </c>
      <c r="C569" s="1" t="n">
        <v>46079</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13910-2025</t>
        </is>
      </c>
      <c r="B570" s="1" t="n">
        <v>45737</v>
      </c>
      <c r="C570" s="1" t="n">
        <v>46079</v>
      </c>
      <c r="D570" t="inlineStr">
        <is>
          <t>GOTLANDS LÄN</t>
        </is>
      </c>
      <c r="E570" t="inlineStr">
        <is>
          <t>GOTLAND</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17780-2022</t>
        </is>
      </c>
      <c r="B571" s="1" t="n">
        <v>44682.82622685185</v>
      </c>
      <c r="C571" s="1" t="n">
        <v>46079</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59986-2022</t>
        </is>
      </c>
      <c r="B572" s="1" t="n">
        <v>44909</v>
      </c>
      <c r="C572" s="1" t="n">
        <v>46079</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46079</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59197-2025</t>
        </is>
      </c>
      <c r="B574" s="1" t="n">
        <v>45988.59846064815</v>
      </c>
      <c r="C574" s="1" t="n">
        <v>46079</v>
      </c>
      <c r="D574" t="inlineStr">
        <is>
          <t>GOTLANDS LÄN</t>
        </is>
      </c>
      <c r="E574" t="inlineStr">
        <is>
          <t>GOTLAND</t>
        </is>
      </c>
      <c r="G574" t="n">
        <v>2.3</v>
      </c>
      <c r="H574" t="n">
        <v>0</v>
      </c>
      <c r="I574" t="n">
        <v>0</v>
      </c>
      <c r="J574" t="n">
        <v>0</v>
      </c>
      <c r="K574" t="n">
        <v>0</v>
      </c>
      <c r="L574" t="n">
        <v>0</v>
      </c>
      <c r="M574" t="n">
        <v>0</v>
      </c>
      <c r="N574" t="n">
        <v>0</v>
      </c>
      <c r="O574" t="n">
        <v>0</v>
      </c>
      <c r="P574" t="n">
        <v>0</v>
      </c>
      <c r="Q574" t="n">
        <v>0</v>
      </c>
      <c r="R574" s="2" t="inlineStr"/>
    </row>
    <row r="575" ht="15" customHeight="1">
      <c r="A575" t="inlineStr">
        <is>
          <t>A 6108-2025</t>
        </is>
      </c>
      <c r="B575" s="1" t="n">
        <v>45698.29880787037</v>
      </c>
      <c r="C575" s="1" t="n">
        <v>46079</v>
      </c>
      <c r="D575" t="inlineStr">
        <is>
          <t>GOTLANDS LÄN</t>
        </is>
      </c>
      <c r="E575" t="inlineStr">
        <is>
          <t>GOTLAND</t>
        </is>
      </c>
      <c r="G575" t="n">
        <v>2.8</v>
      </c>
      <c r="H575" t="n">
        <v>0</v>
      </c>
      <c r="I575" t="n">
        <v>0</v>
      </c>
      <c r="J575" t="n">
        <v>0</v>
      </c>
      <c r="K575" t="n">
        <v>0</v>
      </c>
      <c r="L575" t="n">
        <v>0</v>
      </c>
      <c r="M575" t="n">
        <v>0</v>
      </c>
      <c r="N575" t="n">
        <v>0</v>
      </c>
      <c r="O575" t="n">
        <v>0</v>
      </c>
      <c r="P575" t="n">
        <v>0</v>
      </c>
      <c r="Q575" t="n">
        <v>0</v>
      </c>
      <c r="R575" s="2" t="inlineStr"/>
    </row>
    <row r="576" ht="15" customHeight="1">
      <c r="A576" t="inlineStr">
        <is>
          <t>A 21142-2025</t>
        </is>
      </c>
      <c r="B576" s="1" t="n">
        <v>45779</v>
      </c>
      <c r="C576" s="1" t="n">
        <v>46079</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17343-2025</t>
        </is>
      </c>
      <c r="B577" s="1" t="n">
        <v>45756.6687037037</v>
      </c>
      <c r="C577" s="1" t="n">
        <v>46079</v>
      </c>
      <c r="D577" t="inlineStr">
        <is>
          <t>GOTLANDS LÄN</t>
        </is>
      </c>
      <c r="E577" t="inlineStr">
        <is>
          <t>GOTLAND</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18938-2025</t>
        </is>
      </c>
      <c r="B578" s="1" t="n">
        <v>45764.49172453704</v>
      </c>
      <c r="C578" s="1" t="n">
        <v>46079</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2415-2026</t>
        </is>
      </c>
      <c r="B579" s="1" t="n">
        <v>46036.76203703704</v>
      </c>
      <c r="C579" s="1" t="n">
        <v>46079</v>
      </c>
      <c r="D579" t="inlineStr">
        <is>
          <t>GOTLANDS LÄN</t>
        </is>
      </c>
      <c r="E579" t="inlineStr">
        <is>
          <t>GOTLAND</t>
        </is>
      </c>
      <c r="G579" t="n">
        <v>6.9</v>
      </c>
      <c r="H579" t="n">
        <v>0</v>
      </c>
      <c r="I579" t="n">
        <v>0</v>
      </c>
      <c r="J579" t="n">
        <v>0</v>
      </c>
      <c r="K579" t="n">
        <v>0</v>
      </c>
      <c r="L579" t="n">
        <v>0</v>
      </c>
      <c r="M579" t="n">
        <v>0</v>
      </c>
      <c r="N579" t="n">
        <v>0</v>
      </c>
      <c r="O579" t="n">
        <v>0</v>
      </c>
      <c r="P579" t="n">
        <v>0</v>
      </c>
      <c r="Q579" t="n">
        <v>0</v>
      </c>
      <c r="R579" s="2" t="inlineStr"/>
    </row>
    <row r="580" ht="15" customHeight="1">
      <c r="A580" t="inlineStr">
        <is>
          <t>A 30489-2025</t>
        </is>
      </c>
      <c r="B580" s="1" t="n">
        <v>45830</v>
      </c>
      <c r="C580" s="1" t="n">
        <v>46079</v>
      </c>
      <c r="D580" t="inlineStr">
        <is>
          <t>GOTLANDS LÄN</t>
        </is>
      </c>
      <c r="E580" t="inlineStr">
        <is>
          <t>GOTLAND</t>
        </is>
      </c>
      <c r="G580" t="n">
        <v>4.6</v>
      </c>
      <c r="H580" t="n">
        <v>0</v>
      </c>
      <c r="I580" t="n">
        <v>0</v>
      </c>
      <c r="J580" t="n">
        <v>0</v>
      </c>
      <c r="K580" t="n">
        <v>0</v>
      </c>
      <c r="L580" t="n">
        <v>0</v>
      </c>
      <c r="M580" t="n">
        <v>0</v>
      </c>
      <c r="N580" t="n">
        <v>0</v>
      </c>
      <c r="O580" t="n">
        <v>0</v>
      </c>
      <c r="P580" t="n">
        <v>0</v>
      </c>
      <c r="Q580" t="n">
        <v>0</v>
      </c>
      <c r="R580" s="2" t="inlineStr"/>
    </row>
    <row r="581" ht="15" customHeight="1">
      <c r="A581" t="inlineStr">
        <is>
          <t>A 36319-2025</t>
        </is>
      </c>
      <c r="B581" s="1" t="n">
        <v>45868</v>
      </c>
      <c r="C581" s="1" t="n">
        <v>46079</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11874-2024</t>
        </is>
      </c>
      <c r="B582" s="1" t="n">
        <v>45376.46956018519</v>
      </c>
      <c r="C582" s="1" t="n">
        <v>46079</v>
      </c>
      <c r="D582" t="inlineStr">
        <is>
          <t>GOTLANDS LÄN</t>
        </is>
      </c>
      <c r="E582" t="inlineStr">
        <is>
          <t>GOTLAND</t>
        </is>
      </c>
      <c r="G582" t="n">
        <v>0.8</v>
      </c>
      <c r="H582" t="n">
        <v>0</v>
      </c>
      <c r="I582" t="n">
        <v>0</v>
      </c>
      <c r="J582" t="n">
        <v>0</v>
      </c>
      <c r="K582" t="n">
        <v>0</v>
      </c>
      <c r="L582" t="n">
        <v>0</v>
      </c>
      <c r="M582" t="n">
        <v>0</v>
      </c>
      <c r="N582" t="n">
        <v>0</v>
      </c>
      <c r="O582" t="n">
        <v>0</v>
      </c>
      <c r="P582" t="n">
        <v>0</v>
      </c>
      <c r="Q582" t="n">
        <v>0</v>
      </c>
      <c r="R582" s="2" t="inlineStr"/>
    </row>
    <row r="583" ht="15" customHeight="1">
      <c r="A583" t="inlineStr">
        <is>
          <t>A 20307-2025</t>
        </is>
      </c>
      <c r="B583" s="1" t="n">
        <v>45774.95546296296</v>
      </c>
      <c r="C583" s="1" t="n">
        <v>46079</v>
      </c>
      <c r="D583" t="inlineStr">
        <is>
          <t>GOTLANDS LÄN</t>
        </is>
      </c>
      <c r="E583" t="inlineStr">
        <is>
          <t>GOTLAND</t>
        </is>
      </c>
      <c r="G583" t="n">
        <v>6.8</v>
      </c>
      <c r="H583" t="n">
        <v>0</v>
      </c>
      <c r="I583" t="n">
        <v>0</v>
      </c>
      <c r="J583" t="n">
        <v>0</v>
      </c>
      <c r="K583" t="n">
        <v>0</v>
      </c>
      <c r="L583" t="n">
        <v>0</v>
      </c>
      <c r="M583" t="n">
        <v>0</v>
      </c>
      <c r="N583" t="n">
        <v>0</v>
      </c>
      <c r="O583" t="n">
        <v>0</v>
      </c>
      <c r="P583" t="n">
        <v>0</v>
      </c>
      <c r="Q583" t="n">
        <v>0</v>
      </c>
      <c r="R583" s="2" t="inlineStr"/>
    </row>
    <row r="584" ht="15" customHeight="1">
      <c r="A584" t="inlineStr">
        <is>
          <t>A 42041-2024</t>
        </is>
      </c>
      <c r="B584" s="1" t="n">
        <v>45561</v>
      </c>
      <c r="C584" s="1" t="n">
        <v>46079</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61694-2023</t>
        </is>
      </c>
      <c r="B585" s="1" t="n">
        <v>45264</v>
      </c>
      <c r="C585" s="1" t="n">
        <v>46079</v>
      </c>
      <c r="D585" t="inlineStr">
        <is>
          <t>GOTLANDS LÄN</t>
        </is>
      </c>
      <c r="E585" t="inlineStr">
        <is>
          <t>GOTLAND</t>
        </is>
      </c>
      <c r="G585" t="n">
        <v>4.6</v>
      </c>
      <c r="H585" t="n">
        <v>0</v>
      </c>
      <c r="I585" t="n">
        <v>0</v>
      </c>
      <c r="J585" t="n">
        <v>0</v>
      </c>
      <c r="K585" t="n">
        <v>0</v>
      </c>
      <c r="L585" t="n">
        <v>0</v>
      </c>
      <c r="M585" t="n">
        <v>0</v>
      </c>
      <c r="N585" t="n">
        <v>0</v>
      </c>
      <c r="O585" t="n">
        <v>0</v>
      </c>
      <c r="P585" t="n">
        <v>0</v>
      </c>
      <c r="Q585" t="n">
        <v>0</v>
      </c>
      <c r="R585" s="2" t="inlineStr"/>
    </row>
    <row r="586" ht="15" customHeight="1">
      <c r="A586" t="inlineStr">
        <is>
          <t>A 64555-2023</t>
        </is>
      </c>
      <c r="B586" s="1" t="n">
        <v>45281</v>
      </c>
      <c r="C586" s="1" t="n">
        <v>46079</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64831-2023</t>
        </is>
      </c>
      <c r="B587" s="1" t="n">
        <v>45282.44924768519</v>
      </c>
      <c r="C587" s="1" t="n">
        <v>46079</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14804-2021</t>
        </is>
      </c>
      <c r="B588" s="1" t="n">
        <v>44280</v>
      </c>
      <c r="C588" s="1" t="n">
        <v>46079</v>
      </c>
      <c r="D588" t="inlineStr">
        <is>
          <t>GOTLANDS LÄN</t>
        </is>
      </c>
      <c r="E588" t="inlineStr">
        <is>
          <t>GOTLAND</t>
        </is>
      </c>
      <c r="G588" t="n">
        <v>2.2</v>
      </c>
      <c r="H588" t="n">
        <v>0</v>
      </c>
      <c r="I588" t="n">
        <v>0</v>
      </c>
      <c r="J588" t="n">
        <v>0</v>
      </c>
      <c r="K588" t="n">
        <v>0</v>
      </c>
      <c r="L588" t="n">
        <v>0</v>
      </c>
      <c r="M588" t="n">
        <v>0</v>
      </c>
      <c r="N588" t="n">
        <v>0</v>
      </c>
      <c r="O588" t="n">
        <v>0</v>
      </c>
      <c r="P588" t="n">
        <v>0</v>
      </c>
      <c r="Q588" t="n">
        <v>0</v>
      </c>
      <c r="R588" s="2" t="inlineStr"/>
    </row>
    <row r="589" ht="15" customHeight="1">
      <c r="A589" t="inlineStr">
        <is>
          <t>A 999-2023</t>
        </is>
      </c>
      <c r="B589" s="1" t="n">
        <v>44935</v>
      </c>
      <c r="C589" s="1" t="n">
        <v>46079</v>
      </c>
      <c r="D589" t="inlineStr">
        <is>
          <t>GOTLANDS LÄN</t>
        </is>
      </c>
      <c r="E589" t="inlineStr">
        <is>
          <t>GOTLAND</t>
        </is>
      </c>
      <c r="G589" t="n">
        <v>4.7</v>
      </c>
      <c r="H589" t="n">
        <v>0</v>
      </c>
      <c r="I589" t="n">
        <v>0</v>
      </c>
      <c r="J589" t="n">
        <v>0</v>
      </c>
      <c r="K589" t="n">
        <v>0</v>
      </c>
      <c r="L589" t="n">
        <v>0</v>
      </c>
      <c r="M589" t="n">
        <v>0</v>
      </c>
      <c r="N589" t="n">
        <v>0</v>
      </c>
      <c r="O589" t="n">
        <v>0</v>
      </c>
      <c r="P589" t="n">
        <v>0</v>
      </c>
      <c r="Q589" t="n">
        <v>0</v>
      </c>
      <c r="R589" s="2" t="inlineStr"/>
    </row>
    <row r="590" ht="15" customHeight="1">
      <c r="A590" t="inlineStr">
        <is>
          <t>A 27602-2023</t>
        </is>
      </c>
      <c r="B590" s="1" t="n">
        <v>45097</v>
      </c>
      <c r="C590" s="1" t="n">
        <v>46079</v>
      </c>
      <c r="D590" t="inlineStr">
        <is>
          <t>GOTLANDS LÄN</t>
        </is>
      </c>
      <c r="E590" t="inlineStr">
        <is>
          <t>GOTLAND</t>
        </is>
      </c>
      <c r="G590" t="n">
        <v>2.7</v>
      </c>
      <c r="H590" t="n">
        <v>0</v>
      </c>
      <c r="I590" t="n">
        <v>0</v>
      </c>
      <c r="J590" t="n">
        <v>0</v>
      </c>
      <c r="K590" t="n">
        <v>0</v>
      </c>
      <c r="L590" t="n">
        <v>0</v>
      </c>
      <c r="M590" t="n">
        <v>0</v>
      </c>
      <c r="N590" t="n">
        <v>0</v>
      </c>
      <c r="O590" t="n">
        <v>0</v>
      </c>
      <c r="P590" t="n">
        <v>0</v>
      </c>
      <c r="Q590" t="n">
        <v>0</v>
      </c>
      <c r="R590" s="2" t="inlineStr"/>
    </row>
    <row r="591" ht="15" customHeight="1">
      <c r="A591" t="inlineStr">
        <is>
          <t>A 3067-2026</t>
        </is>
      </c>
      <c r="B591" s="1" t="n">
        <v>46040.59025462963</v>
      </c>
      <c r="C591" s="1" t="n">
        <v>46079</v>
      </c>
      <c r="D591" t="inlineStr">
        <is>
          <t>GOTLANDS LÄN</t>
        </is>
      </c>
      <c r="E591" t="inlineStr">
        <is>
          <t>GOTLAND</t>
        </is>
      </c>
      <c r="G591" t="n">
        <v>7.8</v>
      </c>
      <c r="H591" t="n">
        <v>0</v>
      </c>
      <c r="I591" t="n">
        <v>0</v>
      </c>
      <c r="J591" t="n">
        <v>0</v>
      </c>
      <c r="K591" t="n">
        <v>0</v>
      </c>
      <c r="L591" t="n">
        <v>0</v>
      </c>
      <c r="M591" t="n">
        <v>0</v>
      </c>
      <c r="N591" t="n">
        <v>0</v>
      </c>
      <c r="O591" t="n">
        <v>0</v>
      </c>
      <c r="P591" t="n">
        <v>0</v>
      </c>
      <c r="Q591" t="n">
        <v>0</v>
      </c>
      <c r="R591" s="2" t="inlineStr"/>
    </row>
    <row r="592" ht="15" customHeight="1">
      <c r="A592" t="inlineStr">
        <is>
          <t>A 3253-2026</t>
        </is>
      </c>
      <c r="B592" s="1" t="n">
        <v>46041.58902777778</v>
      </c>
      <c r="C592" s="1" t="n">
        <v>46079</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44955.5502662037</v>
      </c>
      <c r="C593" s="1" t="n">
        <v>46079</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44955.73359953704</v>
      </c>
      <c r="C594" s="1" t="n">
        <v>46079</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39479-2022</t>
        </is>
      </c>
      <c r="B595" s="1" t="n">
        <v>44818</v>
      </c>
      <c r="C595" s="1" t="n">
        <v>46079</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51963-2024</t>
        </is>
      </c>
      <c r="B596" s="1" t="n">
        <v>45607.64833333333</v>
      </c>
      <c r="C596" s="1" t="n">
        <v>46079</v>
      </c>
      <c r="D596" t="inlineStr">
        <is>
          <t>GOTLANDS LÄN</t>
        </is>
      </c>
      <c r="E596" t="inlineStr">
        <is>
          <t>GOTLAND</t>
        </is>
      </c>
      <c r="G596" t="n">
        <v>2.4</v>
      </c>
      <c r="H596" t="n">
        <v>0</v>
      </c>
      <c r="I596" t="n">
        <v>0</v>
      </c>
      <c r="J596" t="n">
        <v>0</v>
      </c>
      <c r="K596" t="n">
        <v>0</v>
      </c>
      <c r="L596" t="n">
        <v>0</v>
      </c>
      <c r="M596" t="n">
        <v>0</v>
      </c>
      <c r="N596" t="n">
        <v>0</v>
      </c>
      <c r="O596" t="n">
        <v>0</v>
      </c>
      <c r="P596" t="n">
        <v>0</v>
      </c>
      <c r="Q596" t="n">
        <v>0</v>
      </c>
      <c r="R596" s="2" t="inlineStr"/>
    </row>
    <row r="597" ht="15" customHeight="1">
      <c r="A597" t="inlineStr">
        <is>
          <t>A 4662-2026</t>
        </is>
      </c>
      <c r="B597" s="1" t="n">
        <v>46048.40949074074</v>
      </c>
      <c r="C597" s="1" t="n">
        <v>46079</v>
      </c>
      <c r="D597" t="inlineStr">
        <is>
          <t>GOTLANDS LÄN</t>
        </is>
      </c>
      <c r="E597" t="inlineStr">
        <is>
          <t>GOTLAND</t>
        </is>
      </c>
      <c r="G597" t="n">
        <v>7.6</v>
      </c>
      <c r="H597" t="n">
        <v>0</v>
      </c>
      <c r="I597" t="n">
        <v>0</v>
      </c>
      <c r="J597" t="n">
        <v>0</v>
      </c>
      <c r="K597" t="n">
        <v>0</v>
      </c>
      <c r="L597" t="n">
        <v>0</v>
      </c>
      <c r="M597" t="n">
        <v>0</v>
      </c>
      <c r="N597" t="n">
        <v>0</v>
      </c>
      <c r="O597" t="n">
        <v>0</v>
      </c>
      <c r="P597" t="n">
        <v>0</v>
      </c>
      <c r="Q597" t="n">
        <v>0</v>
      </c>
      <c r="R597" s="2" t="inlineStr"/>
    </row>
    <row r="598" ht="15" customHeight="1">
      <c r="A598" t="inlineStr">
        <is>
          <t>A 4634-2026</t>
        </is>
      </c>
      <c r="B598" s="1" t="n">
        <v>46048.39304398148</v>
      </c>
      <c r="C598" s="1" t="n">
        <v>46079</v>
      </c>
      <c r="D598" t="inlineStr">
        <is>
          <t>GOTLANDS LÄN</t>
        </is>
      </c>
      <c r="E598" t="inlineStr">
        <is>
          <t>GOTLAND</t>
        </is>
      </c>
      <c r="G598" t="n">
        <v>7.8</v>
      </c>
      <c r="H598" t="n">
        <v>0</v>
      </c>
      <c r="I598" t="n">
        <v>0</v>
      </c>
      <c r="J598" t="n">
        <v>0</v>
      </c>
      <c r="K598" t="n">
        <v>0</v>
      </c>
      <c r="L598" t="n">
        <v>0</v>
      </c>
      <c r="M598" t="n">
        <v>0</v>
      </c>
      <c r="N598" t="n">
        <v>0</v>
      </c>
      <c r="O598" t="n">
        <v>0</v>
      </c>
      <c r="P598" t="n">
        <v>0</v>
      </c>
      <c r="Q598" t="n">
        <v>0</v>
      </c>
      <c r="R598" s="2" t="inlineStr"/>
    </row>
    <row r="599" ht="15" customHeight="1">
      <c r="A599" t="inlineStr">
        <is>
          <t>A 4646-2026</t>
        </is>
      </c>
      <c r="B599" s="1" t="n">
        <v>46048.40357638889</v>
      </c>
      <c r="C599" s="1" t="n">
        <v>46079</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811-2023</t>
        </is>
      </c>
      <c r="B600" s="1" t="n">
        <v>44931</v>
      </c>
      <c r="C600" s="1" t="n">
        <v>46079</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4670-2026</t>
        </is>
      </c>
      <c r="B601" s="1" t="n">
        <v>46048.41733796296</v>
      </c>
      <c r="C601" s="1" t="n">
        <v>46079</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46389-2021</t>
        </is>
      </c>
      <c r="B602" s="1" t="n">
        <v>44443</v>
      </c>
      <c r="C602" s="1" t="n">
        <v>46079</v>
      </c>
      <c r="D602" t="inlineStr">
        <is>
          <t>GOTLANDS LÄN</t>
        </is>
      </c>
      <c r="E602" t="inlineStr">
        <is>
          <t>GOTLAND</t>
        </is>
      </c>
      <c r="F602" t="inlineStr">
        <is>
          <t>Kyrkan</t>
        </is>
      </c>
      <c r="G602" t="n">
        <v>2.1</v>
      </c>
      <c r="H602" t="n">
        <v>0</v>
      </c>
      <c r="I602" t="n">
        <v>0</v>
      </c>
      <c r="J602" t="n">
        <v>0</v>
      </c>
      <c r="K602" t="n">
        <v>0</v>
      </c>
      <c r="L602" t="n">
        <v>0</v>
      </c>
      <c r="M602" t="n">
        <v>0</v>
      </c>
      <c r="N602" t="n">
        <v>0</v>
      </c>
      <c r="O602" t="n">
        <v>0</v>
      </c>
      <c r="P602" t="n">
        <v>0</v>
      </c>
      <c r="Q602" t="n">
        <v>0</v>
      </c>
      <c r="R602" s="2" t="inlineStr"/>
    </row>
    <row r="603" ht="15" customHeight="1">
      <c r="A603" t="inlineStr">
        <is>
          <t>A 62066-2025</t>
        </is>
      </c>
      <c r="B603" s="1" t="n">
        <v>46006.34738425926</v>
      </c>
      <c r="C603" s="1" t="n">
        <v>46079</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4639-2026</t>
        </is>
      </c>
      <c r="B604" s="1" t="n">
        <v>46048.39880787037</v>
      </c>
      <c r="C604" s="1" t="n">
        <v>46079</v>
      </c>
      <c r="D604" t="inlineStr">
        <is>
          <t>GOTLANDS LÄN</t>
        </is>
      </c>
      <c r="E604" t="inlineStr">
        <is>
          <t>GOTLAND</t>
        </is>
      </c>
      <c r="G604" t="n">
        <v>0.8</v>
      </c>
      <c r="H604" t="n">
        <v>0</v>
      </c>
      <c r="I604" t="n">
        <v>0</v>
      </c>
      <c r="J604" t="n">
        <v>0</v>
      </c>
      <c r="K604" t="n">
        <v>0</v>
      </c>
      <c r="L604" t="n">
        <v>0</v>
      </c>
      <c r="M604" t="n">
        <v>0</v>
      </c>
      <c r="N604" t="n">
        <v>0</v>
      </c>
      <c r="O604" t="n">
        <v>0</v>
      </c>
      <c r="P604" t="n">
        <v>0</v>
      </c>
      <c r="Q604" t="n">
        <v>0</v>
      </c>
      <c r="R604" s="2" t="inlineStr"/>
    </row>
    <row r="605" ht="15" customHeight="1">
      <c r="A605" t="inlineStr">
        <is>
          <t>A 62103-2025</t>
        </is>
      </c>
      <c r="B605" s="1" t="n">
        <v>46006</v>
      </c>
      <c r="C605" s="1" t="n">
        <v>46079</v>
      </c>
      <c r="D605" t="inlineStr">
        <is>
          <t>GOTLANDS LÄN</t>
        </is>
      </c>
      <c r="E605" t="inlineStr">
        <is>
          <t>GOTLAND</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47147-2025</t>
        </is>
      </c>
      <c r="B606" s="1" t="n">
        <v>45929</v>
      </c>
      <c r="C606" s="1" t="n">
        <v>46079</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5863-2026</t>
        </is>
      </c>
      <c r="B607" s="1" t="n">
        <v>46052.36697916667</v>
      </c>
      <c r="C607" s="1" t="n">
        <v>46079</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63002-2025</t>
        </is>
      </c>
      <c r="B608" s="1" t="n">
        <v>46009.56564814815</v>
      </c>
      <c r="C608" s="1" t="n">
        <v>46079</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6218-2026</t>
        </is>
      </c>
      <c r="B609" s="1" t="n">
        <v>46055.42859953704</v>
      </c>
      <c r="C609" s="1" t="n">
        <v>46079</v>
      </c>
      <c r="D609" t="inlineStr">
        <is>
          <t>GOTLANDS LÄN</t>
        </is>
      </c>
      <c r="E609" t="inlineStr">
        <is>
          <t>GOTLAND</t>
        </is>
      </c>
      <c r="G609" t="n">
        <v>4.3</v>
      </c>
      <c r="H609" t="n">
        <v>0</v>
      </c>
      <c r="I609" t="n">
        <v>0</v>
      </c>
      <c r="J609" t="n">
        <v>0</v>
      </c>
      <c r="K609" t="n">
        <v>0</v>
      </c>
      <c r="L609" t="n">
        <v>0</v>
      </c>
      <c r="M609" t="n">
        <v>0</v>
      </c>
      <c r="N609" t="n">
        <v>0</v>
      </c>
      <c r="O609" t="n">
        <v>0</v>
      </c>
      <c r="P609" t="n">
        <v>0</v>
      </c>
      <c r="Q609" t="n">
        <v>0</v>
      </c>
      <c r="R609" s="2" t="inlineStr"/>
    </row>
    <row r="610" ht="15" customHeight="1">
      <c r="A610" t="inlineStr">
        <is>
          <t>A 54584-2025</t>
        </is>
      </c>
      <c r="B610" s="1" t="n">
        <v>45965.71788194445</v>
      </c>
      <c r="C610" s="1" t="n">
        <v>46079</v>
      </c>
      <c r="D610" t="inlineStr">
        <is>
          <t>GOTLANDS LÄN</t>
        </is>
      </c>
      <c r="E610" t="inlineStr">
        <is>
          <t>GOTLAND</t>
        </is>
      </c>
      <c r="G610" t="n">
        <v>3.5</v>
      </c>
      <c r="H610" t="n">
        <v>0</v>
      </c>
      <c r="I610" t="n">
        <v>0</v>
      </c>
      <c r="J610" t="n">
        <v>0</v>
      </c>
      <c r="K610" t="n">
        <v>0</v>
      </c>
      <c r="L610" t="n">
        <v>0</v>
      </c>
      <c r="M610" t="n">
        <v>0</v>
      </c>
      <c r="N610" t="n">
        <v>0</v>
      </c>
      <c r="O610" t="n">
        <v>0</v>
      </c>
      <c r="P610" t="n">
        <v>0</v>
      </c>
      <c r="Q610" t="n">
        <v>0</v>
      </c>
      <c r="R610" s="2" t="inlineStr"/>
    </row>
    <row r="611" ht="15" customHeight="1">
      <c r="A611" t="inlineStr">
        <is>
          <t>A 6207-2026</t>
        </is>
      </c>
      <c r="B611" s="1" t="n">
        <v>46055.42083333333</v>
      </c>
      <c r="C611" s="1" t="n">
        <v>46079</v>
      </c>
      <c r="D611" t="inlineStr">
        <is>
          <t>GOTLANDS LÄN</t>
        </is>
      </c>
      <c r="E611" t="inlineStr">
        <is>
          <t>GOTLAND</t>
        </is>
      </c>
      <c r="G611" t="n">
        <v>7.6</v>
      </c>
      <c r="H611" t="n">
        <v>0</v>
      </c>
      <c r="I611" t="n">
        <v>0</v>
      </c>
      <c r="J611" t="n">
        <v>0</v>
      </c>
      <c r="K611" t="n">
        <v>0</v>
      </c>
      <c r="L611" t="n">
        <v>0</v>
      </c>
      <c r="M611" t="n">
        <v>0</v>
      </c>
      <c r="N611" t="n">
        <v>0</v>
      </c>
      <c r="O611" t="n">
        <v>0</v>
      </c>
      <c r="P611" t="n">
        <v>0</v>
      </c>
      <c r="Q611" t="n">
        <v>0</v>
      </c>
      <c r="R611" s="2" t="inlineStr"/>
    </row>
    <row r="612" ht="15" customHeight="1">
      <c r="A612" t="inlineStr">
        <is>
          <t>A 6960-2026</t>
        </is>
      </c>
      <c r="B612" s="1" t="n">
        <v>46057.58105324074</v>
      </c>
      <c r="C612" s="1" t="n">
        <v>46079</v>
      </c>
      <c r="D612" t="inlineStr">
        <is>
          <t>GOTLANDS LÄN</t>
        </is>
      </c>
      <c r="E612" t="inlineStr">
        <is>
          <t>GOTLAND</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6959-2026</t>
        </is>
      </c>
      <c r="B613" s="1" t="n">
        <v>46057.580625</v>
      </c>
      <c r="C613" s="1" t="n">
        <v>46079</v>
      </c>
      <c r="D613" t="inlineStr">
        <is>
          <t>GOTLANDS LÄN</t>
        </is>
      </c>
      <c r="E613" t="inlineStr">
        <is>
          <t>GOTLAND</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38649-2025</t>
        </is>
      </c>
      <c r="B614" s="1" t="n">
        <v>45884</v>
      </c>
      <c r="C614" s="1" t="n">
        <v>46079</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61078-2025</t>
        </is>
      </c>
      <c r="B615" s="1" t="n">
        <v>46000</v>
      </c>
      <c r="C615" s="1" t="n">
        <v>46079</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7625-2026</t>
        </is>
      </c>
      <c r="B616" s="1" t="n">
        <v>46062.35135416667</v>
      </c>
      <c r="C616" s="1" t="n">
        <v>46079</v>
      </c>
      <c r="D616" t="inlineStr">
        <is>
          <t>GOTLANDS LÄN</t>
        </is>
      </c>
      <c r="E616" t="inlineStr">
        <is>
          <t>GOTLAND</t>
        </is>
      </c>
      <c r="G616" t="n">
        <v>2.1</v>
      </c>
      <c r="H616" t="n">
        <v>0</v>
      </c>
      <c r="I616" t="n">
        <v>0</v>
      </c>
      <c r="J616" t="n">
        <v>0</v>
      </c>
      <c r="K616" t="n">
        <v>0</v>
      </c>
      <c r="L616" t="n">
        <v>0</v>
      </c>
      <c r="M616" t="n">
        <v>0</v>
      </c>
      <c r="N616" t="n">
        <v>0</v>
      </c>
      <c r="O616" t="n">
        <v>0</v>
      </c>
      <c r="P616" t="n">
        <v>0</v>
      </c>
      <c r="Q616" t="n">
        <v>0</v>
      </c>
      <c r="R616" s="2" t="inlineStr"/>
    </row>
    <row r="617" ht="15" customHeight="1">
      <c r="A617" t="inlineStr">
        <is>
          <t>A 7627-2026</t>
        </is>
      </c>
      <c r="B617" s="1" t="n">
        <v>46062.35465277778</v>
      </c>
      <c r="C617" s="1" t="n">
        <v>46079</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36-2026</t>
        </is>
      </c>
      <c r="B618" s="1" t="n">
        <v>46024.38886574074</v>
      </c>
      <c r="C618" s="1" t="n">
        <v>46079</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62674-2025</t>
        </is>
      </c>
      <c r="B619" s="1" t="n">
        <v>46008</v>
      </c>
      <c r="C619" s="1" t="n">
        <v>46079</v>
      </c>
      <c r="D619" t="inlineStr">
        <is>
          <t>GOTLANDS LÄN</t>
        </is>
      </c>
      <c r="E619" t="inlineStr">
        <is>
          <t>GOTLAND</t>
        </is>
      </c>
      <c r="G619" t="n">
        <v>5</v>
      </c>
      <c r="H619" t="n">
        <v>0</v>
      </c>
      <c r="I619" t="n">
        <v>0</v>
      </c>
      <c r="J619" t="n">
        <v>0</v>
      </c>
      <c r="K619" t="n">
        <v>0</v>
      </c>
      <c r="L619" t="n">
        <v>0</v>
      </c>
      <c r="M619" t="n">
        <v>0</v>
      </c>
      <c r="N619" t="n">
        <v>0</v>
      </c>
      <c r="O619" t="n">
        <v>0</v>
      </c>
      <c r="P619" t="n">
        <v>0</v>
      </c>
      <c r="Q619" t="n">
        <v>0</v>
      </c>
      <c r="R619" s="2" t="inlineStr"/>
    </row>
    <row r="620" ht="15" customHeight="1">
      <c r="A620" t="inlineStr">
        <is>
          <t>A 53561-2025</t>
        </is>
      </c>
      <c r="B620" s="1" t="n">
        <v>45960.4059375</v>
      </c>
      <c r="C620" s="1" t="n">
        <v>46079</v>
      </c>
      <c r="D620" t="inlineStr">
        <is>
          <t>GOTLANDS LÄN</t>
        </is>
      </c>
      <c r="E620" t="inlineStr">
        <is>
          <t>GOTLAND</t>
        </is>
      </c>
      <c r="F620" t="inlineStr">
        <is>
          <t>Övriga Aktiebolag</t>
        </is>
      </c>
      <c r="G620" t="n">
        <v>2.4</v>
      </c>
      <c r="H620" t="n">
        <v>0</v>
      </c>
      <c r="I620" t="n">
        <v>0</v>
      </c>
      <c r="J620" t="n">
        <v>0</v>
      </c>
      <c r="K620" t="n">
        <v>0</v>
      </c>
      <c r="L620" t="n">
        <v>0</v>
      </c>
      <c r="M620" t="n">
        <v>0</v>
      </c>
      <c r="N620" t="n">
        <v>0</v>
      </c>
      <c r="O620" t="n">
        <v>0</v>
      </c>
      <c r="P620" t="n">
        <v>0</v>
      </c>
      <c r="Q620" t="n">
        <v>0</v>
      </c>
      <c r="R620" s="2" t="inlineStr"/>
    </row>
    <row r="621" ht="15" customHeight="1">
      <c r="A621" t="inlineStr">
        <is>
          <t>A 60384-2025</t>
        </is>
      </c>
      <c r="B621" s="1" t="n">
        <v>45995</v>
      </c>
      <c r="C621" s="1" t="n">
        <v>46079</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53587-2025</t>
        </is>
      </c>
      <c r="B622" s="1" t="n">
        <v>45960.43681712963</v>
      </c>
      <c r="C622" s="1" t="n">
        <v>46079</v>
      </c>
      <c r="D622" t="inlineStr">
        <is>
          <t>GOTLANDS LÄN</t>
        </is>
      </c>
      <c r="E622" t="inlineStr">
        <is>
          <t>GOTLAND</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9543-2026</t>
        </is>
      </c>
      <c r="B623" s="1" t="n">
        <v>46071.62486111111</v>
      </c>
      <c r="C623" s="1" t="n">
        <v>46079</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9521-2026</t>
        </is>
      </c>
      <c r="B624" s="1" t="n">
        <v>46071.59969907408</v>
      </c>
      <c r="C624" s="1" t="n">
        <v>46079</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9524-2026</t>
        </is>
      </c>
      <c r="B625" s="1" t="n">
        <v>46071.60108796296</v>
      </c>
      <c r="C625" s="1" t="n">
        <v>46079</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9518-2026</t>
        </is>
      </c>
      <c r="B626" s="1" t="n">
        <v>46071.59653935185</v>
      </c>
      <c r="C626" s="1" t="n">
        <v>46079</v>
      </c>
      <c r="D626" t="inlineStr">
        <is>
          <t>GOTLANDS LÄN</t>
        </is>
      </c>
      <c r="E626" t="inlineStr">
        <is>
          <t>GOTLAND</t>
        </is>
      </c>
      <c r="G626" t="n">
        <v>6.2</v>
      </c>
      <c r="H626" t="n">
        <v>0</v>
      </c>
      <c r="I626" t="n">
        <v>0</v>
      </c>
      <c r="J626" t="n">
        <v>0</v>
      </c>
      <c r="K626" t="n">
        <v>0</v>
      </c>
      <c r="L626" t="n">
        <v>0</v>
      </c>
      <c r="M626" t="n">
        <v>0</v>
      </c>
      <c r="N626" t="n">
        <v>0</v>
      </c>
      <c r="O626" t="n">
        <v>0</v>
      </c>
      <c r="P626" t="n">
        <v>0</v>
      </c>
      <c r="Q626" t="n">
        <v>0</v>
      </c>
      <c r="R626" s="2" t="inlineStr"/>
    </row>
    <row r="627" ht="15" customHeight="1">
      <c r="A627" t="inlineStr">
        <is>
          <t>A 9519-2026</t>
        </is>
      </c>
      <c r="B627" s="1" t="n">
        <v>46071.59820601852</v>
      </c>
      <c r="C627" s="1" t="n">
        <v>46079</v>
      </c>
      <c r="D627" t="inlineStr">
        <is>
          <t>GOTLANDS LÄN</t>
        </is>
      </c>
      <c r="E627" t="inlineStr">
        <is>
          <t>GOTLAND</t>
        </is>
      </c>
      <c r="G627" t="n">
        <v>4</v>
      </c>
      <c r="H627" t="n">
        <v>0</v>
      </c>
      <c r="I627" t="n">
        <v>0</v>
      </c>
      <c r="J627" t="n">
        <v>0</v>
      </c>
      <c r="K627" t="n">
        <v>0</v>
      </c>
      <c r="L627" t="n">
        <v>0</v>
      </c>
      <c r="M627" t="n">
        <v>0</v>
      </c>
      <c r="N627" t="n">
        <v>0</v>
      </c>
      <c r="O627" t="n">
        <v>0</v>
      </c>
      <c r="P627" t="n">
        <v>0</v>
      </c>
      <c r="Q627" t="n">
        <v>0</v>
      </c>
      <c r="R627" s="2" t="inlineStr"/>
    </row>
    <row r="628" ht="15" customHeight="1">
      <c r="A628" t="inlineStr">
        <is>
          <t>A 9540-2026</t>
        </is>
      </c>
      <c r="B628" s="1" t="n">
        <v>46071.61961805556</v>
      </c>
      <c r="C628" s="1" t="n">
        <v>46079</v>
      </c>
      <c r="D628" t="inlineStr">
        <is>
          <t>GOTLANDS LÄN</t>
        </is>
      </c>
      <c r="E628" t="inlineStr">
        <is>
          <t>GOTLAND</t>
        </is>
      </c>
      <c r="G628" t="n">
        <v>2.8</v>
      </c>
      <c r="H628" t="n">
        <v>0</v>
      </c>
      <c r="I628" t="n">
        <v>0</v>
      </c>
      <c r="J628" t="n">
        <v>0</v>
      </c>
      <c r="K628" t="n">
        <v>0</v>
      </c>
      <c r="L628" t="n">
        <v>0</v>
      </c>
      <c r="M628" t="n">
        <v>0</v>
      </c>
      <c r="N628" t="n">
        <v>0</v>
      </c>
      <c r="O628" t="n">
        <v>0</v>
      </c>
      <c r="P628" t="n">
        <v>0</v>
      </c>
      <c r="Q628" t="n">
        <v>0</v>
      </c>
      <c r="R628" s="2" t="inlineStr"/>
    </row>
    <row r="629" ht="15" customHeight="1">
      <c r="A629" t="inlineStr">
        <is>
          <t>A 9504-2026</t>
        </is>
      </c>
      <c r="B629" s="1" t="n">
        <v>46071.57730324074</v>
      </c>
      <c r="C629" s="1" t="n">
        <v>46079</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63105-2025</t>
        </is>
      </c>
      <c r="B630" s="1" t="n">
        <v>46009</v>
      </c>
      <c r="C630" s="1" t="n">
        <v>46079</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63152-2025</t>
        </is>
      </c>
      <c r="B631" s="1" t="n">
        <v>46010</v>
      </c>
      <c r="C631" s="1" t="n">
        <v>46079</v>
      </c>
      <c r="D631" t="inlineStr">
        <is>
          <t>GOTLANDS LÄN</t>
        </is>
      </c>
      <c r="E631" t="inlineStr">
        <is>
          <t>GOTLAND</t>
        </is>
      </c>
      <c r="G631" t="n">
        <v>1.5</v>
      </c>
      <c r="H631" t="n">
        <v>0</v>
      </c>
      <c r="I631" t="n">
        <v>0</v>
      </c>
      <c r="J631" t="n">
        <v>0</v>
      </c>
      <c r="K631" t="n">
        <v>0</v>
      </c>
      <c r="L631" t="n">
        <v>0</v>
      </c>
      <c r="M631" t="n">
        <v>0</v>
      </c>
      <c r="N631" t="n">
        <v>0</v>
      </c>
      <c r="O631" t="n">
        <v>0</v>
      </c>
      <c r="P631" t="n">
        <v>0</v>
      </c>
      <c r="Q631" t="n">
        <v>0</v>
      </c>
      <c r="R631" s="2" t="inlineStr"/>
    </row>
    <row r="632" ht="15" customHeight="1">
      <c r="A632" t="inlineStr">
        <is>
          <t>A 9901-2026</t>
        </is>
      </c>
      <c r="B632" s="1" t="n">
        <v>46073.40391203704</v>
      </c>
      <c r="C632" s="1" t="n">
        <v>46079</v>
      </c>
      <c r="D632" t="inlineStr">
        <is>
          <t>GOTLANDS LÄN</t>
        </is>
      </c>
      <c r="E632" t="inlineStr">
        <is>
          <t>GOTLAND</t>
        </is>
      </c>
      <c r="F632" t="inlineStr">
        <is>
          <t>Kyrkan</t>
        </is>
      </c>
      <c r="G632" t="n">
        <v>0.9</v>
      </c>
      <c r="H632" t="n">
        <v>0</v>
      </c>
      <c r="I632" t="n">
        <v>0</v>
      </c>
      <c r="J632" t="n">
        <v>0</v>
      </c>
      <c r="K632" t="n">
        <v>0</v>
      </c>
      <c r="L632" t="n">
        <v>0</v>
      </c>
      <c r="M632" t="n">
        <v>0</v>
      </c>
      <c r="N632" t="n">
        <v>0</v>
      </c>
      <c r="O632" t="n">
        <v>0</v>
      </c>
      <c r="P632" t="n">
        <v>0</v>
      </c>
      <c r="Q632" t="n">
        <v>0</v>
      </c>
      <c r="R632" s="2" t="inlineStr"/>
    </row>
    <row r="633" ht="15" customHeight="1">
      <c r="A633" t="inlineStr">
        <is>
          <t>A 1355-2026</t>
        </is>
      </c>
      <c r="B633" s="1" t="n">
        <v>46031.59909722222</v>
      </c>
      <c r="C633" s="1" t="n">
        <v>46079</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10486-2026</t>
        </is>
      </c>
      <c r="B634" s="1" t="n">
        <v>46077.51425925926</v>
      </c>
      <c r="C634" s="1" t="n">
        <v>46079</v>
      </c>
      <c r="D634" t="inlineStr">
        <is>
          <t>GOTLANDS LÄN</t>
        </is>
      </c>
      <c r="E634" t="inlineStr">
        <is>
          <t>GOTLAND</t>
        </is>
      </c>
      <c r="G634" t="n">
        <v>3.5</v>
      </c>
      <c r="H634" t="n">
        <v>0</v>
      </c>
      <c r="I634" t="n">
        <v>0</v>
      </c>
      <c r="J634" t="n">
        <v>0</v>
      </c>
      <c r="K634" t="n">
        <v>0</v>
      </c>
      <c r="L634" t="n">
        <v>0</v>
      </c>
      <c r="M634" t="n">
        <v>0</v>
      </c>
      <c r="N634" t="n">
        <v>0</v>
      </c>
      <c r="O634" t="n">
        <v>0</v>
      </c>
      <c r="P634" t="n">
        <v>0</v>
      </c>
      <c r="Q634" t="n">
        <v>0</v>
      </c>
      <c r="R634" s="2" t="inlineStr"/>
    </row>
    <row r="635" ht="15" customHeight="1">
      <c r="A635" t="inlineStr">
        <is>
          <t>A 62754-2025</t>
        </is>
      </c>
      <c r="B635" s="1" t="n">
        <v>46008</v>
      </c>
      <c r="C635" s="1" t="n">
        <v>46079</v>
      </c>
      <c r="D635" t="inlineStr">
        <is>
          <t>GOTLANDS LÄN</t>
        </is>
      </c>
      <c r="E635" t="inlineStr">
        <is>
          <t>GOTLAND</t>
        </is>
      </c>
      <c r="F635" t="inlineStr">
        <is>
          <t>Övriga Aktiebolag</t>
        </is>
      </c>
      <c r="G635" t="n">
        <v>2.9</v>
      </c>
      <c r="H635" t="n">
        <v>0</v>
      </c>
      <c r="I635" t="n">
        <v>0</v>
      </c>
      <c r="J635" t="n">
        <v>0</v>
      </c>
      <c r="K635" t="n">
        <v>0</v>
      </c>
      <c r="L635" t="n">
        <v>0</v>
      </c>
      <c r="M635" t="n">
        <v>0</v>
      </c>
      <c r="N635" t="n">
        <v>0</v>
      </c>
      <c r="O635" t="n">
        <v>0</v>
      </c>
      <c r="P635" t="n">
        <v>0</v>
      </c>
      <c r="Q635" t="n">
        <v>0</v>
      </c>
      <c r="R635" s="2" t="inlineStr"/>
    </row>
    <row r="636" ht="15" customHeight="1">
      <c r="A636" t="inlineStr">
        <is>
          <t>A 62836-2025</t>
        </is>
      </c>
      <c r="B636" s="1" t="n">
        <v>46008</v>
      </c>
      <c r="C636" s="1" t="n">
        <v>46079</v>
      </c>
      <c r="D636" t="inlineStr">
        <is>
          <t>GOTLANDS LÄN</t>
        </is>
      </c>
      <c r="E636" t="inlineStr">
        <is>
          <t>GOTLAND</t>
        </is>
      </c>
      <c r="G636" t="n">
        <v>6.5</v>
      </c>
      <c r="H636" t="n">
        <v>0</v>
      </c>
      <c r="I636" t="n">
        <v>0</v>
      </c>
      <c r="J636" t="n">
        <v>0</v>
      </c>
      <c r="K636" t="n">
        <v>0</v>
      </c>
      <c r="L636" t="n">
        <v>0</v>
      </c>
      <c r="M636" t="n">
        <v>0</v>
      </c>
      <c r="N636" t="n">
        <v>0</v>
      </c>
      <c r="O636" t="n">
        <v>0</v>
      </c>
      <c r="P636" t="n">
        <v>0</v>
      </c>
      <c r="Q636" t="n">
        <v>0</v>
      </c>
      <c r="R636" s="2" t="inlineStr"/>
    </row>
    <row r="637" ht="15" customHeight="1">
      <c r="A637" t="inlineStr">
        <is>
          <t>A 62751-2025</t>
        </is>
      </c>
      <c r="B637" s="1" t="n">
        <v>46008</v>
      </c>
      <c r="C637" s="1" t="n">
        <v>46079</v>
      </c>
      <c r="D637" t="inlineStr">
        <is>
          <t>GOTLANDS LÄN</t>
        </is>
      </c>
      <c r="E637" t="inlineStr">
        <is>
          <t>GOTLAND</t>
        </is>
      </c>
      <c r="F637" t="inlineStr">
        <is>
          <t>Övriga Aktiebolag</t>
        </is>
      </c>
      <c r="G637" t="n">
        <v>7.8</v>
      </c>
      <c r="H637" t="n">
        <v>0</v>
      </c>
      <c r="I637" t="n">
        <v>0</v>
      </c>
      <c r="J637" t="n">
        <v>0</v>
      </c>
      <c r="K637" t="n">
        <v>0</v>
      </c>
      <c r="L637" t="n">
        <v>0</v>
      </c>
      <c r="M637" t="n">
        <v>0</v>
      </c>
      <c r="N637" t="n">
        <v>0</v>
      </c>
      <c r="O637" t="n">
        <v>0</v>
      </c>
      <c r="P637" t="n">
        <v>0</v>
      </c>
      <c r="Q637" t="n">
        <v>0</v>
      </c>
      <c r="R637" s="2" t="inlineStr"/>
    </row>
    <row r="638" ht="15" customHeight="1">
      <c r="A638" t="inlineStr">
        <is>
          <t>A 2135-2026</t>
        </is>
      </c>
      <c r="B638" s="1" t="n">
        <v>46036</v>
      </c>
      <c r="C638" s="1" t="n">
        <v>46079</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1854-2026</t>
        </is>
      </c>
      <c r="B639" s="1" t="n">
        <v>46035.4171875</v>
      </c>
      <c r="C639" s="1" t="n">
        <v>46079</v>
      </c>
      <c r="D639" t="inlineStr">
        <is>
          <t>GOTLANDS LÄN</t>
        </is>
      </c>
      <c r="E639" t="inlineStr">
        <is>
          <t>GOTLAND</t>
        </is>
      </c>
      <c r="G639" t="n">
        <v>3</v>
      </c>
      <c r="H639" t="n">
        <v>0</v>
      </c>
      <c r="I639" t="n">
        <v>0</v>
      </c>
      <c r="J639" t="n">
        <v>0</v>
      </c>
      <c r="K639" t="n">
        <v>0</v>
      </c>
      <c r="L639" t="n">
        <v>0</v>
      </c>
      <c r="M639" t="n">
        <v>0</v>
      </c>
      <c r="N639" t="n">
        <v>0</v>
      </c>
      <c r="O639" t="n">
        <v>0</v>
      </c>
      <c r="P639" t="n">
        <v>0</v>
      </c>
      <c r="Q639" t="n">
        <v>0</v>
      </c>
      <c r="R639" s="2" t="inlineStr"/>
    </row>
    <row r="640" ht="15" customHeight="1">
      <c r="A640" t="inlineStr">
        <is>
          <t>A 10284-2026</t>
        </is>
      </c>
      <c r="B640" s="1" t="n">
        <v>46076</v>
      </c>
      <c r="C640" s="1" t="n">
        <v>46079</v>
      </c>
      <c r="D640" t="inlineStr">
        <is>
          <t>GOTLANDS LÄN</t>
        </is>
      </c>
      <c r="E640" t="inlineStr">
        <is>
          <t>GOTLAND</t>
        </is>
      </c>
      <c r="G640" t="n">
        <v>5.2</v>
      </c>
      <c r="H640" t="n">
        <v>0</v>
      </c>
      <c r="I640" t="n">
        <v>0</v>
      </c>
      <c r="J640" t="n">
        <v>0</v>
      </c>
      <c r="K640" t="n">
        <v>0</v>
      </c>
      <c r="L640" t="n">
        <v>0</v>
      </c>
      <c r="M640" t="n">
        <v>0</v>
      </c>
      <c r="N640" t="n">
        <v>0</v>
      </c>
      <c r="O640" t="n">
        <v>0</v>
      </c>
      <c r="P640" t="n">
        <v>0</v>
      </c>
      <c r="Q640" t="n">
        <v>0</v>
      </c>
      <c r="R640" s="2" t="inlineStr"/>
    </row>
    <row r="641" ht="15" customHeight="1">
      <c r="A641" t="inlineStr">
        <is>
          <t>A 1898-2026</t>
        </is>
      </c>
      <c r="B641" s="1" t="n">
        <v>46035.52024305556</v>
      </c>
      <c r="C641" s="1" t="n">
        <v>46079</v>
      </c>
      <c r="D641" t="inlineStr">
        <is>
          <t>GOTLANDS LÄN</t>
        </is>
      </c>
      <c r="E641" t="inlineStr">
        <is>
          <t>GOTLAND</t>
        </is>
      </c>
      <c r="G641" t="n">
        <v>3.7</v>
      </c>
      <c r="H641" t="n">
        <v>0</v>
      </c>
      <c r="I641" t="n">
        <v>0</v>
      </c>
      <c r="J641" t="n">
        <v>0</v>
      </c>
      <c r="K641" t="n">
        <v>0</v>
      </c>
      <c r="L641" t="n">
        <v>0</v>
      </c>
      <c r="M641" t="n">
        <v>0</v>
      </c>
      <c r="N641" t="n">
        <v>0</v>
      </c>
      <c r="O641" t="n">
        <v>0</v>
      </c>
      <c r="P641" t="n">
        <v>0</v>
      </c>
      <c r="Q641" t="n">
        <v>0</v>
      </c>
      <c r="R641" s="2" t="inlineStr"/>
    </row>
    <row r="642" ht="15" customHeight="1">
      <c r="A642" t="inlineStr">
        <is>
          <t>A 2134-2026</t>
        </is>
      </c>
      <c r="B642" s="1" t="n">
        <v>46036</v>
      </c>
      <c r="C642" s="1" t="n">
        <v>46079</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63000-2025</t>
        </is>
      </c>
      <c r="B643" s="1" t="n">
        <v>46009</v>
      </c>
      <c r="C643" s="1" t="n">
        <v>46079</v>
      </c>
      <c r="D643" t="inlineStr">
        <is>
          <t>GOTLANDS LÄN</t>
        </is>
      </c>
      <c r="E643" t="inlineStr">
        <is>
          <t>GOTLAND</t>
        </is>
      </c>
      <c r="F643" t="inlineStr">
        <is>
          <t>Övriga Aktiebolag</t>
        </is>
      </c>
      <c r="G643" t="n">
        <v>1.7</v>
      </c>
      <c r="H643" t="n">
        <v>0</v>
      </c>
      <c r="I643" t="n">
        <v>0</v>
      </c>
      <c r="J643" t="n">
        <v>0</v>
      </c>
      <c r="K643" t="n">
        <v>0</v>
      </c>
      <c r="L643" t="n">
        <v>0</v>
      </c>
      <c r="M643" t="n">
        <v>0</v>
      </c>
      <c r="N643" t="n">
        <v>0</v>
      </c>
      <c r="O643" t="n">
        <v>0</v>
      </c>
      <c r="P643" t="n">
        <v>0</v>
      </c>
      <c r="Q643" t="n">
        <v>0</v>
      </c>
      <c r="R643" s="2" t="inlineStr"/>
    </row>
    <row r="644">
      <c r="A644" t="inlineStr">
        <is>
          <t>A 1839-2026</t>
        </is>
      </c>
      <c r="B644" s="1" t="n">
        <v>46035.3942824074</v>
      </c>
      <c r="C644" s="1" t="n">
        <v>46079</v>
      </c>
      <c r="D644" t="inlineStr">
        <is>
          <t>GOTLANDS LÄN</t>
        </is>
      </c>
      <c r="E644" t="inlineStr">
        <is>
          <t>GOTLAND</t>
        </is>
      </c>
      <c r="G644" t="n">
        <v>3.5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2026-02-26T11:18:31Z</dcterms:created>
  <dcterms:modified xmlns:dcterms="http://purl.org/dc/terms/" xmlns:xsi="http://www.w3.org/2001/XMLSchema-instance" xsi:type="dcterms:W3CDTF">2026-02-26T11:18:31Z</dcterms:modified>
</cp:coreProperties>
</file>