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45975</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45975</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45975</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45975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45975</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45975</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45975</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45975</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45975</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45975</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45975</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45975</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45975</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45975</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62132-2023</t>
        </is>
      </c>
      <c r="B28" s="1" t="n">
        <v>45267</v>
      </c>
      <c r="C28" s="1" t="n">
        <v>45975</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15629-2024</t>
        </is>
      </c>
      <c r="B29" s="1" t="n">
        <v>45402.78372685185</v>
      </c>
      <c r="C29" s="1" t="n">
        <v>45975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45975</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45975</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45975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45975</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45975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45975</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45975</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45975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45975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45975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45975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45975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45975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45975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45975</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45975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45975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45975</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45975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17766-2024</t>
        </is>
      </c>
      <c r="B50" s="1" t="n">
        <v>45418</v>
      </c>
      <c r="C50" s="1" t="n">
        <v>45975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45975</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45975</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45975</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59132-2024</t>
        </is>
      </c>
      <c r="B54" s="1" t="n">
        <v>45637</v>
      </c>
      <c r="C54" s="1" t="n">
        <v>45975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45975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45975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45975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45975</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45975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45975</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27280-2023</t>
        </is>
      </c>
      <c r="B61" s="1" t="n">
        <v>45096</v>
      </c>
      <c r="C61" s="1" t="n">
        <v>45975</v>
      </c>
      <c r="D61" t="inlineStr">
        <is>
          <t>GOTLANDS LÄN</t>
        </is>
      </c>
      <c r="E61" t="inlineStr">
        <is>
          <t>GOTLAND</t>
        </is>
      </c>
      <c r="G61" t="n">
        <v>2.7</v>
      </c>
      <c r="H61" t="n">
        <v>7</v>
      </c>
      <c r="I61" t="n">
        <v>2</v>
      </c>
      <c r="J61" t="n">
        <v>1</v>
      </c>
      <c r="K61" t="n">
        <v>0</v>
      </c>
      <c r="L61" t="n">
        <v>0</v>
      </c>
      <c r="M61" t="n">
        <v>0</v>
      </c>
      <c r="N61" t="n">
        <v>0</v>
      </c>
      <c r="O61" t="n">
        <v>1</v>
      </c>
      <c r="P61" t="n">
        <v>0</v>
      </c>
      <c r="Q61" t="n">
        <v>7</v>
      </c>
      <c r="R61" s="2" t="inlineStr">
        <is>
          <t>Mindre hackspett
Skogsknipprot
Tvåblad
Brudsporre
Fläcknycklar
Grönvit nattviol
Nattviol</t>
        </is>
      </c>
      <c r="S61">
        <f>HYPERLINK("https://klasma.github.io/Logging_0980/artfynd/A 27280-2023 artfynd.xlsx", "A 27280-2023")</f>
        <v/>
      </c>
      <c r="T61">
        <f>HYPERLINK("https://klasma.github.io/Logging_0980/kartor/A 27280-2023 karta.png", "A 27280-2023")</f>
        <v/>
      </c>
      <c r="V61">
        <f>HYPERLINK("https://klasma.github.io/Logging_0980/klagomål/A 27280-2023 FSC-klagomål.docx", "A 27280-2023")</f>
        <v/>
      </c>
      <c r="W61">
        <f>HYPERLINK("https://klasma.github.io/Logging_0980/klagomålsmail/A 27280-2023 FSC-klagomål mail.docx", "A 27280-2023")</f>
        <v/>
      </c>
      <c r="X61">
        <f>HYPERLINK("https://klasma.github.io/Logging_0980/tillsyn/A 27280-2023 tillsynsbegäran.docx", "A 27280-2023")</f>
        <v/>
      </c>
      <c r="Y61">
        <f>HYPERLINK("https://klasma.github.io/Logging_0980/tillsynsmail/A 27280-2023 tillsynsbegäran mail.docx", "A 27280-2023")</f>
        <v/>
      </c>
      <c r="Z61">
        <f>HYPERLINK("https://klasma.github.io/Logging_0980/fåglar/A 27280-2023 prioriterade fågelarter.docx", "A 27280-2023")</f>
        <v/>
      </c>
    </row>
    <row r="62" ht="15" customHeight="1">
      <c r="A62" t="inlineStr">
        <is>
          <t>A 34142-2024</t>
        </is>
      </c>
      <c r="B62" s="1" t="n">
        <v>45524.36521990741</v>
      </c>
      <c r="C62" s="1" t="n">
        <v>45975</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4984-2025</t>
        </is>
      </c>
      <c r="B63" s="1" t="n">
        <v>45691.29891203704</v>
      </c>
      <c r="C63" s="1" t="n">
        <v>45975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45248-2024</t>
        </is>
      </c>
      <c r="B64" s="1" t="n">
        <v>45576</v>
      </c>
      <c r="C64" s="1" t="n">
        <v>45975</v>
      </c>
      <c r="D64" t="inlineStr">
        <is>
          <t>GOTLANDS LÄN</t>
        </is>
      </c>
      <c r="E64" t="inlineStr">
        <is>
          <t>GOTLAND</t>
        </is>
      </c>
      <c r="G64" t="n">
        <v>9.4</v>
      </c>
      <c r="H64" t="n">
        <v>0</v>
      </c>
      <c r="I64" t="n">
        <v>3</v>
      </c>
      <c r="J64" t="n">
        <v>1</v>
      </c>
      <c r="K64" t="n">
        <v>1</v>
      </c>
      <c r="L64" t="n">
        <v>1</v>
      </c>
      <c r="M64" t="n">
        <v>1</v>
      </c>
      <c r="N64" t="n">
        <v>0</v>
      </c>
      <c r="O64" t="n">
        <v>4</v>
      </c>
      <c r="P64" t="n">
        <v>3</v>
      </c>
      <c r="Q64" t="n">
        <v>7</v>
      </c>
      <c r="R64" s="2" t="inlineStr">
        <is>
          <t>Lundalm
Ask
Mjölspindling
Oxtungssvamp
Myskmadra
Stinkbrosking
Underviol</t>
        </is>
      </c>
      <c r="S64">
        <f>HYPERLINK("https://klasma.github.io/Logging_0980/artfynd/A 45248-2024 artfynd.xlsx", "A 45248-2024")</f>
        <v/>
      </c>
      <c r="T64">
        <f>HYPERLINK("https://klasma.github.io/Logging_0980/kartor/A 45248-2024 karta.png", "A 45248-2024")</f>
        <v/>
      </c>
      <c r="V64">
        <f>HYPERLINK("https://klasma.github.io/Logging_0980/klagomål/A 45248-2024 FSC-klagomål.docx", "A 45248-2024")</f>
        <v/>
      </c>
      <c r="W64">
        <f>HYPERLINK("https://klasma.github.io/Logging_0980/klagomålsmail/A 45248-2024 FSC-klagomål mail.docx", "A 45248-2024")</f>
        <v/>
      </c>
      <c r="X64">
        <f>HYPERLINK("https://klasma.github.io/Logging_0980/tillsyn/A 45248-2024 tillsynsbegäran.docx", "A 45248-2024")</f>
        <v/>
      </c>
      <c r="Y64">
        <f>HYPERLINK("https://klasma.github.io/Logging_0980/tillsynsmail/A 45248-2024 tillsynsbegäran mail.docx", "A 45248-2024")</f>
        <v/>
      </c>
    </row>
    <row r="65" ht="15" customHeight="1">
      <c r="A65" t="inlineStr">
        <is>
          <t>A 18541-2024</t>
        </is>
      </c>
      <c r="B65" s="1" t="n">
        <v>45425</v>
      </c>
      <c r="C65" s="1" t="n">
        <v>45975</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10419-2025</t>
        </is>
      </c>
      <c r="B66" s="1" t="n">
        <v>45720</v>
      </c>
      <c r="C66" s="1" t="n">
        <v>45975</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45975</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45975</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446-2023</t>
        </is>
      </c>
      <c r="B69" s="1" t="n">
        <v>44929</v>
      </c>
      <c r="C69" s="1" t="n">
        <v>45975</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54527-2023</t>
        </is>
      </c>
      <c r="B70" s="1" t="n">
        <v>45233</v>
      </c>
      <c r="C70" s="1" t="n">
        <v>45975</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65819-2020</t>
        </is>
      </c>
      <c r="B71" s="1" t="n">
        <v>44174</v>
      </c>
      <c r="C71" s="1" t="n">
        <v>45975</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54527-2023</t>
        </is>
      </c>
      <c r="B72" s="1" t="n">
        <v>45233</v>
      </c>
      <c r="C72" s="1" t="n">
        <v>45975</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7038-2023</t>
        </is>
      </c>
      <c r="B73" s="1" t="n">
        <v>44968</v>
      </c>
      <c r="C73" s="1" t="n">
        <v>45975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53584-2025</t>
        </is>
      </c>
      <c r="B74" s="1" t="n">
        <v>45960.43130787037</v>
      </c>
      <c r="C74" s="1" t="n">
        <v>45975</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16823-2024</t>
        </is>
      </c>
      <c r="B75" s="1" t="n">
        <v>45411</v>
      </c>
      <c r="C75" s="1" t="n">
        <v>45975</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66091-2021</t>
        </is>
      </c>
      <c r="B76" s="1" t="n">
        <v>44517</v>
      </c>
      <c r="C76" s="1" t="n">
        <v>45975</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45975</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39425-2023</t>
        </is>
      </c>
      <c r="B78" s="1" t="n">
        <v>45166</v>
      </c>
      <c r="C78" s="1" t="n">
        <v>45975</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42936-2024</t>
        </is>
      </c>
      <c r="B79" s="1" t="n">
        <v>45567</v>
      </c>
      <c r="C79" s="1" t="n">
        <v>45975</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2213-2023</t>
        </is>
      </c>
      <c r="B80" s="1" t="n">
        <v>44942</v>
      </c>
      <c r="C80" s="1" t="n">
        <v>45975</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32326-2024</t>
        </is>
      </c>
      <c r="B81" s="1" t="n">
        <v>45512</v>
      </c>
      <c r="C81" s="1" t="n">
        <v>45975</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45975</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44944-2022</t>
        </is>
      </c>
      <c r="B83" s="1" t="n">
        <v>44841</v>
      </c>
      <c r="C83" s="1" t="n">
        <v>45975</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35293-2025</t>
        </is>
      </c>
      <c r="B84" s="1" t="n">
        <v>45854.39438657407</v>
      </c>
      <c r="C84" s="1" t="n">
        <v>45975</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29331-2021</t>
        </is>
      </c>
      <c r="B85" s="1" t="n">
        <v>44361</v>
      </c>
      <c r="C85" s="1" t="n">
        <v>45975</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54523-2023</t>
        </is>
      </c>
      <c r="B86" s="1" t="n">
        <v>45233</v>
      </c>
      <c r="C86" s="1" t="n">
        <v>45975</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45975</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44933-2022</t>
        </is>
      </c>
      <c r="B88" s="1" t="n">
        <v>44841</v>
      </c>
      <c r="C88" s="1" t="n">
        <v>45975</v>
      </c>
      <c r="D88" t="inlineStr">
        <is>
          <t>GOTLANDS LÄN</t>
        </is>
      </c>
      <c r="E88" t="inlineStr">
        <is>
          <t>GOTLAND</t>
        </is>
      </c>
      <c r="G88" t="n">
        <v>4.5</v>
      </c>
      <c r="H88" t="n">
        <v>1</v>
      </c>
      <c r="I88" t="n">
        <v>2</v>
      </c>
      <c r="J88" t="n">
        <v>2</v>
      </c>
      <c r="K88" t="n">
        <v>0</v>
      </c>
      <c r="L88" t="n">
        <v>0</v>
      </c>
      <c r="M88" t="n">
        <v>0</v>
      </c>
      <c r="N88" t="n">
        <v>0</v>
      </c>
      <c r="O88" t="n">
        <v>2</v>
      </c>
      <c r="P88" t="n">
        <v>0</v>
      </c>
      <c r="Q88" t="n">
        <v>4</v>
      </c>
      <c r="R88" s="2" t="inlineStr">
        <is>
          <t>Ekvaxskivling
Odörspindling
Skarp dropptaggsvamp
Skogsknipprot</t>
        </is>
      </c>
      <c r="S88">
        <f>HYPERLINK("https://klasma.github.io/Logging_0980/artfynd/A 44933-2022 artfynd.xlsx", "A 44933-2022")</f>
        <v/>
      </c>
      <c r="T88">
        <f>HYPERLINK("https://klasma.github.io/Logging_0980/kartor/A 44933-2022 karta.png", "A 44933-2022")</f>
        <v/>
      </c>
      <c r="V88">
        <f>HYPERLINK("https://klasma.github.io/Logging_0980/klagomål/A 44933-2022 FSC-klagomål.docx", "A 44933-2022")</f>
        <v/>
      </c>
      <c r="W88">
        <f>HYPERLINK("https://klasma.github.io/Logging_0980/klagomålsmail/A 44933-2022 FSC-klagomål mail.docx", "A 44933-2022")</f>
        <v/>
      </c>
      <c r="X88">
        <f>HYPERLINK("https://klasma.github.io/Logging_0980/tillsyn/A 44933-2022 tillsynsbegäran.docx", "A 44933-2022")</f>
        <v/>
      </c>
      <c r="Y88">
        <f>HYPERLINK("https://klasma.github.io/Logging_0980/tillsynsmail/A 44933-2022 tillsynsbegäran mail.docx", "A 44933-2022")</f>
        <v/>
      </c>
    </row>
    <row r="89" ht="15" customHeight="1">
      <c r="A89" t="inlineStr">
        <is>
          <t>A 43197-2023</t>
        </is>
      </c>
      <c r="B89" s="1" t="n">
        <v>45183</v>
      </c>
      <c r="C89" s="1" t="n">
        <v>45975</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8265-2023</t>
        </is>
      </c>
      <c r="B90" s="1" t="n">
        <v>44974</v>
      </c>
      <c r="C90" s="1" t="n">
        <v>45975</v>
      </c>
      <c r="D90" t="inlineStr">
        <is>
          <t>GOTLANDS LÄN</t>
        </is>
      </c>
      <c r="E90" t="inlineStr">
        <is>
          <t>GOTLAND</t>
        </is>
      </c>
      <c r="G90" t="n">
        <v>3.3</v>
      </c>
      <c r="H90" t="n">
        <v>4</v>
      </c>
      <c r="I90" t="n">
        <v>3</v>
      </c>
      <c r="J90" t="n">
        <v>0</v>
      </c>
      <c r="K90" t="n">
        <v>0</v>
      </c>
      <c r="L90" t="n">
        <v>0</v>
      </c>
      <c r="M90" t="n">
        <v>0</v>
      </c>
      <c r="N90" t="n">
        <v>0</v>
      </c>
      <c r="O90" t="n">
        <v>0</v>
      </c>
      <c r="P90" t="n">
        <v>0</v>
      </c>
      <c r="Q90" t="n">
        <v>4</v>
      </c>
      <c r="R90" s="2" t="inlineStr">
        <is>
          <t>Flugblomster
Purpurknipprot
Tvåblad
Salepsrot</t>
        </is>
      </c>
      <c r="S90">
        <f>HYPERLINK("https://klasma.github.io/Logging_0980/artfynd/A 8265-2023 artfynd.xlsx", "A 8265-2023")</f>
        <v/>
      </c>
      <c r="T90">
        <f>HYPERLINK("https://klasma.github.io/Logging_0980/kartor/A 8265-2023 karta.png", "A 8265-2023")</f>
        <v/>
      </c>
      <c r="V90">
        <f>HYPERLINK("https://klasma.github.io/Logging_0980/klagomål/A 8265-2023 FSC-klagomål.docx", "A 8265-2023")</f>
        <v/>
      </c>
      <c r="W90">
        <f>HYPERLINK("https://klasma.github.io/Logging_0980/klagomålsmail/A 8265-2023 FSC-klagomål mail.docx", "A 8265-2023")</f>
        <v/>
      </c>
      <c r="X90">
        <f>HYPERLINK("https://klasma.github.io/Logging_0980/tillsyn/A 8265-2023 tillsynsbegäran.docx", "A 8265-2023")</f>
        <v/>
      </c>
      <c r="Y90">
        <f>HYPERLINK("https://klasma.github.io/Logging_0980/tillsynsmail/A 8265-2023 tillsynsbegäran mail.docx", "A 8265-2023")</f>
        <v/>
      </c>
    </row>
    <row r="91" ht="15" customHeight="1">
      <c r="A91" t="inlineStr">
        <is>
          <t>A 1971-2023</t>
        </is>
      </c>
      <c r="B91" s="1" t="n">
        <v>44939</v>
      </c>
      <c r="C91" s="1" t="n">
        <v>45975</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186-2023</t>
        </is>
      </c>
      <c r="B92" s="1" t="n">
        <v>44928</v>
      </c>
      <c r="C92" s="1" t="n">
        <v>45975</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56717-2024</t>
        </is>
      </c>
      <c r="B93" s="1" t="n">
        <v>45628.3166550926</v>
      </c>
      <c r="C93" s="1" t="n">
        <v>45975</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64378-2020</t>
        </is>
      </c>
      <c r="B94" s="1" t="n">
        <v>44168</v>
      </c>
      <c r="C94" s="1" t="n">
        <v>45975</v>
      </c>
      <c r="D94" t="inlineStr">
        <is>
          <t>GOTLANDS LÄN</t>
        </is>
      </c>
      <c r="E94" t="inlineStr">
        <is>
          <t>GOTLAND</t>
        </is>
      </c>
      <c r="G94" t="n">
        <v>2.1</v>
      </c>
      <c r="H94" t="n">
        <v>0</v>
      </c>
      <c r="I94" t="n">
        <v>1</v>
      </c>
      <c r="J94" t="n">
        <v>0</v>
      </c>
      <c r="K94" t="n">
        <v>2</v>
      </c>
      <c r="L94" t="n">
        <v>1</v>
      </c>
      <c r="M94" t="n">
        <v>0</v>
      </c>
      <c r="N94" t="n">
        <v>0</v>
      </c>
      <c r="O94" t="n">
        <v>3</v>
      </c>
      <c r="P94" t="n">
        <v>3</v>
      </c>
      <c r="Q94" t="n">
        <v>4</v>
      </c>
      <c r="R94" s="2" t="inlineStr">
        <is>
          <t>Sienamusseron
Bitter taggsvamp
Duvspindling
Fjällig taggsvamp s.str.</t>
        </is>
      </c>
      <c r="S94">
        <f>HYPERLINK("https://klasma.github.io/Logging_0980/artfynd/A 64378-2020 artfynd.xlsx", "A 64378-2020")</f>
        <v/>
      </c>
      <c r="T94">
        <f>HYPERLINK("https://klasma.github.io/Logging_0980/kartor/A 64378-2020 karta.png", "A 64378-2020")</f>
        <v/>
      </c>
      <c r="V94">
        <f>HYPERLINK("https://klasma.github.io/Logging_0980/klagomål/A 64378-2020 FSC-klagomål.docx", "A 64378-2020")</f>
        <v/>
      </c>
      <c r="W94">
        <f>HYPERLINK("https://klasma.github.io/Logging_0980/klagomålsmail/A 64378-2020 FSC-klagomål mail.docx", "A 64378-2020")</f>
        <v/>
      </c>
      <c r="X94">
        <f>HYPERLINK("https://klasma.github.io/Logging_0980/tillsyn/A 64378-2020 tillsynsbegäran.docx", "A 64378-2020")</f>
        <v/>
      </c>
      <c r="Y94">
        <f>HYPERLINK("https://klasma.github.io/Logging_0980/tillsynsmail/A 64378-2020 tillsynsbegäran mail.docx", "A 64378-2020")</f>
        <v/>
      </c>
    </row>
    <row r="95" ht="15" customHeight="1">
      <c r="A95" t="inlineStr">
        <is>
          <t>A 2485-2025</t>
        </is>
      </c>
      <c r="B95" s="1" t="n">
        <v>45673</v>
      </c>
      <c r="C95" s="1" t="n">
        <v>45975</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5904-2024</t>
        </is>
      </c>
      <c r="B96" s="1" t="n">
        <v>45335</v>
      </c>
      <c r="C96" s="1" t="n">
        <v>45975</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40099-2025</t>
        </is>
      </c>
      <c r="B97" s="1" t="n">
        <v>45894.48462962963</v>
      </c>
      <c r="C97" s="1" t="n">
        <v>45975</v>
      </c>
      <c r="D97" t="inlineStr">
        <is>
          <t>GOTLANDS LÄN</t>
        </is>
      </c>
      <c r="E97" t="inlineStr">
        <is>
          <t>GOTLAND</t>
        </is>
      </c>
      <c r="G97" t="n">
        <v>6.5</v>
      </c>
      <c r="H97" t="n">
        <v>0</v>
      </c>
      <c r="I97" t="n">
        <v>3</v>
      </c>
      <c r="J97" t="n">
        <v>0</v>
      </c>
      <c r="K97" t="n">
        <v>1</v>
      </c>
      <c r="L97" t="n">
        <v>0</v>
      </c>
      <c r="M97" t="n">
        <v>0</v>
      </c>
      <c r="N97" t="n">
        <v>0</v>
      </c>
      <c r="O97" t="n">
        <v>1</v>
      </c>
      <c r="P97" t="n">
        <v>1</v>
      </c>
      <c r="Q97" t="n">
        <v>4</v>
      </c>
      <c r="R97" s="2" t="inlineStr">
        <is>
          <t>Mörkfjällig olivspindling
Fjällig taggsvamp s.str.
Olivspindling
Svavelriska</t>
        </is>
      </c>
      <c r="S97">
        <f>HYPERLINK("https://klasma.github.io/Logging_0980/artfynd/A 40099-2025 artfynd.xlsx", "A 40099-2025")</f>
        <v/>
      </c>
      <c r="T97">
        <f>HYPERLINK("https://klasma.github.io/Logging_0980/kartor/A 40099-2025 karta.png", "A 40099-2025")</f>
        <v/>
      </c>
      <c r="V97">
        <f>HYPERLINK("https://klasma.github.io/Logging_0980/klagomål/A 40099-2025 FSC-klagomål.docx", "A 40099-2025")</f>
        <v/>
      </c>
      <c r="W97">
        <f>HYPERLINK("https://klasma.github.io/Logging_0980/klagomålsmail/A 40099-2025 FSC-klagomål mail.docx", "A 40099-2025")</f>
        <v/>
      </c>
      <c r="X97">
        <f>HYPERLINK("https://klasma.github.io/Logging_0980/tillsyn/A 40099-2025 tillsynsbegäran.docx", "A 40099-2025")</f>
        <v/>
      </c>
      <c r="Y97">
        <f>HYPERLINK("https://klasma.github.io/Logging_0980/tillsynsmail/A 40099-2025 tillsynsbegäran mail.docx", "A 40099-2025")</f>
        <v/>
      </c>
    </row>
    <row r="98" ht="15" customHeight="1">
      <c r="A98" t="inlineStr">
        <is>
          <t>A 52309-2025</t>
        </is>
      </c>
      <c r="B98" s="1" t="n">
        <v>45953.64381944444</v>
      </c>
      <c r="C98" s="1" t="n">
        <v>45975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52250-2025</t>
        </is>
      </c>
      <c r="B99" s="1" t="n">
        <v>45953.48998842593</v>
      </c>
      <c r="C99" s="1" t="n">
        <v>45975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20833-2024</t>
        </is>
      </c>
      <c r="B100" s="1" t="n">
        <v>45439</v>
      </c>
      <c r="C100" s="1" t="n">
        <v>45975</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65537-2020</t>
        </is>
      </c>
      <c r="B101" s="1" t="n">
        <v>44173</v>
      </c>
      <c r="C101" s="1" t="n">
        <v>45975</v>
      </c>
      <c r="D101" t="inlineStr">
        <is>
          <t>GOTLANDS LÄN</t>
        </is>
      </c>
      <c r="E101" t="inlineStr">
        <is>
          <t>GOTLAND</t>
        </is>
      </c>
      <c r="G101" t="n">
        <v>1.6</v>
      </c>
      <c r="H101" t="n">
        <v>0</v>
      </c>
      <c r="I101" t="n">
        <v>0</v>
      </c>
      <c r="J101" t="n">
        <v>3</v>
      </c>
      <c r="K101" t="n">
        <v>0</v>
      </c>
      <c r="L101" t="n">
        <v>0</v>
      </c>
      <c r="M101" t="n">
        <v>0</v>
      </c>
      <c r="N101" t="n">
        <v>0</v>
      </c>
      <c r="O101" t="n">
        <v>3</v>
      </c>
      <c r="P101" t="n">
        <v>0</v>
      </c>
      <c r="Q101" t="n">
        <v>3</v>
      </c>
      <c r="R101" s="2" t="inlineStr">
        <is>
          <t>Axveronika
Backtimjan
Solvända</t>
        </is>
      </c>
      <c r="S101">
        <f>HYPERLINK("https://klasma.github.io/Logging_0980/artfynd/A 65537-2020 artfynd.xlsx", "A 65537-2020")</f>
        <v/>
      </c>
      <c r="T101">
        <f>HYPERLINK("https://klasma.github.io/Logging_0980/kartor/A 65537-2020 karta.png", "A 65537-2020")</f>
        <v/>
      </c>
      <c r="V101">
        <f>HYPERLINK("https://klasma.github.io/Logging_0980/klagomål/A 65537-2020 FSC-klagomål.docx", "A 65537-2020")</f>
        <v/>
      </c>
      <c r="W101">
        <f>HYPERLINK("https://klasma.github.io/Logging_0980/klagomålsmail/A 65537-2020 FSC-klagomål mail.docx", "A 65537-2020")</f>
        <v/>
      </c>
      <c r="X101">
        <f>HYPERLINK("https://klasma.github.io/Logging_0980/tillsyn/A 65537-2020 tillsynsbegäran.docx", "A 65537-2020")</f>
        <v/>
      </c>
      <c r="Y101">
        <f>HYPERLINK("https://klasma.github.io/Logging_0980/tillsynsmail/A 65537-2020 tillsynsbegäran mail.docx", "A 65537-2020")</f>
        <v/>
      </c>
    </row>
    <row r="102" ht="15" customHeight="1">
      <c r="A102" t="inlineStr">
        <is>
          <t>A 44323-2021</t>
        </is>
      </c>
      <c r="B102" s="1" t="n">
        <v>44434</v>
      </c>
      <c r="C102" s="1" t="n">
        <v>45975</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45975</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32718-2021</t>
        </is>
      </c>
      <c r="B104" s="1" t="n">
        <v>44375</v>
      </c>
      <c r="C104" s="1" t="n">
        <v>45975</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12519-2021</t>
        </is>
      </c>
      <c r="B105" s="1" t="n">
        <v>44269</v>
      </c>
      <c r="C105" s="1" t="n">
        <v>45975</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2332-2021</t>
        </is>
      </c>
      <c r="B106" s="1" t="n">
        <v>44214</v>
      </c>
      <c r="C106" s="1" t="n">
        <v>45975</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48126-2022</t>
        </is>
      </c>
      <c r="B107" s="1" t="n">
        <v>44857</v>
      </c>
      <c r="C107" s="1" t="n">
        <v>45975</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17982-2023</t>
        </is>
      </c>
      <c r="B108" s="1" t="n">
        <v>45040</v>
      </c>
      <c r="C108" s="1" t="n">
        <v>45975</v>
      </c>
      <c r="D108" t="inlineStr">
        <is>
          <t>GOTLANDS LÄN</t>
        </is>
      </c>
      <c r="E108" t="inlineStr">
        <is>
          <t>GOTLAND</t>
        </is>
      </c>
      <c r="G108" t="n">
        <v>2.2</v>
      </c>
      <c r="H108" t="n">
        <v>0</v>
      </c>
      <c r="I108" t="n">
        <v>0</v>
      </c>
      <c r="J108" t="n">
        <v>2</v>
      </c>
      <c r="K108" t="n">
        <v>0</v>
      </c>
      <c r="L108" t="n">
        <v>0</v>
      </c>
      <c r="M108" t="n">
        <v>1</v>
      </c>
      <c r="N108" t="n">
        <v>0</v>
      </c>
      <c r="O108" t="n">
        <v>3</v>
      </c>
      <c r="P108" t="n">
        <v>1</v>
      </c>
      <c r="Q108" t="n">
        <v>3</v>
      </c>
      <c r="R108" s="2" t="inlineStr">
        <is>
          <t>Lundalm
Krusfrö
Ängsskära</t>
        </is>
      </c>
      <c r="S108">
        <f>HYPERLINK("https://klasma.github.io/Logging_0980/artfynd/A 17982-2023 artfynd.xlsx", "A 17982-2023")</f>
        <v/>
      </c>
      <c r="T108">
        <f>HYPERLINK("https://klasma.github.io/Logging_0980/kartor/A 17982-2023 karta.png", "A 17982-2023")</f>
        <v/>
      </c>
      <c r="V108">
        <f>HYPERLINK("https://klasma.github.io/Logging_0980/klagomål/A 17982-2023 FSC-klagomål.docx", "A 17982-2023")</f>
        <v/>
      </c>
      <c r="W108">
        <f>HYPERLINK("https://klasma.github.io/Logging_0980/klagomålsmail/A 17982-2023 FSC-klagomål mail.docx", "A 17982-2023")</f>
        <v/>
      </c>
      <c r="X108">
        <f>HYPERLINK("https://klasma.github.io/Logging_0980/tillsyn/A 17982-2023 tillsynsbegäran.docx", "A 17982-2023")</f>
        <v/>
      </c>
      <c r="Y108">
        <f>HYPERLINK("https://klasma.github.io/Logging_0980/tillsynsmail/A 17982-2023 tillsynsbegäran mail.docx", "A 17982-2023")</f>
        <v/>
      </c>
    </row>
    <row r="109" ht="15" customHeight="1">
      <c r="A109" t="inlineStr">
        <is>
          <t>A 73144-2021</t>
        </is>
      </c>
      <c r="B109" s="1" t="n">
        <v>44550</v>
      </c>
      <c r="C109" s="1" t="n">
        <v>45975</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17975-2024</t>
        </is>
      </c>
      <c r="B110" s="1" t="n">
        <v>45419.85546296297</v>
      </c>
      <c r="C110" s="1" t="n">
        <v>45975</v>
      </c>
      <c r="D110" t="inlineStr">
        <is>
          <t>GOTLANDS LÄN</t>
        </is>
      </c>
      <c r="E110" t="inlineStr">
        <is>
          <t>GOTLAND</t>
        </is>
      </c>
      <c r="G110" t="n">
        <v>7.9</v>
      </c>
      <c r="H110" t="n">
        <v>0</v>
      </c>
      <c r="I110" t="n">
        <v>1</v>
      </c>
      <c r="J110" t="n">
        <v>1</v>
      </c>
      <c r="K110" t="n">
        <v>0</v>
      </c>
      <c r="L110" t="n">
        <v>1</v>
      </c>
      <c r="M110" t="n">
        <v>0</v>
      </c>
      <c r="N110" t="n">
        <v>0</v>
      </c>
      <c r="O110" t="n">
        <v>2</v>
      </c>
      <c r="P110" t="n">
        <v>1</v>
      </c>
      <c r="Q110" t="n">
        <v>3</v>
      </c>
      <c r="R110" s="2" t="inlineStr">
        <is>
          <t>Ask
Skugglosta
Strävlosta</t>
        </is>
      </c>
      <c r="S110">
        <f>HYPERLINK("https://klasma.github.io/Logging_0980/artfynd/A 17975-2024 artfynd.xlsx", "A 17975-2024")</f>
        <v/>
      </c>
      <c r="T110">
        <f>HYPERLINK("https://klasma.github.io/Logging_0980/kartor/A 17975-2024 karta.png", "A 17975-2024")</f>
        <v/>
      </c>
      <c r="V110">
        <f>HYPERLINK("https://klasma.github.io/Logging_0980/klagomål/A 17975-2024 FSC-klagomål.docx", "A 17975-2024")</f>
        <v/>
      </c>
      <c r="W110">
        <f>HYPERLINK("https://klasma.github.io/Logging_0980/klagomålsmail/A 17975-2024 FSC-klagomål mail.docx", "A 17975-2024")</f>
        <v/>
      </c>
      <c r="X110">
        <f>HYPERLINK("https://klasma.github.io/Logging_0980/tillsyn/A 17975-2024 tillsynsbegäran.docx", "A 17975-2024")</f>
        <v/>
      </c>
      <c r="Y110">
        <f>HYPERLINK("https://klasma.github.io/Logging_0980/tillsynsmail/A 17975-2024 tillsynsbegäran mail.docx", "A 17975-2024")</f>
        <v/>
      </c>
    </row>
    <row r="111" ht="15" customHeight="1">
      <c r="A111" t="inlineStr">
        <is>
          <t>A 13499-2022</t>
        </is>
      </c>
      <c r="B111" s="1" t="n">
        <v>44647.79203703703</v>
      </c>
      <c r="C111" s="1" t="n">
        <v>45975</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49709-2025</t>
        </is>
      </c>
      <c r="B112" s="1" t="n">
        <v>45939.68228009259</v>
      </c>
      <c r="C112" s="1" t="n">
        <v>45975</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43013-2022</t>
        </is>
      </c>
      <c r="B113" s="1" t="n">
        <v>44833</v>
      </c>
      <c r="C113" s="1" t="n">
        <v>45975</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12315-2024</t>
        </is>
      </c>
      <c r="B114" s="1" t="n">
        <v>45378.6434837963</v>
      </c>
      <c r="C114" s="1" t="n">
        <v>45975</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5235-2025</t>
        </is>
      </c>
      <c r="B115" s="1" t="n">
        <v>45692.26797453704</v>
      </c>
      <c r="C115" s="1" t="n">
        <v>45975</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45975</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30490-2025</t>
        </is>
      </c>
      <c r="B117" s="1" t="n">
        <v>45830</v>
      </c>
      <c r="C117" s="1" t="n">
        <v>45975</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62326-2020</t>
        </is>
      </c>
      <c r="B118" s="1" t="n">
        <v>44160</v>
      </c>
      <c r="C118" s="1" t="n">
        <v>45975</v>
      </c>
      <c r="D118" t="inlineStr">
        <is>
          <t>GOTLANDS LÄN</t>
        </is>
      </c>
      <c r="E118" t="inlineStr">
        <is>
          <t>GOTLAND</t>
        </is>
      </c>
      <c r="G118" t="n">
        <v>7.4</v>
      </c>
      <c r="H118" t="n">
        <v>1</v>
      </c>
      <c r="I118" t="n">
        <v>3</v>
      </c>
      <c r="J118" t="n">
        <v>0</v>
      </c>
      <c r="K118" t="n">
        <v>0</v>
      </c>
      <c r="L118" t="n">
        <v>0</v>
      </c>
      <c r="M118" t="n">
        <v>0</v>
      </c>
      <c r="N118" t="n">
        <v>0</v>
      </c>
      <c r="O118" t="n">
        <v>0</v>
      </c>
      <c r="P118" t="n">
        <v>0</v>
      </c>
      <c r="Q118" t="n">
        <v>3</v>
      </c>
      <c r="R118" s="2" t="inlineStr">
        <is>
          <t>Anisspindling
Blåmossa
Skogsknipprot</t>
        </is>
      </c>
      <c r="S118">
        <f>HYPERLINK("https://klasma.github.io/Logging_0980/artfynd/A 62326-2020 artfynd.xlsx", "A 62326-2020")</f>
        <v/>
      </c>
      <c r="T118">
        <f>HYPERLINK("https://klasma.github.io/Logging_0980/kartor/A 62326-2020 karta.png", "A 62326-2020")</f>
        <v/>
      </c>
      <c r="V118">
        <f>HYPERLINK("https://klasma.github.io/Logging_0980/klagomål/A 62326-2020 FSC-klagomål.docx", "A 62326-2020")</f>
        <v/>
      </c>
      <c r="W118">
        <f>HYPERLINK("https://klasma.github.io/Logging_0980/klagomålsmail/A 62326-2020 FSC-klagomål mail.docx", "A 62326-2020")</f>
        <v/>
      </c>
      <c r="X118">
        <f>HYPERLINK("https://klasma.github.io/Logging_0980/tillsyn/A 62326-2020 tillsynsbegäran.docx", "A 62326-2020")</f>
        <v/>
      </c>
      <c r="Y118">
        <f>HYPERLINK("https://klasma.github.io/Logging_0980/tillsynsmail/A 62326-2020 tillsynsbegäran mail.docx", "A 62326-2020")</f>
        <v/>
      </c>
    </row>
    <row r="119" ht="15" customHeight="1">
      <c r="A119" t="inlineStr">
        <is>
          <t>A 55334-2024</t>
        </is>
      </c>
      <c r="B119" s="1" t="n">
        <v>45621</v>
      </c>
      <c r="C119" s="1" t="n">
        <v>45975</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20831-2024</t>
        </is>
      </c>
      <c r="B120" s="1" t="n">
        <v>45439</v>
      </c>
      <c r="C120" s="1" t="n">
        <v>45975</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29870-2021</t>
        </is>
      </c>
      <c r="B121" s="1" t="n">
        <v>44362</v>
      </c>
      <c r="C121" s="1" t="n">
        <v>45975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45975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9930-2021</t>
        </is>
      </c>
      <c r="B123" s="1" t="n">
        <v>44252</v>
      </c>
      <c r="C123" s="1" t="n">
        <v>45975</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16429-2021</t>
        </is>
      </c>
      <c r="B124" s="1" t="n">
        <v>44293</v>
      </c>
      <c r="C124" s="1" t="n">
        <v>45975</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20218-2022</t>
        </is>
      </c>
      <c r="B125" s="1" t="n">
        <v>44698</v>
      </c>
      <c r="C125" s="1" t="n">
        <v>45975</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26077-2024</t>
        </is>
      </c>
      <c r="B126" s="1" t="n">
        <v>45467</v>
      </c>
      <c r="C126" s="1" t="n">
        <v>45975</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60665-2021</t>
        </is>
      </c>
      <c r="B127" s="1" t="n">
        <v>44496</v>
      </c>
      <c r="C127" s="1" t="n">
        <v>45975</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54357-2024</t>
        </is>
      </c>
      <c r="B128" s="1" t="n">
        <v>45617.40662037037</v>
      </c>
      <c r="C128" s="1" t="n">
        <v>45975</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45975</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28276-2024</t>
        </is>
      </c>
      <c r="B130" s="1" t="n">
        <v>45477</v>
      </c>
      <c r="C130" s="1" t="n">
        <v>45975</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45975</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43219-2023</t>
        </is>
      </c>
      <c r="B132" s="1" t="n">
        <v>45183</v>
      </c>
      <c r="C132" s="1" t="n">
        <v>45975</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45975</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45975</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20838-2024</t>
        </is>
      </c>
      <c r="B135" s="1" t="n">
        <v>45439</v>
      </c>
      <c r="C135" s="1" t="n">
        <v>45975</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55649-2024</t>
        </is>
      </c>
      <c r="B136" s="1" t="n">
        <v>45622.63053240741</v>
      </c>
      <c r="C136" s="1" t="n">
        <v>45975</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64263-2020</t>
        </is>
      </c>
      <c r="B137" s="1" t="n">
        <v>44168</v>
      </c>
      <c r="C137" s="1" t="n">
        <v>45975</v>
      </c>
      <c r="D137" t="inlineStr">
        <is>
          <t>GOTLANDS LÄN</t>
        </is>
      </c>
      <c r="E137" t="inlineStr">
        <is>
          <t>GOTLAND</t>
        </is>
      </c>
      <c r="G137" t="n">
        <v>10.9</v>
      </c>
      <c r="H137" t="n">
        <v>1</v>
      </c>
      <c r="I137" t="n">
        <v>0</v>
      </c>
      <c r="J137" t="n">
        <v>2</v>
      </c>
      <c r="K137" t="n">
        <v>0</v>
      </c>
      <c r="L137" t="n">
        <v>0</v>
      </c>
      <c r="M137" t="n">
        <v>0</v>
      </c>
      <c r="N137" t="n">
        <v>0</v>
      </c>
      <c r="O137" t="n">
        <v>2</v>
      </c>
      <c r="P137" t="n">
        <v>0</v>
      </c>
      <c r="Q137" t="n">
        <v>2</v>
      </c>
      <c r="R137" s="2" t="inlineStr">
        <is>
          <t>Mindre hackspett
Ullticka</t>
        </is>
      </c>
      <c r="S137">
        <f>HYPERLINK("https://klasma.github.io/Logging_0980/artfynd/A 64263-2020 artfynd.xlsx", "A 64263-2020")</f>
        <v/>
      </c>
      <c r="T137">
        <f>HYPERLINK("https://klasma.github.io/Logging_0980/kartor/A 64263-2020 karta.png", "A 64263-2020")</f>
        <v/>
      </c>
      <c r="V137">
        <f>HYPERLINK("https://klasma.github.io/Logging_0980/klagomål/A 64263-2020 FSC-klagomål.docx", "A 64263-2020")</f>
        <v/>
      </c>
      <c r="W137">
        <f>HYPERLINK("https://klasma.github.io/Logging_0980/klagomålsmail/A 64263-2020 FSC-klagomål mail.docx", "A 64263-2020")</f>
        <v/>
      </c>
      <c r="X137">
        <f>HYPERLINK("https://klasma.github.io/Logging_0980/tillsyn/A 64263-2020 tillsynsbegäran.docx", "A 64263-2020")</f>
        <v/>
      </c>
      <c r="Y137">
        <f>HYPERLINK("https://klasma.github.io/Logging_0980/tillsynsmail/A 64263-2020 tillsynsbegäran mail.docx", "A 64263-2020")</f>
        <v/>
      </c>
      <c r="Z137">
        <f>HYPERLINK("https://klasma.github.io/Logging_0980/fåglar/A 64263-2020 prioriterade fågelarter.docx", "A 64263-2020")</f>
        <v/>
      </c>
    </row>
    <row r="138" ht="15" customHeight="1">
      <c r="A138" t="inlineStr">
        <is>
          <t>A 52245-2025</t>
        </is>
      </c>
      <c r="B138" s="1" t="n">
        <v>45953.47115740741</v>
      </c>
      <c r="C138" s="1" t="n">
        <v>45975</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45975</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45975</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45975</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45975</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63576-2021</t>
        </is>
      </c>
      <c r="B144" s="1" t="n">
        <v>44508</v>
      </c>
      <c r="C144" s="1" t="n">
        <v>45975</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64700-2021</t>
        </is>
      </c>
      <c r="B145" s="1" t="n">
        <v>44511</v>
      </c>
      <c r="C145" s="1" t="n">
        <v>45975</v>
      </c>
      <c r="D145" t="inlineStr">
        <is>
          <t>GOTLANDS LÄN</t>
        </is>
      </c>
      <c r="E145" t="inlineStr">
        <is>
          <t>GOTLAND</t>
        </is>
      </c>
      <c r="F145" t="inlineStr">
        <is>
          <t>Naturvårdsverket</t>
        </is>
      </c>
      <c r="G145" t="n">
        <v>2.4</v>
      </c>
      <c r="H145" t="n">
        <v>1</v>
      </c>
      <c r="I145" t="n">
        <v>0</v>
      </c>
      <c r="J145" t="n">
        <v>0</v>
      </c>
      <c r="K145" t="n">
        <v>1</v>
      </c>
      <c r="L145" t="n">
        <v>0</v>
      </c>
      <c r="M145" t="n">
        <v>0</v>
      </c>
      <c r="N145" t="n">
        <v>0</v>
      </c>
      <c r="O145" t="n">
        <v>1</v>
      </c>
      <c r="P145" t="n">
        <v>1</v>
      </c>
      <c r="Q145" t="n">
        <v>1</v>
      </c>
      <c r="R145" s="2" t="inlineStr">
        <is>
          <t>Kalkdån</t>
        </is>
      </c>
      <c r="S145">
        <f>HYPERLINK("https://klasma.github.io/Logging_0980/artfynd/A 64700-2021 artfynd.xlsx", "A 64700-2021")</f>
        <v/>
      </c>
      <c r="T145">
        <f>HYPERLINK("https://klasma.github.io/Logging_0980/kartor/A 64700-2021 karta.png", "A 64700-2021")</f>
        <v/>
      </c>
      <c r="V145">
        <f>HYPERLINK("https://klasma.github.io/Logging_0980/klagomål/A 64700-2021 FSC-klagomål.docx", "A 64700-2021")</f>
        <v/>
      </c>
      <c r="W145">
        <f>HYPERLINK("https://klasma.github.io/Logging_0980/klagomålsmail/A 64700-2021 FSC-klagomål mail.docx", "A 64700-2021")</f>
        <v/>
      </c>
      <c r="X145">
        <f>HYPERLINK("https://klasma.github.io/Logging_0980/tillsyn/A 64700-2021 tillsynsbegäran.docx", "A 64700-2021")</f>
        <v/>
      </c>
      <c r="Y145">
        <f>HYPERLINK("https://klasma.github.io/Logging_0980/tillsynsmail/A 64700-2021 tillsynsbegäran mail.docx", "A 64700-2021")</f>
        <v/>
      </c>
    </row>
    <row r="146" ht="15" customHeight="1">
      <c r="A146" t="inlineStr">
        <is>
          <t>A 27589-2023</t>
        </is>
      </c>
      <c r="B146" s="1" t="n">
        <v>45097</v>
      </c>
      <c r="C146" s="1" t="n">
        <v>45975</v>
      </c>
      <c r="D146" t="inlineStr">
        <is>
          <t>GOTLANDS LÄN</t>
        </is>
      </c>
      <c r="E146" t="inlineStr">
        <is>
          <t>GOTLAND</t>
        </is>
      </c>
      <c r="G146" t="n">
        <v>5.4</v>
      </c>
      <c r="H146" t="n">
        <v>0</v>
      </c>
      <c r="I146" t="n">
        <v>0</v>
      </c>
      <c r="J146" t="n">
        <v>0</v>
      </c>
      <c r="K146" t="n">
        <v>0</v>
      </c>
      <c r="L146" t="n">
        <v>0</v>
      </c>
      <c r="M146" t="n">
        <v>1</v>
      </c>
      <c r="N146" t="n">
        <v>0</v>
      </c>
      <c r="O146" t="n">
        <v>1</v>
      </c>
      <c r="P146" t="n">
        <v>1</v>
      </c>
      <c r="Q146" t="n">
        <v>1</v>
      </c>
      <c r="R146" s="2" t="inlineStr">
        <is>
          <t>Skogsalm</t>
        </is>
      </c>
      <c r="S146">
        <f>HYPERLINK("https://klasma.github.io/Logging_0980/artfynd/A 27589-2023 artfynd.xlsx", "A 27589-2023")</f>
        <v/>
      </c>
      <c r="T146">
        <f>HYPERLINK("https://klasma.github.io/Logging_0980/kartor/A 27589-2023 karta.png", "A 27589-2023")</f>
        <v/>
      </c>
      <c r="V146">
        <f>HYPERLINK("https://klasma.github.io/Logging_0980/klagomål/A 27589-2023 FSC-klagomål.docx", "A 27589-2023")</f>
        <v/>
      </c>
      <c r="W146">
        <f>HYPERLINK("https://klasma.github.io/Logging_0980/klagomålsmail/A 27589-2023 FSC-klagomål mail.docx", "A 27589-2023")</f>
        <v/>
      </c>
      <c r="X146">
        <f>HYPERLINK("https://klasma.github.io/Logging_0980/tillsyn/A 27589-2023 tillsynsbegäran.docx", "A 27589-2023")</f>
        <v/>
      </c>
      <c r="Y146">
        <f>HYPERLINK("https://klasma.github.io/Logging_0980/tillsynsmail/A 27589-2023 tillsynsbegäran mail.docx", "A 27589-2023")</f>
        <v/>
      </c>
    </row>
    <row r="147" ht="15" customHeight="1">
      <c r="A147" t="inlineStr">
        <is>
          <t>A 1477-2024</t>
        </is>
      </c>
      <c r="B147" s="1" t="n">
        <v>45305.37987268518</v>
      </c>
      <c r="C147" s="1" t="n">
        <v>45975</v>
      </c>
      <c r="D147" t="inlineStr">
        <is>
          <t>GOTLANDS LÄN</t>
        </is>
      </c>
      <c r="E147" t="inlineStr">
        <is>
          <t>GOTLAND</t>
        </is>
      </c>
      <c r="G147" t="n">
        <v>6.9</v>
      </c>
      <c r="H147" t="n">
        <v>0</v>
      </c>
      <c r="I147" t="n">
        <v>0</v>
      </c>
      <c r="J147" t="n">
        <v>1</v>
      </c>
      <c r="K147" t="n">
        <v>0</v>
      </c>
      <c r="L147" t="n">
        <v>0</v>
      </c>
      <c r="M147" t="n">
        <v>0</v>
      </c>
      <c r="N147" t="n">
        <v>0</v>
      </c>
      <c r="O147" t="n">
        <v>1</v>
      </c>
      <c r="P147" t="n">
        <v>0</v>
      </c>
      <c r="Q147" t="n">
        <v>1</v>
      </c>
      <c r="R147" s="2" t="inlineStr">
        <is>
          <t>Igelkott</t>
        </is>
      </c>
      <c r="S147">
        <f>HYPERLINK("https://klasma.github.io/Logging_0980/artfynd/A 1477-2024 artfynd.xlsx", "A 1477-2024")</f>
        <v/>
      </c>
      <c r="T147">
        <f>HYPERLINK("https://klasma.github.io/Logging_0980/kartor/A 1477-2024 karta.png", "A 1477-2024")</f>
        <v/>
      </c>
      <c r="V147">
        <f>HYPERLINK("https://klasma.github.io/Logging_0980/klagomål/A 1477-2024 FSC-klagomål.docx", "A 1477-2024")</f>
        <v/>
      </c>
      <c r="W147">
        <f>HYPERLINK("https://klasma.github.io/Logging_0980/klagomålsmail/A 1477-2024 FSC-klagomål mail.docx", "A 1477-2024")</f>
        <v/>
      </c>
      <c r="X147">
        <f>HYPERLINK("https://klasma.github.io/Logging_0980/tillsyn/A 1477-2024 tillsynsbegäran.docx", "A 1477-2024")</f>
        <v/>
      </c>
      <c r="Y147">
        <f>HYPERLINK("https://klasma.github.io/Logging_0980/tillsynsmail/A 1477-2024 tillsynsbegäran mail.docx", "A 1477-2024")</f>
        <v/>
      </c>
    </row>
    <row r="148" ht="15" customHeight="1">
      <c r="A148" t="inlineStr">
        <is>
          <t>A 25977-2024</t>
        </is>
      </c>
      <c r="B148" s="1" t="n">
        <v>45467.69356481481</v>
      </c>
      <c r="C148" s="1" t="n">
        <v>45975</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12379-2024</t>
        </is>
      </c>
      <c r="B149" s="1" t="n">
        <v>45379.28155092592</v>
      </c>
      <c r="C149" s="1" t="n">
        <v>45975</v>
      </c>
      <c r="D149" t="inlineStr">
        <is>
          <t>GOTLANDS LÄN</t>
        </is>
      </c>
      <c r="E149" t="inlineStr">
        <is>
          <t>GOTLAND</t>
        </is>
      </c>
      <c r="G149" t="n">
        <v>4.4</v>
      </c>
      <c r="H149" t="n">
        <v>0</v>
      </c>
      <c r="I149" t="n">
        <v>0</v>
      </c>
      <c r="J149" t="n">
        <v>1</v>
      </c>
      <c r="K149" t="n">
        <v>0</v>
      </c>
      <c r="L149" t="n">
        <v>0</v>
      </c>
      <c r="M149" t="n">
        <v>0</v>
      </c>
      <c r="N149" t="n">
        <v>0</v>
      </c>
      <c r="O149" t="n">
        <v>1</v>
      </c>
      <c r="P149" t="n">
        <v>0</v>
      </c>
      <c r="Q149" t="n">
        <v>1</v>
      </c>
      <c r="R149" s="2" t="inlineStr">
        <is>
          <t>Svinrot</t>
        </is>
      </c>
      <c r="S149">
        <f>HYPERLINK("https://klasma.github.io/Logging_0980/artfynd/A 12379-2024 artfynd.xlsx", "A 12379-2024")</f>
        <v/>
      </c>
      <c r="T149">
        <f>HYPERLINK("https://klasma.github.io/Logging_0980/kartor/A 12379-2024 karta.png", "A 12379-2024")</f>
        <v/>
      </c>
      <c r="V149">
        <f>HYPERLINK("https://klasma.github.io/Logging_0980/klagomål/A 12379-2024 FSC-klagomål.docx", "A 12379-2024")</f>
        <v/>
      </c>
      <c r="W149">
        <f>HYPERLINK("https://klasma.github.io/Logging_0980/klagomålsmail/A 12379-2024 FSC-klagomål mail.docx", "A 12379-2024")</f>
        <v/>
      </c>
      <c r="X149">
        <f>HYPERLINK("https://klasma.github.io/Logging_0980/tillsyn/A 12379-2024 tillsynsbegäran.docx", "A 12379-2024")</f>
        <v/>
      </c>
      <c r="Y149">
        <f>HYPERLINK("https://klasma.github.io/Logging_0980/tillsynsmail/A 12379-2024 tillsynsbegäran mail.docx", "A 12379-2024")</f>
        <v/>
      </c>
    </row>
    <row r="150" ht="15" customHeight="1">
      <c r="A150" t="inlineStr">
        <is>
          <t>A 35574-2024</t>
        </is>
      </c>
      <c r="B150" s="1" t="n">
        <v>45531</v>
      </c>
      <c r="C150" s="1" t="n">
        <v>45975</v>
      </c>
      <c r="D150" t="inlineStr">
        <is>
          <t>GOTLANDS LÄN</t>
        </is>
      </c>
      <c r="E150" t="inlineStr">
        <is>
          <t>GOTLAND</t>
        </is>
      </c>
      <c r="G150" t="n">
        <v>5.7</v>
      </c>
      <c r="H150" t="n">
        <v>0</v>
      </c>
      <c r="I150" t="n">
        <v>1</v>
      </c>
      <c r="J150" t="n">
        <v>0</v>
      </c>
      <c r="K150" t="n">
        <v>0</v>
      </c>
      <c r="L150" t="n">
        <v>0</v>
      </c>
      <c r="M150" t="n">
        <v>0</v>
      </c>
      <c r="N150" t="n">
        <v>0</v>
      </c>
      <c r="O150" t="n">
        <v>0</v>
      </c>
      <c r="P150" t="n">
        <v>0</v>
      </c>
      <c r="Q150" t="n">
        <v>1</v>
      </c>
      <c r="R150" s="2" t="inlineStr">
        <is>
          <t>Murgröna</t>
        </is>
      </c>
      <c r="S150">
        <f>HYPERLINK("https://klasma.github.io/Logging_0980/artfynd/A 35574-2024 artfynd.xlsx", "A 35574-2024")</f>
        <v/>
      </c>
      <c r="T150">
        <f>HYPERLINK("https://klasma.github.io/Logging_0980/kartor/A 35574-2024 karta.png", "A 35574-2024")</f>
        <v/>
      </c>
      <c r="V150">
        <f>HYPERLINK("https://klasma.github.io/Logging_0980/klagomål/A 35574-2024 FSC-klagomål.docx", "A 35574-2024")</f>
        <v/>
      </c>
      <c r="W150">
        <f>HYPERLINK("https://klasma.github.io/Logging_0980/klagomålsmail/A 35574-2024 FSC-klagomål mail.docx", "A 35574-2024")</f>
        <v/>
      </c>
      <c r="X150">
        <f>HYPERLINK("https://klasma.github.io/Logging_0980/tillsyn/A 35574-2024 tillsynsbegäran.docx", "A 35574-2024")</f>
        <v/>
      </c>
      <c r="Y150">
        <f>HYPERLINK("https://klasma.github.io/Logging_0980/tillsynsmail/A 35574-2024 tillsynsbegäran mail.docx", "A 35574-2024")</f>
        <v/>
      </c>
    </row>
    <row r="151" ht="15" customHeight="1">
      <c r="A151" t="inlineStr">
        <is>
          <t>A 24245-2022</t>
        </is>
      </c>
      <c r="B151" s="1" t="n">
        <v>44725</v>
      </c>
      <c r="C151" s="1" t="n">
        <v>45975</v>
      </c>
      <c r="D151" t="inlineStr">
        <is>
          <t>GOTLANDS LÄN</t>
        </is>
      </c>
      <c r="E151" t="inlineStr">
        <is>
          <t>GOTLAND</t>
        </is>
      </c>
      <c r="G151" t="n">
        <v>4.9</v>
      </c>
      <c r="H151" t="n">
        <v>0</v>
      </c>
      <c r="I151" t="n">
        <v>0</v>
      </c>
      <c r="J151" t="n">
        <v>0</v>
      </c>
      <c r="K151" t="n">
        <v>0</v>
      </c>
      <c r="L151" t="n">
        <v>1</v>
      </c>
      <c r="M151" t="n">
        <v>0</v>
      </c>
      <c r="N151" t="n">
        <v>0</v>
      </c>
      <c r="O151" t="n">
        <v>1</v>
      </c>
      <c r="P151" t="n">
        <v>1</v>
      </c>
      <c r="Q151" t="n">
        <v>1</v>
      </c>
      <c r="R151" s="2" t="inlineStr">
        <is>
          <t>Slät taggsvamp</t>
        </is>
      </c>
      <c r="S151">
        <f>HYPERLINK("https://klasma.github.io/Logging_0980/artfynd/A 24245-2022 artfynd.xlsx", "A 24245-2022")</f>
        <v/>
      </c>
      <c r="T151">
        <f>HYPERLINK("https://klasma.github.io/Logging_0980/kartor/A 24245-2022 karta.png", "A 24245-2022")</f>
        <v/>
      </c>
      <c r="V151">
        <f>HYPERLINK("https://klasma.github.io/Logging_0980/klagomål/A 24245-2022 FSC-klagomål.docx", "A 24245-2022")</f>
        <v/>
      </c>
      <c r="W151">
        <f>HYPERLINK("https://klasma.github.io/Logging_0980/klagomålsmail/A 24245-2022 FSC-klagomål mail.docx", "A 24245-2022")</f>
        <v/>
      </c>
      <c r="X151">
        <f>HYPERLINK("https://klasma.github.io/Logging_0980/tillsyn/A 24245-2022 tillsynsbegäran.docx", "A 24245-2022")</f>
        <v/>
      </c>
      <c r="Y151">
        <f>HYPERLINK("https://klasma.github.io/Logging_0980/tillsynsmail/A 24245-2022 tillsynsbegäran mail.docx", "A 24245-2022")</f>
        <v/>
      </c>
    </row>
    <row r="152" ht="15" customHeight="1">
      <c r="A152" t="inlineStr">
        <is>
          <t>A 17723-2021</t>
        </is>
      </c>
      <c r="B152" s="1" t="n">
        <v>44300</v>
      </c>
      <c r="C152" s="1" t="n">
        <v>45975</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7637-2025</t>
        </is>
      </c>
      <c r="B153" s="1" t="n">
        <v>45705.77181712963</v>
      </c>
      <c r="C153" s="1" t="n">
        <v>45975</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65927-2021</t>
        </is>
      </c>
      <c r="B154" s="1" t="n">
        <v>44516</v>
      </c>
      <c r="C154" s="1" t="n">
        <v>45975</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6303-2024</t>
        </is>
      </c>
      <c r="B155" s="1" t="n">
        <v>45338.35376157407</v>
      </c>
      <c r="C155" s="1" t="n">
        <v>45975</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49847-2023</t>
        </is>
      </c>
      <c r="B156" s="1" t="n">
        <v>45212</v>
      </c>
      <c r="C156" s="1" t="n">
        <v>45975</v>
      </c>
      <c r="D156" t="inlineStr">
        <is>
          <t>GOTLANDS LÄN</t>
        </is>
      </c>
      <c r="E156" t="inlineStr">
        <is>
          <t>GOTLAND</t>
        </is>
      </c>
      <c r="G156" t="n">
        <v>35.2</v>
      </c>
      <c r="H156" t="n">
        <v>0</v>
      </c>
      <c r="I156" t="n">
        <v>0</v>
      </c>
      <c r="J156" t="n">
        <v>0</v>
      </c>
      <c r="K156" t="n">
        <v>1</v>
      </c>
      <c r="L156" t="n">
        <v>0</v>
      </c>
      <c r="M156" t="n">
        <v>0</v>
      </c>
      <c r="N156" t="n">
        <v>0</v>
      </c>
      <c r="O156" t="n">
        <v>1</v>
      </c>
      <c r="P156" t="n">
        <v>1</v>
      </c>
      <c r="Q156" t="n">
        <v>1</v>
      </c>
      <c r="R156" s="2" t="inlineStr">
        <is>
          <t>Strandviol</t>
        </is>
      </c>
      <c r="S156">
        <f>HYPERLINK("https://klasma.github.io/Logging_0980/artfynd/A 49847-2023 artfynd.xlsx", "A 49847-2023")</f>
        <v/>
      </c>
      <c r="T156">
        <f>HYPERLINK("https://klasma.github.io/Logging_0980/kartor/A 49847-2023 karta.png", "A 49847-2023")</f>
        <v/>
      </c>
      <c r="V156">
        <f>HYPERLINK("https://klasma.github.io/Logging_0980/klagomål/A 49847-2023 FSC-klagomål.docx", "A 49847-2023")</f>
        <v/>
      </c>
      <c r="W156">
        <f>HYPERLINK("https://klasma.github.io/Logging_0980/klagomålsmail/A 49847-2023 FSC-klagomål mail.docx", "A 49847-2023")</f>
        <v/>
      </c>
      <c r="X156">
        <f>HYPERLINK("https://klasma.github.io/Logging_0980/tillsyn/A 49847-2023 tillsynsbegäran.docx", "A 49847-2023")</f>
        <v/>
      </c>
      <c r="Y156">
        <f>HYPERLINK("https://klasma.github.io/Logging_0980/tillsynsmail/A 49847-2023 tillsynsbegäran mail.docx", "A 49847-2023")</f>
        <v/>
      </c>
    </row>
    <row r="157" ht="15" customHeight="1">
      <c r="A157" t="inlineStr">
        <is>
          <t>A 61796-2022</t>
        </is>
      </c>
      <c r="B157" s="1" t="n">
        <v>44917</v>
      </c>
      <c r="C157" s="1" t="n">
        <v>45975</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46527-2023</t>
        </is>
      </c>
      <c r="B158" s="1" t="n">
        <v>45197</v>
      </c>
      <c r="C158" s="1" t="n">
        <v>45975</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12324-2025</t>
        </is>
      </c>
      <c r="B159" s="1" t="n">
        <v>45730</v>
      </c>
      <c r="C159" s="1" t="n">
        <v>45975</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12924-2025</t>
        </is>
      </c>
      <c r="B160" s="1" t="n">
        <v>45734</v>
      </c>
      <c r="C160" s="1" t="n">
        <v>45975</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37591-2023</t>
        </is>
      </c>
      <c r="B161" s="1" t="n">
        <v>45159</v>
      </c>
      <c r="C161" s="1" t="n">
        <v>45975</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13939-2021</t>
        </is>
      </c>
      <c r="B162" s="1" t="n">
        <v>44277</v>
      </c>
      <c r="C162" s="1" t="n">
        <v>45975</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15637-2024</t>
        </is>
      </c>
      <c r="B163" s="1" t="n">
        <v>45403.6684837963</v>
      </c>
      <c r="C163" s="1" t="n">
        <v>45975</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21466-2025</t>
        </is>
      </c>
      <c r="B164" s="1" t="n">
        <v>45782</v>
      </c>
      <c r="C164" s="1" t="n">
        <v>45975</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20429-2025</t>
        </is>
      </c>
      <c r="B165" s="1" t="n">
        <v>45775.47728009259</v>
      </c>
      <c r="C165" s="1" t="n">
        <v>45975</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34809-2024</t>
        </is>
      </c>
      <c r="B166" s="1" t="n">
        <v>45526</v>
      </c>
      <c r="C166" s="1" t="n">
        <v>45975</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10440-2024</t>
        </is>
      </c>
      <c r="B167" s="1" t="n">
        <v>45366.32818287037</v>
      </c>
      <c r="C167" s="1" t="n">
        <v>45975</v>
      </c>
      <c r="D167" t="inlineStr">
        <is>
          <t>GOTLANDS LÄN</t>
        </is>
      </c>
      <c r="E167" t="inlineStr">
        <is>
          <t>GOTLAND</t>
        </is>
      </c>
      <c r="G167" t="n">
        <v>2.5</v>
      </c>
      <c r="H167" t="n">
        <v>1</v>
      </c>
      <c r="I167" t="n">
        <v>0</v>
      </c>
      <c r="J167" t="n">
        <v>1</v>
      </c>
      <c r="K167" t="n">
        <v>0</v>
      </c>
      <c r="L167" t="n">
        <v>0</v>
      </c>
      <c r="M167" t="n">
        <v>0</v>
      </c>
      <c r="N167" t="n">
        <v>0</v>
      </c>
      <c r="O167" t="n">
        <v>1</v>
      </c>
      <c r="P167" t="n">
        <v>0</v>
      </c>
      <c r="Q167" t="n">
        <v>1</v>
      </c>
      <c r="R167" s="2" t="inlineStr">
        <is>
          <t>Mindre hackspett</t>
        </is>
      </c>
      <c r="S167">
        <f>HYPERLINK("https://klasma.github.io/Logging_0980/artfynd/A 10440-2024 artfynd.xlsx", "A 10440-2024")</f>
        <v/>
      </c>
      <c r="T167">
        <f>HYPERLINK("https://klasma.github.io/Logging_0980/kartor/A 10440-2024 karta.png", "A 10440-2024")</f>
        <v/>
      </c>
      <c r="V167">
        <f>HYPERLINK("https://klasma.github.io/Logging_0980/klagomål/A 10440-2024 FSC-klagomål.docx", "A 10440-2024")</f>
        <v/>
      </c>
      <c r="W167">
        <f>HYPERLINK("https://klasma.github.io/Logging_0980/klagomålsmail/A 10440-2024 FSC-klagomål mail.docx", "A 10440-2024")</f>
        <v/>
      </c>
      <c r="X167">
        <f>HYPERLINK("https://klasma.github.io/Logging_0980/tillsyn/A 10440-2024 tillsynsbegäran.docx", "A 10440-2024")</f>
        <v/>
      </c>
      <c r="Y167">
        <f>HYPERLINK("https://klasma.github.io/Logging_0980/tillsynsmail/A 10440-2024 tillsynsbegäran mail.docx", "A 10440-2024")</f>
        <v/>
      </c>
      <c r="Z167">
        <f>HYPERLINK("https://klasma.github.io/Logging_0980/fåglar/A 10440-2024 prioriterade fågelarter.docx", "A 10440-2024")</f>
        <v/>
      </c>
    </row>
    <row r="168" ht="15" customHeight="1">
      <c r="A168" t="inlineStr">
        <is>
          <t>A 2476-2025</t>
        </is>
      </c>
      <c r="B168" s="1" t="n">
        <v>45673</v>
      </c>
      <c r="C168" s="1" t="n">
        <v>45975</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39812-2025</t>
        </is>
      </c>
      <c r="B169" s="1" t="n">
        <v>45891</v>
      </c>
      <c r="C169" s="1" t="n">
        <v>45975</v>
      </c>
      <c r="D169" t="inlineStr">
        <is>
          <t>GOTLANDS LÄN</t>
        </is>
      </c>
      <c r="E169" t="inlineStr">
        <is>
          <t>GOTLAND</t>
        </is>
      </c>
      <c r="G169" t="n">
        <v>6</v>
      </c>
      <c r="H169" t="n">
        <v>1</v>
      </c>
      <c r="I169" t="n">
        <v>0</v>
      </c>
      <c r="J169" t="n">
        <v>0</v>
      </c>
      <c r="K169" t="n">
        <v>0</v>
      </c>
      <c r="L169" t="n">
        <v>1</v>
      </c>
      <c r="M169" t="n">
        <v>0</v>
      </c>
      <c r="N169" t="n">
        <v>0</v>
      </c>
      <c r="O169" t="n">
        <v>1</v>
      </c>
      <c r="P169" t="n">
        <v>1</v>
      </c>
      <c r="Q169" t="n">
        <v>1</v>
      </c>
      <c r="R169" s="2" t="inlineStr">
        <is>
          <t>Nålkörvel</t>
        </is>
      </c>
      <c r="S169">
        <f>HYPERLINK("https://klasma.github.io/Logging_0980/artfynd/A 39812-2025 artfynd.xlsx", "A 39812-2025")</f>
        <v/>
      </c>
      <c r="T169">
        <f>HYPERLINK("https://klasma.github.io/Logging_0980/kartor/A 39812-2025 karta.png", "A 39812-2025")</f>
        <v/>
      </c>
      <c r="V169">
        <f>HYPERLINK("https://klasma.github.io/Logging_0980/klagomål/A 39812-2025 FSC-klagomål.docx", "A 39812-2025")</f>
        <v/>
      </c>
      <c r="W169">
        <f>HYPERLINK("https://klasma.github.io/Logging_0980/klagomålsmail/A 39812-2025 FSC-klagomål mail.docx", "A 39812-2025")</f>
        <v/>
      </c>
      <c r="X169">
        <f>HYPERLINK("https://klasma.github.io/Logging_0980/tillsyn/A 39812-2025 tillsynsbegäran.docx", "A 39812-2025")</f>
        <v/>
      </c>
      <c r="Y169">
        <f>HYPERLINK("https://klasma.github.io/Logging_0980/tillsynsmail/A 39812-2025 tillsynsbegäran mail.docx", "A 39812-2025")</f>
        <v/>
      </c>
    </row>
    <row r="170" ht="15" customHeight="1">
      <c r="A170" t="inlineStr">
        <is>
          <t>A 49726-2025</t>
        </is>
      </c>
      <c r="B170" s="1" t="n">
        <v>45939.84466435185</v>
      </c>
      <c r="C170" s="1" t="n">
        <v>45975</v>
      </c>
      <c r="D170" t="inlineStr">
        <is>
          <t>GOTLANDS LÄN</t>
        </is>
      </c>
      <c r="E170" t="inlineStr">
        <is>
          <t>GOTLAND</t>
        </is>
      </c>
      <c r="F170" t="inlineStr">
        <is>
          <t>Kyrkan</t>
        </is>
      </c>
      <c r="G170" t="n">
        <v>5.4</v>
      </c>
      <c r="H170" t="n">
        <v>0</v>
      </c>
      <c r="I170" t="n">
        <v>0</v>
      </c>
      <c r="J170" t="n">
        <v>1</v>
      </c>
      <c r="K170" t="n">
        <v>0</v>
      </c>
      <c r="L170" t="n">
        <v>0</v>
      </c>
      <c r="M170" t="n">
        <v>0</v>
      </c>
      <c r="N170" t="n">
        <v>0</v>
      </c>
      <c r="O170" t="n">
        <v>1</v>
      </c>
      <c r="P170" t="n">
        <v>0</v>
      </c>
      <c r="Q170" t="n">
        <v>1</v>
      </c>
      <c r="R170" s="2" t="inlineStr">
        <is>
          <t>Odörspindling</t>
        </is>
      </c>
      <c r="S170">
        <f>HYPERLINK("https://klasma.github.io/Logging_0980/artfynd/A 49726-2025 artfynd.xlsx", "A 49726-2025")</f>
        <v/>
      </c>
      <c r="T170">
        <f>HYPERLINK("https://klasma.github.io/Logging_0980/kartor/A 49726-2025 karta.png", "A 49726-2025")</f>
        <v/>
      </c>
      <c r="V170">
        <f>HYPERLINK("https://klasma.github.io/Logging_0980/klagomål/A 49726-2025 FSC-klagomål.docx", "A 49726-2025")</f>
        <v/>
      </c>
      <c r="W170">
        <f>HYPERLINK("https://klasma.github.io/Logging_0980/klagomålsmail/A 49726-2025 FSC-klagomål mail.docx", "A 49726-2025")</f>
        <v/>
      </c>
      <c r="X170">
        <f>HYPERLINK("https://klasma.github.io/Logging_0980/tillsyn/A 49726-2025 tillsynsbegäran.docx", "A 49726-2025")</f>
        <v/>
      </c>
      <c r="Y170">
        <f>HYPERLINK("https://klasma.github.io/Logging_0980/tillsynsmail/A 49726-2025 tillsynsbegäran mail.docx", "A 49726-2025")</f>
        <v/>
      </c>
    </row>
    <row r="171" ht="15" customHeight="1">
      <c r="A171" t="inlineStr">
        <is>
          <t>A 10995-2023</t>
        </is>
      </c>
      <c r="B171" s="1" t="n">
        <v>44986</v>
      </c>
      <c r="C171" s="1" t="n">
        <v>45975</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62552-2022</t>
        </is>
      </c>
      <c r="B172" s="1" t="n">
        <v>44924</v>
      </c>
      <c r="C172" s="1" t="n">
        <v>45975</v>
      </c>
      <c r="D172" t="inlineStr">
        <is>
          <t>GOTLANDS LÄN</t>
        </is>
      </c>
      <c r="E172" t="inlineStr">
        <is>
          <t>GOTLAND</t>
        </is>
      </c>
      <c r="G172" t="n">
        <v>1.6</v>
      </c>
      <c r="H172" t="n">
        <v>0</v>
      </c>
      <c r="I172" t="n">
        <v>0</v>
      </c>
      <c r="J172" t="n">
        <v>1</v>
      </c>
      <c r="K172" t="n">
        <v>0</v>
      </c>
      <c r="L172" t="n">
        <v>0</v>
      </c>
      <c r="M172" t="n">
        <v>0</v>
      </c>
      <c r="N172" t="n">
        <v>0</v>
      </c>
      <c r="O172" t="n">
        <v>1</v>
      </c>
      <c r="P172" t="n">
        <v>0</v>
      </c>
      <c r="Q172" t="n">
        <v>1</v>
      </c>
      <c r="R172" s="2" t="inlineStr">
        <is>
          <t>Äggspindling</t>
        </is>
      </c>
      <c r="S172">
        <f>HYPERLINK("https://klasma.github.io/Logging_0980/artfynd/A 62552-2022 artfynd.xlsx", "A 62552-2022")</f>
        <v/>
      </c>
      <c r="T172">
        <f>HYPERLINK("https://klasma.github.io/Logging_0980/kartor/A 62552-2022 karta.png", "A 62552-2022")</f>
        <v/>
      </c>
      <c r="V172">
        <f>HYPERLINK("https://klasma.github.io/Logging_0980/klagomål/A 62552-2022 FSC-klagomål.docx", "A 62552-2022")</f>
        <v/>
      </c>
      <c r="W172">
        <f>HYPERLINK("https://klasma.github.io/Logging_0980/klagomålsmail/A 62552-2022 FSC-klagomål mail.docx", "A 62552-2022")</f>
        <v/>
      </c>
      <c r="X172">
        <f>HYPERLINK("https://klasma.github.io/Logging_0980/tillsyn/A 62552-2022 tillsynsbegäran.docx", "A 62552-2022")</f>
        <v/>
      </c>
      <c r="Y172">
        <f>HYPERLINK("https://klasma.github.io/Logging_0980/tillsynsmail/A 62552-2022 tillsynsbegäran mail.docx", "A 62552-2022")</f>
        <v/>
      </c>
    </row>
    <row r="173" ht="15" customHeight="1">
      <c r="A173" t="inlineStr">
        <is>
          <t>A 44088-2022</t>
        </is>
      </c>
      <c r="B173" s="1" t="n">
        <v>44839</v>
      </c>
      <c r="C173" s="1" t="n">
        <v>45975</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26461-2025</t>
        </is>
      </c>
      <c r="B174" s="1" t="n">
        <v>45807.43337962963</v>
      </c>
      <c r="C174" s="1" t="n">
        <v>45975</v>
      </c>
      <c r="D174" t="inlineStr">
        <is>
          <t>GOTLANDS LÄN</t>
        </is>
      </c>
      <c r="E174" t="inlineStr">
        <is>
          <t>GOTLAND</t>
        </is>
      </c>
      <c r="G174" t="n">
        <v>4.1</v>
      </c>
      <c r="H174" t="n">
        <v>0</v>
      </c>
      <c r="I174" t="n">
        <v>0</v>
      </c>
      <c r="J174" t="n">
        <v>0</v>
      </c>
      <c r="K174" t="n">
        <v>1</v>
      </c>
      <c r="L174" t="n">
        <v>0</v>
      </c>
      <c r="M174" t="n">
        <v>0</v>
      </c>
      <c r="N174" t="n">
        <v>0</v>
      </c>
      <c r="O174" t="n">
        <v>1</v>
      </c>
      <c r="P174" t="n">
        <v>1</v>
      </c>
      <c r="Q174" t="n">
        <v>1</v>
      </c>
      <c r="R174" s="2" t="inlineStr">
        <is>
          <t>Gotlandsmåra</t>
        </is>
      </c>
      <c r="S174">
        <f>HYPERLINK("https://klasma.github.io/Logging_0980/artfynd/A 26461-2025 artfynd.xlsx", "A 26461-2025")</f>
        <v/>
      </c>
      <c r="T174">
        <f>HYPERLINK("https://klasma.github.io/Logging_0980/kartor/A 26461-2025 karta.png", "A 26461-2025")</f>
        <v/>
      </c>
      <c r="V174">
        <f>HYPERLINK("https://klasma.github.io/Logging_0980/klagomål/A 26461-2025 FSC-klagomål.docx", "A 26461-2025")</f>
        <v/>
      </c>
      <c r="W174">
        <f>HYPERLINK("https://klasma.github.io/Logging_0980/klagomålsmail/A 26461-2025 FSC-klagomål mail.docx", "A 26461-2025")</f>
        <v/>
      </c>
      <c r="X174">
        <f>HYPERLINK("https://klasma.github.io/Logging_0980/tillsyn/A 26461-2025 tillsynsbegäran.docx", "A 26461-2025")</f>
        <v/>
      </c>
      <c r="Y174">
        <f>HYPERLINK("https://klasma.github.io/Logging_0980/tillsynsmail/A 26461-2025 tillsynsbegäran mail.docx", "A 26461-2025")</f>
        <v/>
      </c>
    </row>
    <row r="175" ht="15" customHeight="1">
      <c r="A175" t="inlineStr">
        <is>
          <t>A 44308-2021</t>
        </is>
      </c>
      <c r="B175" s="1" t="n">
        <v>44434</v>
      </c>
      <c r="C175" s="1" t="n">
        <v>45975</v>
      </c>
      <c r="D175" t="inlineStr">
        <is>
          <t>GOTLANDS LÄN</t>
        </is>
      </c>
      <c r="E175" t="inlineStr">
        <is>
          <t>GOTLAND</t>
        </is>
      </c>
      <c r="G175" t="n">
        <v>5.9</v>
      </c>
      <c r="H175" t="n">
        <v>0</v>
      </c>
      <c r="I175" t="n">
        <v>1</v>
      </c>
      <c r="J175" t="n">
        <v>0</v>
      </c>
      <c r="K175" t="n">
        <v>0</v>
      </c>
      <c r="L175" t="n">
        <v>0</v>
      </c>
      <c r="M175" t="n">
        <v>0</v>
      </c>
      <c r="N175" t="n">
        <v>0</v>
      </c>
      <c r="O175" t="n">
        <v>0</v>
      </c>
      <c r="P175" t="n">
        <v>0</v>
      </c>
      <c r="Q175" t="n">
        <v>1</v>
      </c>
      <c r="R175" s="2" t="inlineStr">
        <is>
          <t>Svavelriska</t>
        </is>
      </c>
      <c r="S175">
        <f>HYPERLINK("https://klasma.github.io/Logging_0980/artfynd/A 44308-2021 artfynd.xlsx", "A 44308-2021")</f>
        <v/>
      </c>
      <c r="T175">
        <f>HYPERLINK("https://klasma.github.io/Logging_0980/kartor/A 44308-2021 karta.png", "A 44308-2021")</f>
        <v/>
      </c>
      <c r="V175">
        <f>HYPERLINK("https://klasma.github.io/Logging_0980/klagomål/A 44308-2021 FSC-klagomål.docx", "A 44308-2021")</f>
        <v/>
      </c>
      <c r="W175">
        <f>HYPERLINK("https://klasma.github.io/Logging_0980/klagomålsmail/A 44308-2021 FSC-klagomål mail.docx", "A 44308-2021")</f>
        <v/>
      </c>
      <c r="X175">
        <f>HYPERLINK("https://klasma.github.io/Logging_0980/tillsyn/A 44308-2021 tillsynsbegäran.docx", "A 44308-2021")</f>
        <v/>
      </c>
      <c r="Y175">
        <f>HYPERLINK("https://klasma.github.io/Logging_0980/tillsynsmail/A 44308-2021 tillsynsbegäran mail.docx", "A 44308-2021")</f>
        <v/>
      </c>
    </row>
    <row r="176" ht="15" customHeight="1">
      <c r="A176" t="inlineStr">
        <is>
          <t>A 61561-2023</t>
        </is>
      </c>
      <c r="B176" s="1" t="n">
        <v>45265</v>
      </c>
      <c r="C176" s="1" t="n">
        <v>45975</v>
      </c>
      <c r="D176" t="inlineStr">
        <is>
          <t>GOTLANDS LÄN</t>
        </is>
      </c>
      <c r="E176" t="inlineStr">
        <is>
          <t>GOTLAND</t>
        </is>
      </c>
      <c r="G176" t="n">
        <v>7.4</v>
      </c>
      <c r="H176" t="n">
        <v>0</v>
      </c>
      <c r="I176" t="n">
        <v>0</v>
      </c>
      <c r="J176" t="n">
        <v>1</v>
      </c>
      <c r="K176" t="n">
        <v>0</v>
      </c>
      <c r="L176" t="n">
        <v>0</v>
      </c>
      <c r="M176" t="n">
        <v>0</v>
      </c>
      <c r="N176" t="n">
        <v>0</v>
      </c>
      <c r="O176" t="n">
        <v>1</v>
      </c>
      <c r="P176" t="n">
        <v>0</v>
      </c>
      <c r="Q176" t="n">
        <v>1</v>
      </c>
      <c r="R176" s="2" t="inlineStr">
        <is>
          <t>Loppstarr</t>
        </is>
      </c>
      <c r="S176">
        <f>HYPERLINK("https://klasma.github.io/Logging_0980/artfynd/A 61561-2023 artfynd.xlsx", "A 61561-2023")</f>
        <v/>
      </c>
      <c r="T176">
        <f>HYPERLINK("https://klasma.github.io/Logging_0980/kartor/A 61561-2023 karta.png", "A 61561-2023")</f>
        <v/>
      </c>
      <c r="V176">
        <f>HYPERLINK("https://klasma.github.io/Logging_0980/klagomål/A 61561-2023 FSC-klagomål.docx", "A 61561-2023")</f>
        <v/>
      </c>
      <c r="W176">
        <f>HYPERLINK("https://klasma.github.io/Logging_0980/klagomålsmail/A 61561-2023 FSC-klagomål mail.docx", "A 61561-2023")</f>
        <v/>
      </c>
      <c r="X176">
        <f>HYPERLINK("https://klasma.github.io/Logging_0980/tillsyn/A 61561-2023 tillsynsbegäran.docx", "A 61561-2023")</f>
        <v/>
      </c>
      <c r="Y176">
        <f>HYPERLINK("https://klasma.github.io/Logging_0980/tillsynsmail/A 61561-2023 tillsynsbegäran mail.docx", "A 61561-2023")</f>
        <v/>
      </c>
    </row>
    <row r="177" ht="15" customHeight="1">
      <c r="A177" t="inlineStr">
        <is>
          <t>A 447-2023</t>
        </is>
      </c>
      <c r="B177" s="1" t="n">
        <v>44929</v>
      </c>
      <c r="C177" s="1" t="n">
        <v>45975</v>
      </c>
      <c r="D177" t="inlineStr">
        <is>
          <t>GOTLANDS LÄN</t>
        </is>
      </c>
      <c r="E177" t="inlineStr">
        <is>
          <t>GOTLAND</t>
        </is>
      </c>
      <c r="G177" t="n">
        <v>5.1</v>
      </c>
      <c r="H177" t="n">
        <v>0</v>
      </c>
      <c r="I177" t="n">
        <v>0</v>
      </c>
      <c r="J177" t="n">
        <v>1</v>
      </c>
      <c r="K177" t="n">
        <v>0</v>
      </c>
      <c r="L177" t="n">
        <v>0</v>
      </c>
      <c r="M177" t="n">
        <v>0</v>
      </c>
      <c r="N177" t="n">
        <v>0</v>
      </c>
      <c r="O177" t="n">
        <v>1</v>
      </c>
      <c r="P177" t="n">
        <v>0</v>
      </c>
      <c r="Q177" t="n">
        <v>1</v>
      </c>
      <c r="R177" s="2" t="inlineStr">
        <is>
          <t>Äggspindling</t>
        </is>
      </c>
      <c r="S177">
        <f>HYPERLINK("https://klasma.github.io/Logging_0980/artfynd/A 447-2023 artfynd.xlsx", "A 447-2023")</f>
        <v/>
      </c>
      <c r="T177">
        <f>HYPERLINK("https://klasma.github.io/Logging_0980/kartor/A 447-2023 karta.png", "A 447-2023")</f>
        <v/>
      </c>
      <c r="V177">
        <f>HYPERLINK("https://klasma.github.io/Logging_0980/klagomål/A 447-2023 FSC-klagomål.docx", "A 447-2023")</f>
        <v/>
      </c>
      <c r="W177">
        <f>HYPERLINK("https://klasma.github.io/Logging_0980/klagomålsmail/A 447-2023 FSC-klagomål mail.docx", "A 447-2023")</f>
        <v/>
      </c>
      <c r="X177">
        <f>HYPERLINK("https://klasma.github.io/Logging_0980/tillsyn/A 447-2023 tillsynsbegäran.docx", "A 447-2023")</f>
        <v/>
      </c>
      <c r="Y177">
        <f>HYPERLINK("https://klasma.github.io/Logging_0980/tillsynsmail/A 447-2023 tillsynsbegäran mail.docx", "A 447-2023")</f>
        <v/>
      </c>
    </row>
    <row r="178" ht="15" customHeight="1">
      <c r="A178" t="inlineStr">
        <is>
          <t>A 35467-2021</t>
        </is>
      </c>
      <c r="B178" s="1" t="n">
        <v>44385</v>
      </c>
      <c r="C178" s="1" t="n">
        <v>45975</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63299-2020</t>
        </is>
      </c>
      <c r="B179" s="1" t="n">
        <v>44165</v>
      </c>
      <c r="C179" s="1" t="n">
        <v>45975</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44619-2025</t>
        </is>
      </c>
      <c r="B180" s="1" t="n">
        <v>45917</v>
      </c>
      <c r="C180" s="1" t="n">
        <v>45975</v>
      </c>
      <c r="D180" t="inlineStr">
        <is>
          <t>GOTLANDS LÄN</t>
        </is>
      </c>
      <c r="E180" t="inlineStr">
        <is>
          <t>GOTLAND</t>
        </is>
      </c>
      <c r="G180" t="n">
        <v>4.3</v>
      </c>
      <c r="H180" t="n">
        <v>0</v>
      </c>
      <c r="I180" t="n">
        <v>1</v>
      </c>
      <c r="J180" t="n">
        <v>0</v>
      </c>
      <c r="K180" t="n">
        <v>0</v>
      </c>
      <c r="L180" t="n">
        <v>0</v>
      </c>
      <c r="M180" t="n">
        <v>0</v>
      </c>
      <c r="N180" t="n">
        <v>0</v>
      </c>
      <c r="O180" t="n">
        <v>0</v>
      </c>
      <c r="P180" t="n">
        <v>0</v>
      </c>
      <c r="Q180" t="n">
        <v>1</v>
      </c>
      <c r="R180" s="2" t="inlineStr">
        <is>
          <t>Ögonpyrola</t>
        </is>
      </c>
      <c r="S180">
        <f>HYPERLINK("https://klasma.github.io/Logging_0980/artfynd/A 44619-2025 artfynd.xlsx", "A 44619-2025")</f>
        <v/>
      </c>
      <c r="T180">
        <f>HYPERLINK("https://klasma.github.io/Logging_0980/kartor/A 44619-2025 karta.png", "A 44619-2025")</f>
        <v/>
      </c>
      <c r="V180">
        <f>HYPERLINK("https://klasma.github.io/Logging_0980/klagomål/A 44619-2025 FSC-klagomål.docx", "A 44619-2025")</f>
        <v/>
      </c>
      <c r="W180">
        <f>HYPERLINK("https://klasma.github.io/Logging_0980/klagomålsmail/A 44619-2025 FSC-klagomål mail.docx", "A 44619-2025")</f>
        <v/>
      </c>
      <c r="X180">
        <f>HYPERLINK("https://klasma.github.io/Logging_0980/tillsyn/A 44619-2025 tillsynsbegäran.docx", "A 44619-2025")</f>
        <v/>
      </c>
      <c r="Y180">
        <f>HYPERLINK("https://klasma.github.io/Logging_0980/tillsynsmail/A 44619-2025 tillsynsbegäran mail.docx", "A 44619-2025")</f>
        <v/>
      </c>
    </row>
    <row r="181" ht="15" customHeight="1">
      <c r="A181" t="inlineStr">
        <is>
          <t>A 947-2023</t>
        </is>
      </c>
      <c r="B181" s="1" t="n">
        <v>44934</v>
      </c>
      <c r="C181" s="1" t="n">
        <v>45975</v>
      </c>
      <c r="D181" t="inlineStr">
        <is>
          <t>GOTLANDS LÄN</t>
        </is>
      </c>
      <c r="E181" t="inlineStr">
        <is>
          <t>GOTLAND</t>
        </is>
      </c>
      <c r="G181" t="n">
        <v>0.7</v>
      </c>
      <c r="H181" t="n">
        <v>1</v>
      </c>
      <c r="I181" t="n">
        <v>0</v>
      </c>
      <c r="J181" t="n">
        <v>0</v>
      </c>
      <c r="K181" t="n">
        <v>1</v>
      </c>
      <c r="L181" t="n">
        <v>0</v>
      </c>
      <c r="M181" t="n">
        <v>0</v>
      </c>
      <c r="N181" t="n">
        <v>0</v>
      </c>
      <c r="O181" t="n">
        <v>1</v>
      </c>
      <c r="P181" t="n">
        <v>1</v>
      </c>
      <c r="Q181" t="n">
        <v>1</v>
      </c>
      <c r="R181" s="2" t="inlineStr">
        <is>
          <t>Garderönn</t>
        </is>
      </c>
      <c r="S181">
        <f>HYPERLINK("https://klasma.github.io/Logging_0980/artfynd/A 947-2023 artfynd.xlsx", "A 947-2023")</f>
        <v/>
      </c>
      <c r="T181">
        <f>HYPERLINK("https://klasma.github.io/Logging_0980/kartor/A 947-2023 karta.png", "A 947-2023")</f>
        <v/>
      </c>
      <c r="V181">
        <f>HYPERLINK("https://klasma.github.io/Logging_0980/klagomål/A 947-2023 FSC-klagomål.docx", "A 947-2023")</f>
        <v/>
      </c>
      <c r="W181">
        <f>HYPERLINK("https://klasma.github.io/Logging_0980/klagomålsmail/A 947-2023 FSC-klagomål mail.docx", "A 947-2023")</f>
        <v/>
      </c>
      <c r="X181">
        <f>HYPERLINK("https://klasma.github.io/Logging_0980/tillsyn/A 947-2023 tillsynsbegäran.docx", "A 947-2023")</f>
        <v/>
      </c>
      <c r="Y181">
        <f>HYPERLINK("https://klasma.github.io/Logging_0980/tillsynsmail/A 947-2023 tillsynsbegäran mail.docx", "A 947-2023")</f>
        <v/>
      </c>
    </row>
    <row r="182" ht="15" customHeight="1">
      <c r="A182" t="inlineStr">
        <is>
          <t>A 27168-2022</t>
        </is>
      </c>
      <c r="B182" s="1" t="n">
        <v>44741</v>
      </c>
      <c r="C182" s="1" t="n">
        <v>45975</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49304-2024</t>
        </is>
      </c>
      <c r="B183" s="1" t="n">
        <v>45595.54996527778</v>
      </c>
      <c r="C183" s="1" t="n">
        <v>45975</v>
      </c>
      <c r="D183" t="inlineStr">
        <is>
          <t>GOTLANDS LÄN</t>
        </is>
      </c>
      <c r="E183" t="inlineStr">
        <is>
          <t>GOTLAND</t>
        </is>
      </c>
      <c r="G183" t="n">
        <v>10.8</v>
      </c>
      <c r="H183" t="n">
        <v>0</v>
      </c>
      <c r="I183" t="n">
        <v>0</v>
      </c>
      <c r="J183" t="n">
        <v>1</v>
      </c>
      <c r="K183" t="n">
        <v>0</v>
      </c>
      <c r="L183" t="n">
        <v>0</v>
      </c>
      <c r="M183" t="n">
        <v>0</v>
      </c>
      <c r="N183" t="n">
        <v>0</v>
      </c>
      <c r="O183" t="n">
        <v>1</v>
      </c>
      <c r="P183" t="n">
        <v>0</v>
      </c>
      <c r="Q183" t="n">
        <v>1</v>
      </c>
      <c r="R183" s="2" t="inlineStr">
        <is>
          <t>Åkerranunkel</t>
        </is>
      </c>
      <c r="S183">
        <f>HYPERLINK("https://klasma.github.io/Logging_0980/artfynd/A 49304-2024 artfynd.xlsx", "A 49304-2024")</f>
        <v/>
      </c>
      <c r="T183">
        <f>HYPERLINK("https://klasma.github.io/Logging_0980/kartor/A 49304-2024 karta.png", "A 49304-2024")</f>
        <v/>
      </c>
      <c r="V183">
        <f>HYPERLINK("https://klasma.github.io/Logging_0980/klagomål/A 49304-2024 FSC-klagomål.docx", "A 49304-2024")</f>
        <v/>
      </c>
      <c r="W183">
        <f>HYPERLINK("https://klasma.github.io/Logging_0980/klagomålsmail/A 49304-2024 FSC-klagomål mail.docx", "A 49304-2024")</f>
        <v/>
      </c>
      <c r="X183">
        <f>HYPERLINK("https://klasma.github.io/Logging_0980/tillsyn/A 49304-2024 tillsynsbegäran.docx", "A 49304-2024")</f>
        <v/>
      </c>
      <c r="Y183">
        <f>HYPERLINK("https://klasma.github.io/Logging_0980/tillsynsmail/A 49304-2024 tillsynsbegäran mail.docx", "A 49304-2024")</f>
        <v/>
      </c>
    </row>
    <row r="184" ht="15" customHeight="1">
      <c r="A184" t="inlineStr">
        <is>
          <t>A 34141-2024</t>
        </is>
      </c>
      <c r="B184" s="1" t="n">
        <v>45524.36229166666</v>
      </c>
      <c r="C184" s="1" t="n">
        <v>45975</v>
      </c>
      <c r="D184" t="inlineStr">
        <is>
          <t>GOTLANDS LÄN</t>
        </is>
      </c>
      <c r="E184" t="inlineStr">
        <is>
          <t>GOTLAND</t>
        </is>
      </c>
      <c r="G184" t="n">
        <v>0.9</v>
      </c>
      <c r="H184" t="n">
        <v>0</v>
      </c>
      <c r="I184" t="n">
        <v>1</v>
      </c>
      <c r="J184" t="n">
        <v>0</v>
      </c>
      <c r="K184" t="n">
        <v>0</v>
      </c>
      <c r="L184" t="n">
        <v>0</v>
      </c>
      <c r="M184" t="n">
        <v>0</v>
      </c>
      <c r="N184" t="n">
        <v>0</v>
      </c>
      <c r="O184" t="n">
        <v>0</v>
      </c>
      <c r="P184" t="n">
        <v>0</v>
      </c>
      <c r="Q184" t="n">
        <v>1</v>
      </c>
      <c r="R184" s="2" t="inlineStr">
        <is>
          <t>Strävlosta</t>
        </is>
      </c>
      <c r="S184">
        <f>HYPERLINK("https://klasma.github.io/Logging_0980/artfynd/A 34141-2024 artfynd.xlsx", "A 34141-2024")</f>
        <v/>
      </c>
      <c r="T184">
        <f>HYPERLINK("https://klasma.github.io/Logging_0980/kartor/A 34141-2024 karta.png", "A 34141-2024")</f>
        <v/>
      </c>
      <c r="V184">
        <f>HYPERLINK("https://klasma.github.io/Logging_0980/klagomål/A 34141-2024 FSC-klagomål.docx", "A 34141-2024")</f>
        <v/>
      </c>
      <c r="W184">
        <f>HYPERLINK("https://klasma.github.io/Logging_0980/klagomålsmail/A 34141-2024 FSC-klagomål mail.docx", "A 34141-2024")</f>
        <v/>
      </c>
      <c r="X184">
        <f>HYPERLINK("https://klasma.github.io/Logging_0980/tillsyn/A 34141-2024 tillsynsbegäran.docx", "A 34141-2024")</f>
        <v/>
      </c>
      <c r="Y184">
        <f>HYPERLINK("https://klasma.github.io/Logging_0980/tillsynsmail/A 34141-2024 tillsynsbegäran mail.docx", "A 34141-2024")</f>
        <v/>
      </c>
    </row>
    <row r="185" ht="15" customHeight="1">
      <c r="A185" t="inlineStr">
        <is>
          <t>A 9862-2024</t>
        </is>
      </c>
      <c r="B185" s="1" t="n">
        <v>45363</v>
      </c>
      <c r="C185" s="1" t="n">
        <v>45975</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22782-2023</t>
        </is>
      </c>
      <c r="B186" s="1" t="n">
        <v>45072</v>
      </c>
      <c r="C186" s="1" t="n">
        <v>45975</v>
      </c>
      <c r="D186" t="inlineStr">
        <is>
          <t>GOTLANDS LÄN</t>
        </is>
      </c>
      <c r="E186" t="inlineStr">
        <is>
          <t>GOTLAND</t>
        </is>
      </c>
      <c r="F186" t="inlineStr">
        <is>
          <t>Kyrkan</t>
        </is>
      </c>
      <c r="G186" t="n">
        <v>3.1</v>
      </c>
      <c r="H186" t="n">
        <v>1</v>
      </c>
      <c r="I186" t="n">
        <v>0</v>
      </c>
      <c r="J186" t="n">
        <v>0</v>
      </c>
      <c r="K186" t="n">
        <v>0</v>
      </c>
      <c r="L186" t="n">
        <v>0</v>
      </c>
      <c r="M186" t="n">
        <v>0</v>
      </c>
      <c r="N186" t="n">
        <v>0</v>
      </c>
      <c r="O186" t="n">
        <v>0</v>
      </c>
      <c r="P186" t="n">
        <v>0</v>
      </c>
      <c r="Q186" t="n">
        <v>1</v>
      </c>
      <c r="R186" s="2" t="inlineStr">
        <is>
          <t>Ängsnycklar × skogsnycklar</t>
        </is>
      </c>
      <c r="S186">
        <f>HYPERLINK("https://klasma.github.io/Logging_0980/artfynd/A 22782-2023 artfynd.xlsx", "A 22782-2023")</f>
        <v/>
      </c>
      <c r="T186">
        <f>HYPERLINK("https://klasma.github.io/Logging_0980/kartor/A 22782-2023 karta.png", "A 22782-2023")</f>
        <v/>
      </c>
      <c r="V186">
        <f>HYPERLINK("https://klasma.github.io/Logging_0980/klagomål/A 22782-2023 FSC-klagomål.docx", "A 22782-2023")</f>
        <v/>
      </c>
      <c r="W186">
        <f>HYPERLINK("https://klasma.github.io/Logging_0980/klagomålsmail/A 22782-2023 FSC-klagomål mail.docx", "A 22782-2023")</f>
        <v/>
      </c>
      <c r="X186">
        <f>HYPERLINK("https://klasma.github.io/Logging_0980/tillsyn/A 22782-2023 tillsynsbegäran.docx", "A 22782-2023")</f>
        <v/>
      </c>
      <c r="Y186">
        <f>HYPERLINK("https://klasma.github.io/Logging_0980/tillsynsmail/A 22782-2023 tillsynsbegäran mail.docx", "A 22782-2023")</f>
        <v/>
      </c>
    </row>
    <row r="187" ht="15" customHeight="1">
      <c r="A187" t="inlineStr">
        <is>
          <t>A 22883-2024</t>
        </is>
      </c>
      <c r="B187" s="1" t="n">
        <v>45448.66368055555</v>
      </c>
      <c r="C187" s="1" t="n">
        <v>45975</v>
      </c>
      <c r="D187" t="inlineStr">
        <is>
          <t>GOTLANDS LÄN</t>
        </is>
      </c>
      <c r="E187" t="inlineStr">
        <is>
          <t>GOTLAND</t>
        </is>
      </c>
      <c r="G187" t="n">
        <v>0.5</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22883-2024 artfynd.xlsx", "A 22883-2024")</f>
        <v/>
      </c>
      <c r="T187">
        <f>HYPERLINK("https://klasma.github.io/Logging_0980/kartor/A 22883-2024 karta.png", "A 22883-2024")</f>
        <v/>
      </c>
      <c r="V187">
        <f>HYPERLINK("https://klasma.github.io/Logging_0980/klagomål/A 22883-2024 FSC-klagomål.docx", "A 22883-2024")</f>
        <v/>
      </c>
      <c r="W187">
        <f>HYPERLINK("https://klasma.github.io/Logging_0980/klagomålsmail/A 22883-2024 FSC-klagomål mail.docx", "A 22883-2024")</f>
        <v/>
      </c>
      <c r="X187">
        <f>HYPERLINK("https://klasma.github.io/Logging_0980/tillsyn/A 22883-2024 tillsynsbegäran.docx", "A 22883-2024")</f>
        <v/>
      </c>
      <c r="Y187">
        <f>HYPERLINK("https://klasma.github.io/Logging_0980/tillsynsmail/A 22883-2024 tillsynsbegäran mail.docx", "A 22883-2024")</f>
        <v/>
      </c>
    </row>
    <row r="188" ht="15" customHeight="1">
      <c r="A188" t="inlineStr">
        <is>
          <t>A 19901-2021</t>
        </is>
      </c>
      <c r="B188" s="1" t="n">
        <v>44312</v>
      </c>
      <c r="C188" s="1" t="n">
        <v>45975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45975</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45975</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45975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45975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45975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45975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45975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45975</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45975</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45975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45975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45975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45975</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45975</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45975</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45975</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45975</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45975</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45975</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45975</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45975</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45975</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45975</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45975</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45975</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45975</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45975</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45975</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45975</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53225-2022</t>
        </is>
      </c>
      <c r="B220" s="1" t="n">
        <v>44876</v>
      </c>
      <c r="C220" s="1" t="n">
        <v>45975</v>
      </c>
      <c r="D220" t="inlineStr">
        <is>
          <t>GOTLANDS LÄN</t>
        </is>
      </c>
      <c r="E220" t="inlineStr">
        <is>
          <t>GOTLAND</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30055-2021</t>
        </is>
      </c>
      <c r="B221" s="1" t="n">
        <v>44363</v>
      </c>
      <c r="C221" s="1" t="n">
        <v>45975</v>
      </c>
      <c r="D221" t="inlineStr">
        <is>
          <t>GOTLANDS LÄN</t>
        </is>
      </c>
      <c r="E221" t="inlineStr">
        <is>
          <t>GOTLAND</t>
        </is>
      </c>
      <c r="G221" t="n">
        <v>1.8</v>
      </c>
      <c r="H221" t="n">
        <v>0</v>
      </c>
      <c r="I221" t="n">
        <v>0</v>
      </c>
      <c r="J221" t="n">
        <v>0</v>
      </c>
      <c r="K221" t="n">
        <v>0</v>
      </c>
      <c r="L221" t="n">
        <v>0</v>
      </c>
      <c r="M221" t="n">
        <v>0</v>
      </c>
      <c r="N221" t="n">
        <v>0</v>
      </c>
      <c r="O221" t="n">
        <v>0</v>
      </c>
      <c r="P221" t="n">
        <v>0</v>
      </c>
      <c r="Q221" t="n">
        <v>0</v>
      </c>
      <c r="R221" s="2" t="inlineStr"/>
    </row>
    <row r="222" ht="15" customHeight="1">
      <c r="A222" t="inlineStr">
        <is>
          <t>A 65393-2021</t>
        </is>
      </c>
      <c r="B222" s="1" t="n">
        <v>44515</v>
      </c>
      <c r="C222" s="1" t="n">
        <v>45975</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45975</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60607-2021</t>
        </is>
      </c>
      <c r="B224" s="1" t="n">
        <v>44496.58627314815</v>
      </c>
      <c r="C224" s="1" t="n">
        <v>45975</v>
      </c>
      <c r="D224" t="inlineStr">
        <is>
          <t>GOTLANDS LÄN</t>
        </is>
      </c>
      <c r="E224" t="inlineStr">
        <is>
          <t>GOTLAND</t>
        </is>
      </c>
      <c r="G224" t="n">
        <v>0.6</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45975</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45975</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45975</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22495-2022</t>
        </is>
      </c>
      <c r="B228" s="1" t="n">
        <v>44713.6452199074</v>
      </c>
      <c r="C228" s="1" t="n">
        <v>45975</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47369-2021</t>
        </is>
      </c>
      <c r="B229" s="1" t="n">
        <v>44447</v>
      </c>
      <c r="C229" s="1" t="n">
        <v>45975</v>
      </c>
      <c r="D229" t="inlineStr">
        <is>
          <t>GOTLANDS LÄN</t>
        </is>
      </c>
      <c r="E229" t="inlineStr">
        <is>
          <t>GOTLAND</t>
        </is>
      </c>
      <c r="G229" t="n">
        <v>2.3</v>
      </c>
      <c r="H229" t="n">
        <v>0</v>
      </c>
      <c r="I229" t="n">
        <v>0</v>
      </c>
      <c r="J229" t="n">
        <v>0</v>
      </c>
      <c r="K229" t="n">
        <v>0</v>
      </c>
      <c r="L229" t="n">
        <v>0</v>
      </c>
      <c r="M229" t="n">
        <v>0</v>
      </c>
      <c r="N229" t="n">
        <v>0</v>
      </c>
      <c r="O229" t="n">
        <v>0</v>
      </c>
      <c r="P229" t="n">
        <v>0</v>
      </c>
      <c r="Q229" t="n">
        <v>0</v>
      </c>
      <c r="R229" s="2" t="inlineStr"/>
    </row>
    <row r="230" ht="15" customHeight="1">
      <c r="A230" t="inlineStr">
        <is>
          <t>A 11029-2022</t>
        </is>
      </c>
      <c r="B230" s="1" t="n">
        <v>44628</v>
      </c>
      <c r="C230" s="1" t="n">
        <v>45975</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31239-2022</t>
        </is>
      </c>
      <c r="B231" s="1" t="n">
        <v>44771.49383101852</v>
      </c>
      <c r="C231" s="1" t="n">
        <v>45975</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64380-2020</t>
        </is>
      </c>
      <c r="B232" s="1" t="n">
        <v>44168.60128472222</v>
      </c>
      <c r="C232" s="1" t="n">
        <v>45975</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45975</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58224-2021</t>
        </is>
      </c>
      <c r="B234" s="1" t="n">
        <v>44487</v>
      </c>
      <c r="C234" s="1" t="n">
        <v>45975</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45975</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45975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45975</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27593-2023</t>
        </is>
      </c>
      <c r="B238" s="1" t="n">
        <v>45097</v>
      </c>
      <c r="C238" s="1" t="n">
        <v>45975</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21507-2021</t>
        </is>
      </c>
      <c r="B239" s="1" t="n">
        <v>44321</v>
      </c>
      <c r="C239" s="1" t="n">
        <v>45975</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57219-2021</t>
        </is>
      </c>
      <c r="B240" s="1" t="n">
        <v>44483</v>
      </c>
      <c r="C240" s="1" t="n">
        <v>45975</v>
      </c>
      <c r="D240" t="inlineStr">
        <is>
          <t>GOTLANDS LÄN</t>
        </is>
      </c>
      <c r="E240" t="inlineStr">
        <is>
          <t>GOTLAND</t>
        </is>
      </c>
      <c r="F240" t="inlineStr">
        <is>
          <t>Kyrkan</t>
        </is>
      </c>
      <c r="G240" t="n">
        <v>4</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45975</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63516-2023</t>
        </is>
      </c>
      <c r="B242" s="1" t="n">
        <v>45274</v>
      </c>
      <c r="C242" s="1" t="n">
        <v>45975</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62120-2020</t>
        </is>
      </c>
      <c r="B243" s="1" t="n">
        <v>44158</v>
      </c>
      <c r="C243" s="1" t="n">
        <v>45975</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3271-2021</t>
        </is>
      </c>
      <c r="B244" s="1" t="n">
        <v>44217</v>
      </c>
      <c r="C244" s="1" t="n">
        <v>45975</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24001-2021</t>
        </is>
      </c>
      <c r="B245" s="1" t="n">
        <v>44335</v>
      </c>
      <c r="C245" s="1" t="n">
        <v>45975</v>
      </c>
      <c r="D245" t="inlineStr">
        <is>
          <t>GOTLANDS LÄN</t>
        </is>
      </c>
      <c r="E245" t="inlineStr">
        <is>
          <t>GOTLAND</t>
        </is>
      </c>
      <c r="G245" t="n">
        <v>3.4</v>
      </c>
      <c r="H245" t="n">
        <v>0</v>
      </c>
      <c r="I245" t="n">
        <v>0</v>
      </c>
      <c r="J245" t="n">
        <v>0</v>
      </c>
      <c r="K245" t="n">
        <v>0</v>
      </c>
      <c r="L245" t="n">
        <v>0</v>
      </c>
      <c r="M245" t="n">
        <v>0</v>
      </c>
      <c r="N245" t="n">
        <v>0</v>
      </c>
      <c r="O245" t="n">
        <v>0</v>
      </c>
      <c r="P245" t="n">
        <v>0</v>
      </c>
      <c r="Q245" t="n">
        <v>0</v>
      </c>
      <c r="R245" s="2" t="inlineStr"/>
    </row>
    <row r="246" ht="15" customHeight="1">
      <c r="A246" t="inlineStr">
        <is>
          <t>A 46545-2024</t>
        </is>
      </c>
      <c r="B246" s="1" t="n">
        <v>45582.65831018519</v>
      </c>
      <c r="C246" s="1" t="n">
        <v>45975</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60086-2022</t>
        </is>
      </c>
      <c r="B247" s="1" t="n">
        <v>44909</v>
      </c>
      <c r="C247" s="1" t="n">
        <v>45975</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28480-2023</t>
        </is>
      </c>
      <c r="B248" s="1" t="n">
        <v>45103</v>
      </c>
      <c r="C248" s="1" t="n">
        <v>45975</v>
      </c>
      <c r="D248" t="inlineStr">
        <is>
          <t>GOTLANDS LÄN</t>
        </is>
      </c>
      <c r="E248" t="inlineStr">
        <is>
          <t>GOTLAND</t>
        </is>
      </c>
      <c r="G248" t="n">
        <v>5.7</v>
      </c>
      <c r="H248" t="n">
        <v>0</v>
      </c>
      <c r="I248" t="n">
        <v>0</v>
      </c>
      <c r="J248" t="n">
        <v>0</v>
      </c>
      <c r="K248" t="n">
        <v>0</v>
      </c>
      <c r="L248" t="n">
        <v>0</v>
      </c>
      <c r="M248" t="n">
        <v>0</v>
      </c>
      <c r="N248" t="n">
        <v>0</v>
      </c>
      <c r="O248" t="n">
        <v>0</v>
      </c>
      <c r="P248" t="n">
        <v>0</v>
      </c>
      <c r="Q248" t="n">
        <v>0</v>
      </c>
      <c r="R248" s="2" t="inlineStr"/>
    </row>
    <row r="249" ht="15" customHeight="1">
      <c r="A249" t="inlineStr">
        <is>
          <t>A 28485-2023</t>
        </is>
      </c>
      <c r="B249" s="1" t="n">
        <v>45103.43731481482</v>
      </c>
      <c r="C249" s="1" t="n">
        <v>45975</v>
      </c>
      <c r="D249" t="inlineStr">
        <is>
          <t>GOTLANDS LÄN</t>
        </is>
      </c>
      <c r="E249" t="inlineStr">
        <is>
          <t>GOTLAND</t>
        </is>
      </c>
      <c r="G249" t="n">
        <v>2.3</v>
      </c>
      <c r="H249" t="n">
        <v>0</v>
      </c>
      <c r="I249" t="n">
        <v>0</v>
      </c>
      <c r="J249" t="n">
        <v>0</v>
      </c>
      <c r="K249" t="n">
        <v>0</v>
      </c>
      <c r="L249" t="n">
        <v>0</v>
      </c>
      <c r="M249" t="n">
        <v>0</v>
      </c>
      <c r="N249" t="n">
        <v>0</v>
      </c>
      <c r="O249" t="n">
        <v>0</v>
      </c>
      <c r="P249" t="n">
        <v>0</v>
      </c>
      <c r="Q249" t="n">
        <v>0</v>
      </c>
      <c r="R249" s="2" t="inlineStr"/>
    </row>
    <row r="250" ht="15" customHeight="1">
      <c r="A250" t="inlineStr">
        <is>
          <t>A 62915-2021</t>
        </is>
      </c>
      <c r="B250" s="1" t="n">
        <v>44504</v>
      </c>
      <c r="C250" s="1" t="n">
        <v>45975</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25866-2022</t>
        </is>
      </c>
      <c r="B251" s="1" t="n">
        <v>44733</v>
      </c>
      <c r="C251" s="1" t="n">
        <v>45975</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44949-2023</t>
        </is>
      </c>
      <c r="B252" s="1" t="n">
        <v>45190.69520833333</v>
      </c>
      <c r="C252" s="1" t="n">
        <v>45975</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45975</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43229-2023</t>
        </is>
      </c>
      <c r="B254" s="1" t="n">
        <v>45183.46704861111</v>
      </c>
      <c r="C254" s="1" t="n">
        <v>45975</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1175-2025</t>
        </is>
      </c>
      <c r="B255" s="1" t="n">
        <v>45667.34449074074</v>
      </c>
      <c r="C255" s="1" t="n">
        <v>45975</v>
      </c>
      <c r="D255" t="inlineStr">
        <is>
          <t>GOTLANDS LÄN</t>
        </is>
      </c>
      <c r="E255" t="inlineStr">
        <is>
          <t>GOTLAND</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30282-2022</t>
        </is>
      </c>
      <c r="B256" s="1" t="n">
        <v>44760</v>
      </c>
      <c r="C256" s="1" t="n">
        <v>45975</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4868-2024</t>
        </is>
      </c>
      <c r="B257" s="1" t="n">
        <v>45329</v>
      </c>
      <c r="C257" s="1" t="n">
        <v>45975</v>
      </c>
      <c r="D257" t="inlineStr">
        <is>
          <t>GOTLANDS LÄN</t>
        </is>
      </c>
      <c r="E257" t="inlineStr">
        <is>
          <t>GOTLAND</t>
        </is>
      </c>
      <c r="G257" t="n">
        <v>7.1</v>
      </c>
      <c r="H257" t="n">
        <v>0</v>
      </c>
      <c r="I257" t="n">
        <v>0</v>
      </c>
      <c r="J257" t="n">
        <v>0</v>
      </c>
      <c r="K257" t="n">
        <v>0</v>
      </c>
      <c r="L257" t="n">
        <v>0</v>
      </c>
      <c r="M257" t="n">
        <v>0</v>
      </c>
      <c r="N257" t="n">
        <v>0</v>
      </c>
      <c r="O257" t="n">
        <v>0</v>
      </c>
      <c r="P257" t="n">
        <v>0</v>
      </c>
      <c r="Q257" t="n">
        <v>0</v>
      </c>
      <c r="R257" s="2" t="inlineStr"/>
    </row>
    <row r="258" ht="15" customHeight="1">
      <c r="A258" t="inlineStr">
        <is>
          <t>A 27095-2022</t>
        </is>
      </c>
      <c r="B258" s="1" t="n">
        <v>44741</v>
      </c>
      <c r="C258" s="1" t="n">
        <v>45975</v>
      </c>
      <c r="D258" t="inlineStr">
        <is>
          <t>GOTLANDS LÄN</t>
        </is>
      </c>
      <c r="E258" t="inlineStr">
        <is>
          <t>GOTLAND</t>
        </is>
      </c>
      <c r="F258" t="inlineStr">
        <is>
          <t>Övriga Aktiebolag</t>
        </is>
      </c>
      <c r="G258" t="n">
        <v>2.9</v>
      </c>
      <c r="H258" t="n">
        <v>0</v>
      </c>
      <c r="I258" t="n">
        <v>0</v>
      </c>
      <c r="J258" t="n">
        <v>0</v>
      </c>
      <c r="K258" t="n">
        <v>0</v>
      </c>
      <c r="L258" t="n">
        <v>0</v>
      </c>
      <c r="M258" t="n">
        <v>0</v>
      </c>
      <c r="N258" t="n">
        <v>0</v>
      </c>
      <c r="O258" t="n">
        <v>0</v>
      </c>
      <c r="P258" t="n">
        <v>0</v>
      </c>
      <c r="Q258" t="n">
        <v>0</v>
      </c>
      <c r="R258" s="2" t="inlineStr"/>
    </row>
    <row r="259" ht="15" customHeight="1">
      <c r="A259" t="inlineStr">
        <is>
          <t>A 22899-2023</t>
        </is>
      </c>
      <c r="B259" s="1" t="n">
        <v>45072</v>
      </c>
      <c r="C259" s="1" t="n">
        <v>45975</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1681-2023</t>
        </is>
      </c>
      <c r="B260" s="1" t="n">
        <v>44938.39715277778</v>
      </c>
      <c r="C260" s="1" t="n">
        <v>45975</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37222-2021</t>
        </is>
      </c>
      <c r="B261" s="1" t="n">
        <v>44396</v>
      </c>
      <c r="C261" s="1" t="n">
        <v>45975</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45975</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45084-2024</t>
        </is>
      </c>
      <c r="B263" s="1" t="n">
        <v>45575</v>
      </c>
      <c r="C263" s="1" t="n">
        <v>45975</v>
      </c>
      <c r="D263" t="inlineStr">
        <is>
          <t>GOTLANDS LÄN</t>
        </is>
      </c>
      <c r="E263" t="inlineStr">
        <is>
          <t>GOTLAND</t>
        </is>
      </c>
      <c r="G263" t="n">
        <v>6.8</v>
      </c>
      <c r="H263" t="n">
        <v>0</v>
      </c>
      <c r="I263" t="n">
        <v>0</v>
      </c>
      <c r="J263" t="n">
        <v>0</v>
      </c>
      <c r="K263" t="n">
        <v>0</v>
      </c>
      <c r="L263" t="n">
        <v>0</v>
      </c>
      <c r="M263" t="n">
        <v>0</v>
      </c>
      <c r="N263" t="n">
        <v>0</v>
      </c>
      <c r="O263" t="n">
        <v>0</v>
      </c>
      <c r="P263" t="n">
        <v>0</v>
      </c>
      <c r="Q263" t="n">
        <v>0</v>
      </c>
      <c r="R263" s="2" t="inlineStr"/>
    </row>
    <row r="264" ht="15" customHeight="1">
      <c r="A264" t="inlineStr">
        <is>
          <t>A 23978-2023</t>
        </is>
      </c>
      <c r="B264" s="1" t="n">
        <v>45078</v>
      </c>
      <c r="C264" s="1" t="n">
        <v>45975</v>
      </c>
      <c r="D264" t="inlineStr">
        <is>
          <t>GOTLANDS LÄN</t>
        </is>
      </c>
      <c r="E264" t="inlineStr">
        <is>
          <t>GOTLAND</t>
        </is>
      </c>
      <c r="F264" t="inlineStr">
        <is>
          <t>Naturvårdsverket</t>
        </is>
      </c>
      <c r="G264" t="n">
        <v>1.7</v>
      </c>
      <c r="H264" t="n">
        <v>0</v>
      </c>
      <c r="I264" t="n">
        <v>0</v>
      </c>
      <c r="J264" t="n">
        <v>0</v>
      </c>
      <c r="K264" t="n">
        <v>0</v>
      </c>
      <c r="L264" t="n">
        <v>0</v>
      </c>
      <c r="M264" t="n">
        <v>0</v>
      </c>
      <c r="N264" t="n">
        <v>0</v>
      </c>
      <c r="O264" t="n">
        <v>0</v>
      </c>
      <c r="P264" t="n">
        <v>0</v>
      </c>
      <c r="Q264" t="n">
        <v>0</v>
      </c>
      <c r="R264" s="2" t="inlineStr"/>
    </row>
    <row r="265" ht="15" customHeight="1">
      <c r="A265" t="inlineStr">
        <is>
          <t>A 34407-2023</t>
        </is>
      </c>
      <c r="B265" s="1" t="n">
        <v>45132</v>
      </c>
      <c r="C265" s="1" t="n">
        <v>45975</v>
      </c>
      <c r="D265" t="inlineStr">
        <is>
          <t>GOTLANDS LÄN</t>
        </is>
      </c>
      <c r="E265" t="inlineStr">
        <is>
          <t>GOTLAND</t>
        </is>
      </c>
      <c r="G265" t="n">
        <v>4.4</v>
      </c>
      <c r="H265" t="n">
        <v>0</v>
      </c>
      <c r="I265" t="n">
        <v>0</v>
      </c>
      <c r="J265" t="n">
        <v>0</v>
      </c>
      <c r="K265" t="n">
        <v>0</v>
      </c>
      <c r="L265" t="n">
        <v>0</v>
      </c>
      <c r="M265" t="n">
        <v>0</v>
      </c>
      <c r="N265" t="n">
        <v>0</v>
      </c>
      <c r="O265" t="n">
        <v>0</v>
      </c>
      <c r="P265" t="n">
        <v>0</v>
      </c>
      <c r="Q265" t="n">
        <v>0</v>
      </c>
      <c r="R265" s="2" t="inlineStr"/>
    </row>
    <row r="266" ht="15" customHeight="1">
      <c r="A266" t="inlineStr">
        <is>
          <t>A 11013-2024</t>
        </is>
      </c>
      <c r="B266" s="1" t="n">
        <v>45370</v>
      </c>
      <c r="C266" s="1" t="n">
        <v>45975</v>
      </c>
      <c r="D266" t="inlineStr">
        <is>
          <t>GOTLANDS LÄN</t>
        </is>
      </c>
      <c r="E266" t="inlineStr">
        <is>
          <t>GOTLAND</t>
        </is>
      </c>
      <c r="G266" t="n">
        <v>0.7</v>
      </c>
      <c r="H266" t="n">
        <v>0</v>
      </c>
      <c r="I266" t="n">
        <v>0</v>
      </c>
      <c r="J266" t="n">
        <v>0</v>
      </c>
      <c r="K266" t="n">
        <v>0</v>
      </c>
      <c r="L266" t="n">
        <v>0</v>
      </c>
      <c r="M266" t="n">
        <v>0</v>
      </c>
      <c r="N266" t="n">
        <v>0</v>
      </c>
      <c r="O266" t="n">
        <v>0</v>
      </c>
      <c r="P266" t="n">
        <v>0</v>
      </c>
      <c r="Q266" t="n">
        <v>0</v>
      </c>
      <c r="R266" s="2" t="inlineStr"/>
    </row>
    <row r="267" ht="15" customHeight="1">
      <c r="A267" t="inlineStr">
        <is>
          <t>A 27694-2024</t>
        </is>
      </c>
      <c r="B267" s="1" t="n">
        <v>45475</v>
      </c>
      <c r="C267" s="1" t="n">
        <v>45975</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6099-2024</t>
        </is>
      </c>
      <c r="B268" s="1" t="n">
        <v>45337</v>
      </c>
      <c r="C268" s="1" t="n">
        <v>45975</v>
      </c>
      <c r="D268" t="inlineStr">
        <is>
          <t>GOTLANDS LÄN</t>
        </is>
      </c>
      <c r="E268" t="inlineStr">
        <is>
          <t>GOTLAND</t>
        </is>
      </c>
      <c r="G268" t="n">
        <v>12.6</v>
      </c>
      <c r="H268" t="n">
        <v>0</v>
      </c>
      <c r="I268" t="n">
        <v>0</v>
      </c>
      <c r="J268" t="n">
        <v>0</v>
      </c>
      <c r="K268" t="n">
        <v>0</v>
      </c>
      <c r="L268" t="n">
        <v>0</v>
      </c>
      <c r="M268" t="n">
        <v>0</v>
      </c>
      <c r="N268" t="n">
        <v>0</v>
      </c>
      <c r="O268" t="n">
        <v>0</v>
      </c>
      <c r="P268" t="n">
        <v>0</v>
      </c>
      <c r="Q268" t="n">
        <v>0</v>
      </c>
      <c r="R268" s="2" t="inlineStr"/>
    </row>
    <row r="269" ht="15" customHeight="1">
      <c r="A269" t="inlineStr">
        <is>
          <t>A 32330-2024</t>
        </is>
      </c>
      <c r="B269" s="1" t="n">
        <v>45512</v>
      </c>
      <c r="C269" s="1" t="n">
        <v>45975</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15083-2025</t>
        </is>
      </c>
      <c r="B270" s="1" t="n">
        <v>45743</v>
      </c>
      <c r="C270" s="1" t="n">
        <v>45975</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13037-2025</t>
        </is>
      </c>
      <c r="B271" s="1" t="n">
        <v>45734</v>
      </c>
      <c r="C271" s="1" t="n">
        <v>45975</v>
      </c>
      <c r="D271" t="inlineStr">
        <is>
          <t>GOTLANDS LÄN</t>
        </is>
      </c>
      <c r="E271" t="inlineStr">
        <is>
          <t>GOTLAND</t>
        </is>
      </c>
      <c r="G271" t="n">
        <v>9.5</v>
      </c>
      <c r="H271" t="n">
        <v>0</v>
      </c>
      <c r="I271" t="n">
        <v>0</v>
      </c>
      <c r="J271" t="n">
        <v>0</v>
      </c>
      <c r="K271" t="n">
        <v>0</v>
      </c>
      <c r="L271" t="n">
        <v>0</v>
      </c>
      <c r="M271" t="n">
        <v>0</v>
      </c>
      <c r="N271" t="n">
        <v>0</v>
      </c>
      <c r="O271" t="n">
        <v>0</v>
      </c>
      <c r="P271" t="n">
        <v>0</v>
      </c>
      <c r="Q271" t="n">
        <v>0</v>
      </c>
      <c r="R271" s="2" t="inlineStr"/>
    </row>
    <row r="272" ht="15" customHeight="1">
      <c r="A272" t="inlineStr">
        <is>
          <t>A 1273-2023</t>
        </is>
      </c>
      <c r="B272" s="1" t="n">
        <v>44936</v>
      </c>
      <c r="C272" s="1" t="n">
        <v>45975</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5217-2023</t>
        </is>
      </c>
      <c r="B273" s="1" t="n">
        <v>44959.39582175926</v>
      </c>
      <c r="C273" s="1" t="n">
        <v>45975</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9613-2025</t>
        </is>
      </c>
      <c r="B274" s="1" t="n">
        <v>45715</v>
      </c>
      <c r="C274" s="1" t="n">
        <v>45975</v>
      </c>
      <c r="D274" t="inlineStr">
        <is>
          <t>GOTLANDS LÄN</t>
        </is>
      </c>
      <c r="E274" t="inlineStr">
        <is>
          <t>GOTLAND</t>
        </is>
      </c>
      <c r="G274" t="n">
        <v>3.5</v>
      </c>
      <c r="H274" t="n">
        <v>0</v>
      </c>
      <c r="I274" t="n">
        <v>0</v>
      </c>
      <c r="J274" t="n">
        <v>0</v>
      </c>
      <c r="K274" t="n">
        <v>0</v>
      </c>
      <c r="L274" t="n">
        <v>0</v>
      </c>
      <c r="M274" t="n">
        <v>0</v>
      </c>
      <c r="N274" t="n">
        <v>0</v>
      </c>
      <c r="O274" t="n">
        <v>0</v>
      </c>
      <c r="P274" t="n">
        <v>0</v>
      </c>
      <c r="Q274" t="n">
        <v>0</v>
      </c>
      <c r="R274" s="2" t="inlineStr"/>
    </row>
    <row r="275" ht="15" customHeight="1">
      <c r="A275" t="inlineStr">
        <is>
          <t>A 458-2023</t>
        </is>
      </c>
      <c r="B275" s="1" t="n">
        <v>44929</v>
      </c>
      <c r="C275" s="1" t="n">
        <v>45975</v>
      </c>
      <c r="D275" t="inlineStr">
        <is>
          <t>GOTLANDS LÄN</t>
        </is>
      </c>
      <c r="E275" t="inlineStr">
        <is>
          <t>GOTLAND</t>
        </is>
      </c>
      <c r="G275" t="n">
        <v>3.6</v>
      </c>
      <c r="H275" t="n">
        <v>0</v>
      </c>
      <c r="I275" t="n">
        <v>0</v>
      </c>
      <c r="J275" t="n">
        <v>0</v>
      </c>
      <c r="K275" t="n">
        <v>0</v>
      </c>
      <c r="L275" t="n">
        <v>0</v>
      </c>
      <c r="M275" t="n">
        <v>0</v>
      </c>
      <c r="N275" t="n">
        <v>0</v>
      </c>
      <c r="O275" t="n">
        <v>0</v>
      </c>
      <c r="P275" t="n">
        <v>0</v>
      </c>
      <c r="Q275" t="n">
        <v>0</v>
      </c>
      <c r="R275" s="2" t="inlineStr"/>
    </row>
    <row r="276" ht="15" customHeight="1">
      <c r="A276" t="inlineStr">
        <is>
          <t>A 15595-2024</t>
        </is>
      </c>
      <c r="B276" s="1" t="n">
        <v>45401.81480324074</v>
      </c>
      <c r="C276" s="1" t="n">
        <v>45975</v>
      </c>
      <c r="D276" t="inlineStr">
        <is>
          <t>GOTLANDS LÄN</t>
        </is>
      </c>
      <c r="E276" t="inlineStr">
        <is>
          <t>GOTLAND</t>
        </is>
      </c>
      <c r="G276" t="n">
        <v>6.4</v>
      </c>
      <c r="H276" t="n">
        <v>0</v>
      </c>
      <c r="I276" t="n">
        <v>0</v>
      </c>
      <c r="J276" t="n">
        <v>0</v>
      </c>
      <c r="K276" t="n">
        <v>0</v>
      </c>
      <c r="L276" t="n">
        <v>0</v>
      </c>
      <c r="M276" t="n">
        <v>0</v>
      </c>
      <c r="N276" t="n">
        <v>0</v>
      </c>
      <c r="O276" t="n">
        <v>0</v>
      </c>
      <c r="P276" t="n">
        <v>0</v>
      </c>
      <c r="Q276" t="n">
        <v>0</v>
      </c>
      <c r="R276" s="2" t="inlineStr"/>
    </row>
    <row r="277" ht="15" customHeight="1">
      <c r="A277" t="inlineStr">
        <is>
          <t>A 58780-2024</t>
        </is>
      </c>
      <c r="B277" s="1" t="n">
        <v>45635.84113425926</v>
      </c>
      <c r="C277" s="1" t="n">
        <v>45975</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5751-2024</t>
        </is>
      </c>
      <c r="B278" s="1" t="n">
        <v>45335.32702546296</v>
      </c>
      <c r="C278" s="1" t="n">
        <v>45975</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1677-2023</t>
        </is>
      </c>
      <c r="B279" s="1" t="n">
        <v>44938</v>
      </c>
      <c r="C279" s="1" t="n">
        <v>45975</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45692-2023</t>
        </is>
      </c>
      <c r="B280" s="1" t="n">
        <v>45195</v>
      </c>
      <c r="C280" s="1" t="n">
        <v>45975</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45244-2024</t>
        </is>
      </c>
      <c r="B281" s="1" t="n">
        <v>45576</v>
      </c>
      <c r="C281" s="1" t="n">
        <v>45975</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33876-2024</t>
        </is>
      </c>
      <c r="B282" s="1" t="n">
        <v>45521.87988425926</v>
      </c>
      <c r="C282" s="1" t="n">
        <v>45975</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44228-2022</t>
        </is>
      </c>
      <c r="B283" s="1" t="n">
        <v>44839.51599537037</v>
      </c>
      <c r="C283" s="1" t="n">
        <v>45975</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58132-2023</t>
        </is>
      </c>
      <c r="B284" s="1" t="n">
        <v>45250</v>
      </c>
      <c r="C284" s="1" t="n">
        <v>45975</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28285-2024</t>
        </is>
      </c>
      <c r="B285" s="1" t="n">
        <v>45477</v>
      </c>
      <c r="C285" s="1" t="n">
        <v>45975</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8260-2023</t>
        </is>
      </c>
      <c r="B286" s="1" t="n">
        <v>44974.61608796296</v>
      </c>
      <c r="C286" s="1" t="n">
        <v>45975</v>
      </c>
      <c r="D286" t="inlineStr">
        <is>
          <t>GOTLANDS LÄN</t>
        </is>
      </c>
      <c r="E286" t="inlineStr">
        <is>
          <t>GOTLAND</t>
        </is>
      </c>
      <c r="G286" t="n">
        <v>2.9</v>
      </c>
      <c r="H286" t="n">
        <v>0</v>
      </c>
      <c r="I286" t="n">
        <v>0</v>
      </c>
      <c r="J286" t="n">
        <v>0</v>
      </c>
      <c r="K286" t="n">
        <v>0</v>
      </c>
      <c r="L286" t="n">
        <v>0</v>
      </c>
      <c r="M286" t="n">
        <v>0</v>
      </c>
      <c r="N286" t="n">
        <v>0</v>
      </c>
      <c r="O286" t="n">
        <v>0</v>
      </c>
      <c r="P286" t="n">
        <v>0</v>
      </c>
      <c r="Q286" t="n">
        <v>0</v>
      </c>
      <c r="R286" s="2" t="inlineStr"/>
    </row>
    <row r="287" ht="15" customHeight="1">
      <c r="A287" t="inlineStr">
        <is>
          <t>A 61100-2022</t>
        </is>
      </c>
      <c r="B287" s="1" t="n">
        <v>44915</v>
      </c>
      <c r="C287" s="1" t="n">
        <v>45975</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64969-2023</t>
        </is>
      </c>
      <c r="B288" s="1" t="n">
        <v>45284.54009259259</v>
      </c>
      <c r="C288" s="1" t="n">
        <v>45975</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61682-2024</t>
        </is>
      </c>
      <c r="B289" s="1" t="n">
        <v>45647.48824074074</v>
      </c>
      <c r="C289" s="1" t="n">
        <v>45975</v>
      </c>
      <c r="D289" t="inlineStr">
        <is>
          <t>GOTLANDS LÄN</t>
        </is>
      </c>
      <c r="E289" t="inlineStr">
        <is>
          <t>GOTLAND</t>
        </is>
      </c>
      <c r="G289" t="n">
        <v>1.9</v>
      </c>
      <c r="H289" t="n">
        <v>0</v>
      </c>
      <c r="I289" t="n">
        <v>0</v>
      </c>
      <c r="J289" t="n">
        <v>0</v>
      </c>
      <c r="K289" t="n">
        <v>0</v>
      </c>
      <c r="L289" t="n">
        <v>0</v>
      </c>
      <c r="M289" t="n">
        <v>0</v>
      </c>
      <c r="N289" t="n">
        <v>0</v>
      </c>
      <c r="O289" t="n">
        <v>0</v>
      </c>
      <c r="P289" t="n">
        <v>0</v>
      </c>
      <c r="Q289" t="n">
        <v>0</v>
      </c>
      <c r="R289" s="2" t="inlineStr"/>
    </row>
    <row r="290" ht="15" customHeight="1">
      <c r="A290" t="inlineStr">
        <is>
          <t>A 48843-2024</t>
        </is>
      </c>
      <c r="B290" s="1" t="n">
        <v>45593</v>
      </c>
      <c r="C290" s="1" t="n">
        <v>45975</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17541-2024</t>
        </is>
      </c>
      <c r="B291" s="1" t="n">
        <v>45415</v>
      </c>
      <c r="C291" s="1" t="n">
        <v>45975</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2241-2025</t>
        </is>
      </c>
      <c r="B292" s="1" t="n">
        <v>45673.48710648148</v>
      </c>
      <c r="C292" s="1" t="n">
        <v>45975</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24966-2023</t>
        </is>
      </c>
      <c r="B293" s="1" t="n">
        <v>45085</v>
      </c>
      <c r="C293" s="1" t="n">
        <v>45975</v>
      </c>
      <c r="D293" t="inlineStr">
        <is>
          <t>GOTLANDS LÄN</t>
        </is>
      </c>
      <c r="E293" t="inlineStr">
        <is>
          <t>GOTLAND</t>
        </is>
      </c>
      <c r="G293" t="n">
        <v>7</v>
      </c>
      <c r="H293" t="n">
        <v>0</v>
      </c>
      <c r="I293" t="n">
        <v>0</v>
      </c>
      <c r="J293" t="n">
        <v>0</v>
      </c>
      <c r="K293" t="n">
        <v>0</v>
      </c>
      <c r="L293" t="n">
        <v>0</v>
      </c>
      <c r="M293" t="n">
        <v>0</v>
      </c>
      <c r="N293" t="n">
        <v>0</v>
      </c>
      <c r="O293" t="n">
        <v>0</v>
      </c>
      <c r="P293" t="n">
        <v>0</v>
      </c>
      <c r="Q293" t="n">
        <v>0</v>
      </c>
      <c r="R293" s="2" t="inlineStr"/>
    </row>
    <row r="294" ht="15" customHeight="1">
      <c r="A294" t="inlineStr">
        <is>
          <t>A 49884-2023</t>
        </is>
      </c>
      <c r="B294" s="1" t="n">
        <v>45213</v>
      </c>
      <c r="C294" s="1" t="n">
        <v>45975</v>
      </c>
      <c r="D294" t="inlineStr">
        <is>
          <t>GOTLANDS LÄN</t>
        </is>
      </c>
      <c r="E294" t="inlineStr">
        <is>
          <t>GOTLAND</t>
        </is>
      </c>
      <c r="G294" t="n">
        <v>8.9</v>
      </c>
      <c r="H294" t="n">
        <v>0</v>
      </c>
      <c r="I294" t="n">
        <v>0</v>
      </c>
      <c r="J294" t="n">
        <v>0</v>
      </c>
      <c r="K294" t="n">
        <v>0</v>
      </c>
      <c r="L294" t="n">
        <v>0</v>
      </c>
      <c r="M294" t="n">
        <v>0</v>
      </c>
      <c r="N294" t="n">
        <v>0</v>
      </c>
      <c r="O294" t="n">
        <v>0</v>
      </c>
      <c r="P294" t="n">
        <v>0</v>
      </c>
      <c r="Q294" t="n">
        <v>0</v>
      </c>
      <c r="R294" s="2" t="inlineStr"/>
    </row>
    <row r="295" ht="15" customHeight="1">
      <c r="A295" t="inlineStr">
        <is>
          <t>A 46189-2022</t>
        </is>
      </c>
      <c r="B295" s="1" t="n">
        <v>44847</v>
      </c>
      <c r="C295" s="1" t="n">
        <v>45975</v>
      </c>
      <c r="D295" t="inlineStr">
        <is>
          <t>GOTLANDS LÄN</t>
        </is>
      </c>
      <c r="E295" t="inlineStr">
        <is>
          <t>GOTLAND</t>
        </is>
      </c>
      <c r="G295" t="n">
        <v>0.4</v>
      </c>
      <c r="H295" t="n">
        <v>0</v>
      </c>
      <c r="I295" t="n">
        <v>0</v>
      </c>
      <c r="J295" t="n">
        <v>0</v>
      </c>
      <c r="K295" t="n">
        <v>0</v>
      </c>
      <c r="L295" t="n">
        <v>0</v>
      </c>
      <c r="M295" t="n">
        <v>0</v>
      </c>
      <c r="N295" t="n">
        <v>0</v>
      </c>
      <c r="O295" t="n">
        <v>0</v>
      </c>
      <c r="P295" t="n">
        <v>0</v>
      </c>
      <c r="Q295" t="n">
        <v>0</v>
      </c>
      <c r="R295" s="2" t="inlineStr"/>
    </row>
    <row r="296" ht="15" customHeight="1">
      <c r="A296" t="inlineStr">
        <is>
          <t>A 876-2024</t>
        </is>
      </c>
      <c r="B296" s="1" t="n">
        <v>45301</v>
      </c>
      <c r="C296" s="1" t="n">
        <v>45975</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15434-2024</t>
        </is>
      </c>
      <c r="B297" s="1" t="n">
        <v>45401.38836805556</v>
      </c>
      <c r="C297" s="1" t="n">
        <v>45975</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5943-2024</t>
        </is>
      </c>
      <c r="B298" s="1" t="n">
        <v>45336</v>
      </c>
      <c r="C298" s="1" t="n">
        <v>45975</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54073-2022</t>
        </is>
      </c>
      <c r="B299" s="1" t="n">
        <v>44881.50380787037</v>
      </c>
      <c r="C299" s="1" t="n">
        <v>45975</v>
      </c>
      <c r="D299" t="inlineStr">
        <is>
          <t>GOTLANDS LÄN</t>
        </is>
      </c>
      <c r="E299" t="inlineStr">
        <is>
          <t>GOTLAND</t>
        </is>
      </c>
      <c r="G299" t="n">
        <v>3.8</v>
      </c>
      <c r="H299" t="n">
        <v>0</v>
      </c>
      <c r="I299" t="n">
        <v>0</v>
      </c>
      <c r="J299" t="n">
        <v>0</v>
      </c>
      <c r="K299" t="n">
        <v>0</v>
      </c>
      <c r="L299" t="n">
        <v>0</v>
      </c>
      <c r="M299" t="n">
        <v>0</v>
      </c>
      <c r="N299" t="n">
        <v>0</v>
      </c>
      <c r="O299" t="n">
        <v>0</v>
      </c>
      <c r="P299" t="n">
        <v>0</v>
      </c>
      <c r="Q299" t="n">
        <v>0</v>
      </c>
      <c r="R299" s="2" t="inlineStr"/>
    </row>
    <row r="300" ht="15" customHeight="1">
      <c r="A300" t="inlineStr">
        <is>
          <t>A 16361-2024</t>
        </is>
      </c>
      <c r="B300" s="1" t="n">
        <v>45407</v>
      </c>
      <c r="C300" s="1" t="n">
        <v>45975</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41038-2023</t>
        </is>
      </c>
      <c r="B301" s="1" t="n">
        <v>45173.60959490741</v>
      </c>
      <c r="C301" s="1" t="n">
        <v>45975</v>
      </c>
      <c r="D301" t="inlineStr">
        <is>
          <t>GOTLANDS LÄN</t>
        </is>
      </c>
      <c r="E301" t="inlineStr">
        <is>
          <t>GOTLAND</t>
        </is>
      </c>
      <c r="G301" t="n">
        <v>2.7</v>
      </c>
      <c r="H301" t="n">
        <v>0</v>
      </c>
      <c r="I301" t="n">
        <v>0</v>
      </c>
      <c r="J301" t="n">
        <v>0</v>
      </c>
      <c r="K301" t="n">
        <v>0</v>
      </c>
      <c r="L301" t="n">
        <v>0</v>
      </c>
      <c r="M301" t="n">
        <v>0</v>
      </c>
      <c r="N301" t="n">
        <v>0</v>
      </c>
      <c r="O301" t="n">
        <v>0</v>
      </c>
      <c r="P301" t="n">
        <v>0</v>
      </c>
      <c r="Q301" t="n">
        <v>0</v>
      </c>
      <c r="R301" s="2" t="inlineStr"/>
    </row>
    <row r="302" ht="15" customHeight="1">
      <c r="A302" t="inlineStr">
        <is>
          <t>A 22031-2024</t>
        </is>
      </c>
      <c r="B302" s="1" t="n">
        <v>45443.60075231481</v>
      </c>
      <c r="C302" s="1" t="n">
        <v>45975</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22704-2023</t>
        </is>
      </c>
      <c r="B303" s="1" t="n">
        <v>45071</v>
      </c>
      <c r="C303" s="1" t="n">
        <v>45975</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58388-2022</t>
        </is>
      </c>
      <c r="B304" s="1" t="n">
        <v>44894</v>
      </c>
      <c r="C304" s="1" t="n">
        <v>45975</v>
      </c>
      <c r="D304" t="inlineStr">
        <is>
          <t>GOTLANDS LÄN</t>
        </is>
      </c>
      <c r="E304" t="inlineStr">
        <is>
          <t>GOTLAND</t>
        </is>
      </c>
      <c r="F304" t="inlineStr">
        <is>
          <t>Övriga statliga verk och myndigheter</t>
        </is>
      </c>
      <c r="G304" t="n">
        <v>3.1</v>
      </c>
      <c r="H304" t="n">
        <v>0</v>
      </c>
      <c r="I304" t="n">
        <v>0</v>
      </c>
      <c r="J304" t="n">
        <v>0</v>
      </c>
      <c r="K304" t="n">
        <v>0</v>
      </c>
      <c r="L304" t="n">
        <v>0</v>
      </c>
      <c r="M304" t="n">
        <v>0</v>
      </c>
      <c r="N304" t="n">
        <v>0</v>
      </c>
      <c r="O304" t="n">
        <v>0</v>
      </c>
      <c r="P304" t="n">
        <v>0</v>
      </c>
      <c r="Q304" t="n">
        <v>0</v>
      </c>
      <c r="R304" s="2" t="inlineStr"/>
    </row>
    <row r="305" ht="15" customHeight="1">
      <c r="A305" t="inlineStr">
        <is>
          <t>A 28425-2023</t>
        </is>
      </c>
      <c r="B305" s="1" t="n">
        <v>45102</v>
      </c>
      <c r="C305" s="1" t="n">
        <v>45975</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49314-2024</t>
        </is>
      </c>
      <c r="B306" s="1" t="n">
        <v>45595.55893518519</v>
      </c>
      <c r="C306" s="1" t="n">
        <v>45975</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58476-2022</t>
        </is>
      </c>
      <c r="B307" s="1" t="n">
        <v>44902</v>
      </c>
      <c r="C307" s="1" t="n">
        <v>45975</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14427-2024</t>
        </is>
      </c>
      <c r="B308" s="1" t="n">
        <v>45394</v>
      </c>
      <c r="C308" s="1" t="n">
        <v>45975</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44919-2022</t>
        </is>
      </c>
      <c r="B309" s="1" t="n">
        <v>44841</v>
      </c>
      <c r="C309" s="1" t="n">
        <v>45975</v>
      </c>
      <c r="D309" t="inlineStr">
        <is>
          <t>GOTLANDS LÄN</t>
        </is>
      </c>
      <c r="E309" t="inlineStr">
        <is>
          <t>GOTLAND</t>
        </is>
      </c>
      <c r="G309" t="n">
        <v>2.2</v>
      </c>
      <c r="H309" t="n">
        <v>0</v>
      </c>
      <c r="I309" t="n">
        <v>0</v>
      </c>
      <c r="J309" t="n">
        <v>0</v>
      </c>
      <c r="K309" t="n">
        <v>0</v>
      </c>
      <c r="L309" t="n">
        <v>0</v>
      </c>
      <c r="M309" t="n">
        <v>0</v>
      </c>
      <c r="N309" t="n">
        <v>0</v>
      </c>
      <c r="O309" t="n">
        <v>0</v>
      </c>
      <c r="P309" t="n">
        <v>0</v>
      </c>
      <c r="Q309" t="n">
        <v>0</v>
      </c>
      <c r="R309" s="2" t="inlineStr"/>
    </row>
    <row r="310" ht="15" customHeight="1">
      <c r="A310" t="inlineStr">
        <is>
          <t>A 31802-2024</t>
        </is>
      </c>
      <c r="B310" s="1" t="n">
        <v>45509</v>
      </c>
      <c r="C310" s="1" t="n">
        <v>45975</v>
      </c>
      <c r="D310" t="inlineStr">
        <is>
          <t>GOTLANDS LÄN</t>
        </is>
      </c>
      <c r="E310" t="inlineStr">
        <is>
          <t>GOTLAND</t>
        </is>
      </c>
      <c r="G310" t="n">
        <v>2.8</v>
      </c>
      <c r="H310" t="n">
        <v>0</v>
      </c>
      <c r="I310" t="n">
        <v>0</v>
      </c>
      <c r="J310" t="n">
        <v>0</v>
      </c>
      <c r="K310" t="n">
        <v>0</v>
      </c>
      <c r="L310" t="n">
        <v>0</v>
      </c>
      <c r="M310" t="n">
        <v>0</v>
      </c>
      <c r="N310" t="n">
        <v>0</v>
      </c>
      <c r="O310" t="n">
        <v>0</v>
      </c>
      <c r="P310" t="n">
        <v>0</v>
      </c>
      <c r="Q310" t="n">
        <v>0</v>
      </c>
      <c r="R310" s="2" t="inlineStr"/>
    </row>
    <row r="311" ht="15" customHeight="1">
      <c r="A311" t="inlineStr">
        <is>
          <t>A 21792-2024</t>
        </is>
      </c>
      <c r="B311" s="1" t="n">
        <v>45442.64326388889</v>
      </c>
      <c r="C311" s="1" t="n">
        <v>45975</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8036-2022</t>
        </is>
      </c>
      <c r="B312" s="1" t="n">
        <v>44609.44362268518</v>
      </c>
      <c r="C312" s="1" t="n">
        <v>45975</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12846-2025</t>
        </is>
      </c>
      <c r="B313" s="1" t="n">
        <v>45733.65049768519</v>
      </c>
      <c r="C313" s="1" t="n">
        <v>45975</v>
      </c>
      <c r="D313" t="inlineStr">
        <is>
          <t>GOTLANDS LÄN</t>
        </is>
      </c>
      <c r="E313" t="inlineStr">
        <is>
          <t>GOTLAND</t>
        </is>
      </c>
      <c r="G313" t="n">
        <v>1.7</v>
      </c>
      <c r="H313" t="n">
        <v>0</v>
      </c>
      <c r="I313" t="n">
        <v>0</v>
      </c>
      <c r="J313" t="n">
        <v>0</v>
      </c>
      <c r="K313" t="n">
        <v>0</v>
      </c>
      <c r="L313" t="n">
        <v>0</v>
      </c>
      <c r="M313" t="n">
        <v>0</v>
      </c>
      <c r="N313" t="n">
        <v>0</v>
      </c>
      <c r="O313" t="n">
        <v>0</v>
      </c>
      <c r="P313" t="n">
        <v>0</v>
      </c>
      <c r="Q313" t="n">
        <v>0</v>
      </c>
      <c r="R313" s="2" t="inlineStr"/>
    </row>
    <row r="314" ht="15" customHeight="1">
      <c r="A314" t="inlineStr">
        <is>
          <t>A 43200-2023</t>
        </is>
      </c>
      <c r="B314" s="1" t="n">
        <v>45183</v>
      </c>
      <c r="C314" s="1" t="n">
        <v>45975</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43223-2023</t>
        </is>
      </c>
      <c r="B315" s="1" t="n">
        <v>45183.45642361111</v>
      </c>
      <c r="C315" s="1" t="n">
        <v>45975</v>
      </c>
      <c r="D315" t="inlineStr">
        <is>
          <t>GOTLANDS LÄN</t>
        </is>
      </c>
      <c r="E315" t="inlineStr">
        <is>
          <t>GOTLAND</t>
        </is>
      </c>
      <c r="G315" t="n">
        <v>1.8</v>
      </c>
      <c r="H315" t="n">
        <v>0</v>
      </c>
      <c r="I315" t="n">
        <v>0</v>
      </c>
      <c r="J315" t="n">
        <v>0</v>
      </c>
      <c r="K315" t="n">
        <v>0</v>
      </c>
      <c r="L315" t="n">
        <v>0</v>
      </c>
      <c r="M315" t="n">
        <v>0</v>
      </c>
      <c r="N315" t="n">
        <v>0</v>
      </c>
      <c r="O315" t="n">
        <v>0</v>
      </c>
      <c r="P315" t="n">
        <v>0</v>
      </c>
      <c r="Q315" t="n">
        <v>0</v>
      </c>
      <c r="R315" s="2" t="inlineStr"/>
    </row>
    <row r="316" ht="15" customHeight="1">
      <c r="A316" t="inlineStr">
        <is>
          <t>A 12327-2025</t>
        </is>
      </c>
      <c r="B316" s="1" t="n">
        <v>45730</v>
      </c>
      <c r="C316" s="1" t="n">
        <v>45975</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3431-2025</t>
        </is>
      </c>
      <c r="B317" s="1" t="n">
        <v>45680.42935185185</v>
      </c>
      <c r="C317" s="1" t="n">
        <v>45975</v>
      </c>
      <c r="D317" t="inlineStr">
        <is>
          <t>GOTLANDS LÄN</t>
        </is>
      </c>
      <c r="E317" t="inlineStr">
        <is>
          <t>GOTLAND</t>
        </is>
      </c>
      <c r="G317" t="n">
        <v>4.8</v>
      </c>
      <c r="H317" t="n">
        <v>0</v>
      </c>
      <c r="I317" t="n">
        <v>0</v>
      </c>
      <c r="J317" t="n">
        <v>0</v>
      </c>
      <c r="K317" t="n">
        <v>0</v>
      </c>
      <c r="L317" t="n">
        <v>0</v>
      </c>
      <c r="M317" t="n">
        <v>0</v>
      </c>
      <c r="N317" t="n">
        <v>0</v>
      </c>
      <c r="O317" t="n">
        <v>0</v>
      </c>
      <c r="P317" t="n">
        <v>0</v>
      </c>
      <c r="Q317" t="n">
        <v>0</v>
      </c>
      <c r="R317" s="2" t="inlineStr"/>
    </row>
    <row r="318" ht="15" customHeight="1">
      <c r="A318" t="inlineStr">
        <is>
          <t>A 12209-2024</t>
        </is>
      </c>
      <c r="B318" s="1" t="n">
        <v>45378</v>
      </c>
      <c r="C318" s="1" t="n">
        <v>45975</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12210-2024</t>
        </is>
      </c>
      <c r="B319" s="1" t="n">
        <v>45378</v>
      </c>
      <c r="C319" s="1" t="n">
        <v>45975</v>
      </c>
      <c r="D319" t="inlineStr">
        <is>
          <t>GOTLANDS LÄN</t>
        </is>
      </c>
      <c r="E319" t="inlineStr">
        <is>
          <t>GOTLAND</t>
        </is>
      </c>
      <c r="G319" t="n">
        <v>4.1</v>
      </c>
      <c r="H319" t="n">
        <v>0</v>
      </c>
      <c r="I319" t="n">
        <v>0</v>
      </c>
      <c r="J319" t="n">
        <v>0</v>
      </c>
      <c r="K319" t="n">
        <v>0</v>
      </c>
      <c r="L319" t="n">
        <v>0</v>
      </c>
      <c r="M319" t="n">
        <v>0</v>
      </c>
      <c r="N319" t="n">
        <v>0</v>
      </c>
      <c r="O319" t="n">
        <v>0</v>
      </c>
      <c r="P319" t="n">
        <v>0</v>
      </c>
      <c r="Q319" t="n">
        <v>0</v>
      </c>
      <c r="R319" s="2" t="inlineStr"/>
    </row>
    <row r="320" ht="15" customHeight="1">
      <c r="A320" t="inlineStr">
        <is>
          <t>A 48503-2023</t>
        </is>
      </c>
      <c r="B320" s="1" t="n">
        <v>45207</v>
      </c>
      <c r="C320" s="1" t="n">
        <v>45975</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17688-2024</t>
        </is>
      </c>
      <c r="B321" s="1" t="n">
        <v>45418.43575231481</v>
      </c>
      <c r="C321" s="1" t="n">
        <v>45975</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1364-2025</t>
        </is>
      </c>
      <c r="B322" s="1" t="n">
        <v>45667.63929398148</v>
      </c>
      <c r="C322" s="1" t="n">
        <v>45975</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15042-2025</t>
        </is>
      </c>
      <c r="B323" s="1" t="n">
        <v>45743</v>
      </c>
      <c r="C323" s="1" t="n">
        <v>45975</v>
      </c>
      <c r="D323" t="inlineStr">
        <is>
          <t>GOTLANDS LÄN</t>
        </is>
      </c>
      <c r="E323" t="inlineStr">
        <is>
          <t>GOTLAND</t>
        </is>
      </c>
      <c r="G323" t="n">
        <v>8.5</v>
      </c>
      <c r="H323" t="n">
        <v>0</v>
      </c>
      <c r="I323" t="n">
        <v>0</v>
      </c>
      <c r="J323" t="n">
        <v>0</v>
      </c>
      <c r="K323" t="n">
        <v>0</v>
      </c>
      <c r="L323" t="n">
        <v>0</v>
      </c>
      <c r="M323" t="n">
        <v>0</v>
      </c>
      <c r="N323" t="n">
        <v>0</v>
      </c>
      <c r="O323" t="n">
        <v>0</v>
      </c>
      <c r="P323" t="n">
        <v>0</v>
      </c>
      <c r="Q323" t="n">
        <v>0</v>
      </c>
      <c r="R323" s="2" t="inlineStr"/>
    </row>
    <row r="324" ht="15" customHeight="1">
      <c r="A324" t="inlineStr">
        <is>
          <t>A 7837-2024</t>
        </is>
      </c>
      <c r="B324" s="1" t="n">
        <v>45349.83787037037</v>
      </c>
      <c r="C324" s="1" t="n">
        <v>45975</v>
      </c>
      <c r="D324" t="inlineStr">
        <is>
          <t>GOTLANDS LÄN</t>
        </is>
      </c>
      <c r="E324" t="inlineStr">
        <is>
          <t>GOTLAND</t>
        </is>
      </c>
      <c r="G324" t="n">
        <v>5</v>
      </c>
      <c r="H324" t="n">
        <v>0</v>
      </c>
      <c r="I324" t="n">
        <v>0</v>
      </c>
      <c r="J324" t="n">
        <v>0</v>
      </c>
      <c r="K324" t="n">
        <v>0</v>
      </c>
      <c r="L324" t="n">
        <v>0</v>
      </c>
      <c r="M324" t="n">
        <v>0</v>
      </c>
      <c r="N324" t="n">
        <v>0</v>
      </c>
      <c r="O324" t="n">
        <v>0</v>
      </c>
      <c r="P324" t="n">
        <v>0</v>
      </c>
      <c r="Q324" t="n">
        <v>0</v>
      </c>
      <c r="R324" s="2" t="inlineStr"/>
    </row>
    <row r="325" ht="15" customHeight="1">
      <c r="A325" t="inlineStr">
        <is>
          <t>A 65901-2021</t>
        </is>
      </c>
      <c r="B325" s="1" t="n">
        <v>44516</v>
      </c>
      <c r="C325" s="1" t="n">
        <v>45975</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46949-2024</t>
        </is>
      </c>
      <c r="B326" s="1" t="n">
        <v>45585</v>
      </c>
      <c r="C326" s="1" t="n">
        <v>45975</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10650-2022</t>
        </is>
      </c>
      <c r="B327" s="1" t="n">
        <v>44624.57945601852</v>
      </c>
      <c r="C327" s="1" t="n">
        <v>45975</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2180-2025</t>
        </is>
      </c>
      <c r="B328" s="1" t="n">
        <v>45673</v>
      </c>
      <c r="C328" s="1" t="n">
        <v>45975</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15436-2025</t>
        </is>
      </c>
      <c r="B329" s="1" t="n">
        <v>45747.47462962963</v>
      </c>
      <c r="C329" s="1" t="n">
        <v>45975</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44649-2021</t>
        </is>
      </c>
      <c r="B330" s="1" t="n">
        <v>44437</v>
      </c>
      <c r="C330" s="1" t="n">
        <v>45975</v>
      </c>
      <c r="D330" t="inlineStr">
        <is>
          <t>GOTLANDS LÄN</t>
        </is>
      </c>
      <c r="E330" t="inlineStr">
        <is>
          <t>GOTLAND</t>
        </is>
      </c>
      <c r="G330" t="n">
        <v>8.1</v>
      </c>
      <c r="H330" t="n">
        <v>0</v>
      </c>
      <c r="I330" t="n">
        <v>0</v>
      </c>
      <c r="J330" t="n">
        <v>0</v>
      </c>
      <c r="K330" t="n">
        <v>0</v>
      </c>
      <c r="L330" t="n">
        <v>0</v>
      </c>
      <c r="M330" t="n">
        <v>0</v>
      </c>
      <c r="N330" t="n">
        <v>0</v>
      </c>
      <c r="O330" t="n">
        <v>0</v>
      </c>
      <c r="P330" t="n">
        <v>0</v>
      </c>
      <c r="Q330" t="n">
        <v>0</v>
      </c>
      <c r="R330" s="2" t="inlineStr"/>
    </row>
    <row r="331" ht="15" customHeight="1">
      <c r="A331" t="inlineStr">
        <is>
          <t>A 4568-2025</t>
        </is>
      </c>
      <c r="B331" s="1" t="n">
        <v>45687</v>
      </c>
      <c r="C331" s="1" t="n">
        <v>45975</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49257-2024</t>
        </is>
      </c>
      <c r="B332" s="1" t="n">
        <v>45595.47627314815</v>
      </c>
      <c r="C332" s="1" t="n">
        <v>45975</v>
      </c>
      <c r="D332" t="inlineStr">
        <is>
          <t>GOTLANDS LÄN</t>
        </is>
      </c>
      <c r="E332" t="inlineStr">
        <is>
          <t>GOTLAND</t>
        </is>
      </c>
      <c r="G332" t="n">
        <v>6.3</v>
      </c>
      <c r="H332" t="n">
        <v>0</v>
      </c>
      <c r="I332" t="n">
        <v>0</v>
      </c>
      <c r="J332" t="n">
        <v>0</v>
      </c>
      <c r="K332" t="n">
        <v>0</v>
      </c>
      <c r="L332" t="n">
        <v>0</v>
      </c>
      <c r="M332" t="n">
        <v>0</v>
      </c>
      <c r="N332" t="n">
        <v>0</v>
      </c>
      <c r="O332" t="n">
        <v>0</v>
      </c>
      <c r="P332" t="n">
        <v>0</v>
      </c>
      <c r="Q332" t="n">
        <v>0</v>
      </c>
      <c r="R332" s="2" t="inlineStr"/>
    </row>
    <row r="333" ht="15" customHeight="1">
      <c r="A333" t="inlineStr">
        <is>
          <t>A 9947-2024</t>
        </is>
      </c>
      <c r="B333" s="1" t="n">
        <v>45363</v>
      </c>
      <c r="C333" s="1" t="n">
        <v>45975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37202-2024</t>
        </is>
      </c>
      <c r="B334" s="1" t="n">
        <v>45539.67310185185</v>
      </c>
      <c r="C334" s="1" t="n">
        <v>45975</v>
      </c>
      <c r="D334" t="inlineStr">
        <is>
          <t>GOTLANDS LÄN</t>
        </is>
      </c>
      <c r="E334" t="inlineStr">
        <is>
          <t>GOTLAND</t>
        </is>
      </c>
      <c r="G334" t="n">
        <v>0.3</v>
      </c>
      <c r="H334" t="n">
        <v>0</v>
      </c>
      <c r="I334" t="n">
        <v>0</v>
      </c>
      <c r="J334" t="n">
        <v>0</v>
      </c>
      <c r="K334" t="n">
        <v>0</v>
      </c>
      <c r="L334" t="n">
        <v>0</v>
      </c>
      <c r="M334" t="n">
        <v>0</v>
      </c>
      <c r="N334" t="n">
        <v>0</v>
      </c>
      <c r="O334" t="n">
        <v>0</v>
      </c>
      <c r="P334" t="n">
        <v>0</v>
      </c>
      <c r="Q334" t="n">
        <v>0</v>
      </c>
      <c r="R334" s="2" t="inlineStr"/>
    </row>
    <row r="335" ht="15" customHeight="1">
      <c r="A335" t="inlineStr">
        <is>
          <t>A 44304-2021</t>
        </is>
      </c>
      <c r="B335" s="1" t="n">
        <v>44434</v>
      </c>
      <c r="C335" s="1" t="n">
        <v>45975</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56115-2023</t>
        </is>
      </c>
      <c r="B336" s="1" t="n">
        <v>45236</v>
      </c>
      <c r="C336" s="1" t="n">
        <v>45975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17682-2024</t>
        </is>
      </c>
      <c r="B337" s="1" t="n">
        <v>45418.42966435185</v>
      </c>
      <c r="C337" s="1" t="n">
        <v>45975</v>
      </c>
      <c r="D337" t="inlineStr">
        <is>
          <t>GOTLANDS LÄN</t>
        </is>
      </c>
      <c r="E337" t="inlineStr">
        <is>
          <t>GOTLAND</t>
        </is>
      </c>
      <c r="G337" t="n">
        <v>2.9</v>
      </c>
      <c r="H337" t="n">
        <v>0</v>
      </c>
      <c r="I337" t="n">
        <v>0</v>
      </c>
      <c r="J337" t="n">
        <v>0</v>
      </c>
      <c r="K337" t="n">
        <v>0</v>
      </c>
      <c r="L337" t="n">
        <v>0</v>
      </c>
      <c r="M337" t="n">
        <v>0</v>
      </c>
      <c r="N337" t="n">
        <v>0</v>
      </c>
      <c r="O337" t="n">
        <v>0</v>
      </c>
      <c r="P337" t="n">
        <v>0</v>
      </c>
      <c r="Q337" t="n">
        <v>0</v>
      </c>
      <c r="R337" s="2" t="inlineStr"/>
    </row>
    <row r="338" ht="15" customHeight="1">
      <c r="A338" t="inlineStr">
        <is>
          <t>A 57522-2022</t>
        </is>
      </c>
      <c r="B338" s="1" t="n">
        <v>44896</v>
      </c>
      <c r="C338" s="1" t="n">
        <v>45975</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35512-2023</t>
        </is>
      </c>
      <c r="B339" s="1" t="n">
        <v>45147.25623842593</v>
      </c>
      <c r="C339" s="1" t="n">
        <v>45975</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5905-2024</t>
        </is>
      </c>
      <c r="B340" s="1" t="n">
        <v>45335.88993055555</v>
      </c>
      <c r="C340" s="1" t="n">
        <v>45975</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1291-2023</t>
        </is>
      </c>
      <c r="B341" s="1" t="n">
        <v>44936.47561342592</v>
      </c>
      <c r="C341" s="1" t="n">
        <v>45975</v>
      </c>
      <c r="D341" t="inlineStr">
        <is>
          <t>GOTLANDS LÄN</t>
        </is>
      </c>
      <c r="E341" t="inlineStr">
        <is>
          <t>GOTLAND</t>
        </is>
      </c>
      <c r="G341" t="n">
        <v>7.4</v>
      </c>
      <c r="H341" t="n">
        <v>0</v>
      </c>
      <c r="I341" t="n">
        <v>0</v>
      </c>
      <c r="J341" t="n">
        <v>0</v>
      </c>
      <c r="K341" t="n">
        <v>0</v>
      </c>
      <c r="L341" t="n">
        <v>0</v>
      </c>
      <c r="M341" t="n">
        <v>0</v>
      </c>
      <c r="N341" t="n">
        <v>0</v>
      </c>
      <c r="O341" t="n">
        <v>0</v>
      </c>
      <c r="P341" t="n">
        <v>0</v>
      </c>
      <c r="Q341" t="n">
        <v>0</v>
      </c>
      <c r="R341" s="2" t="inlineStr"/>
    </row>
    <row r="342" ht="15" customHeight="1">
      <c r="A342" t="inlineStr">
        <is>
          <t>A 2774-2024</t>
        </is>
      </c>
      <c r="B342" s="1" t="n">
        <v>45314.62375</v>
      </c>
      <c r="C342" s="1" t="n">
        <v>45975</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57652-2023</t>
        </is>
      </c>
      <c r="B343" s="1" t="n">
        <v>45246</v>
      </c>
      <c r="C343" s="1" t="n">
        <v>45975</v>
      </c>
      <c r="D343" t="inlineStr">
        <is>
          <t>GOTLANDS LÄN</t>
        </is>
      </c>
      <c r="E343" t="inlineStr">
        <is>
          <t>GOTLAND</t>
        </is>
      </c>
      <c r="G343" t="n">
        <v>7.2</v>
      </c>
      <c r="H343" t="n">
        <v>0</v>
      </c>
      <c r="I343" t="n">
        <v>0</v>
      </c>
      <c r="J343" t="n">
        <v>0</v>
      </c>
      <c r="K343" t="n">
        <v>0</v>
      </c>
      <c r="L343" t="n">
        <v>0</v>
      </c>
      <c r="M343" t="n">
        <v>0</v>
      </c>
      <c r="N343" t="n">
        <v>0</v>
      </c>
      <c r="O343" t="n">
        <v>0</v>
      </c>
      <c r="P343" t="n">
        <v>0</v>
      </c>
      <c r="Q343" t="n">
        <v>0</v>
      </c>
      <c r="R343" s="2" t="inlineStr"/>
    </row>
    <row r="344" ht="15" customHeight="1">
      <c r="A344" t="inlineStr">
        <is>
          <t>A 60709-2023</t>
        </is>
      </c>
      <c r="B344" s="1" t="n">
        <v>45260</v>
      </c>
      <c r="C344" s="1" t="n">
        <v>45975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49315-2024</t>
        </is>
      </c>
      <c r="B345" s="1" t="n">
        <v>45595</v>
      </c>
      <c r="C345" s="1" t="n">
        <v>45975</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45106-2024</t>
        </is>
      </c>
      <c r="B346" s="1" t="n">
        <v>45575</v>
      </c>
      <c r="C346" s="1" t="n">
        <v>45975</v>
      </c>
      <c r="D346" t="inlineStr">
        <is>
          <t>GOTLANDS LÄN</t>
        </is>
      </c>
      <c r="E346" t="inlineStr">
        <is>
          <t>GOTLAND</t>
        </is>
      </c>
      <c r="G346" t="n">
        <v>10</v>
      </c>
      <c r="H346" t="n">
        <v>0</v>
      </c>
      <c r="I346" t="n">
        <v>0</v>
      </c>
      <c r="J346" t="n">
        <v>0</v>
      </c>
      <c r="K346" t="n">
        <v>0</v>
      </c>
      <c r="L346" t="n">
        <v>0</v>
      </c>
      <c r="M346" t="n">
        <v>0</v>
      </c>
      <c r="N346" t="n">
        <v>0</v>
      </c>
      <c r="O346" t="n">
        <v>0</v>
      </c>
      <c r="P346" t="n">
        <v>0</v>
      </c>
      <c r="Q346" t="n">
        <v>0</v>
      </c>
      <c r="R346" s="2" t="inlineStr"/>
    </row>
    <row r="347" ht="15" customHeight="1">
      <c r="A347" t="inlineStr">
        <is>
          <t>A 45112-2024</t>
        </is>
      </c>
      <c r="B347" s="1" t="n">
        <v>45575</v>
      </c>
      <c r="C347" s="1" t="n">
        <v>45975</v>
      </c>
      <c r="D347" t="inlineStr">
        <is>
          <t>GOTLANDS LÄN</t>
        </is>
      </c>
      <c r="E347" t="inlineStr">
        <is>
          <t>GOTLAND</t>
        </is>
      </c>
      <c r="G347" t="n">
        <v>5.1</v>
      </c>
      <c r="H347" t="n">
        <v>0</v>
      </c>
      <c r="I347" t="n">
        <v>0</v>
      </c>
      <c r="J347" t="n">
        <v>0</v>
      </c>
      <c r="K347" t="n">
        <v>0</v>
      </c>
      <c r="L347" t="n">
        <v>0</v>
      </c>
      <c r="M347" t="n">
        <v>0</v>
      </c>
      <c r="N347" t="n">
        <v>0</v>
      </c>
      <c r="O347" t="n">
        <v>0</v>
      </c>
      <c r="P347" t="n">
        <v>0</v>
      </c>
      <c r="Q347" t="n">
        <v>0</v>
      </c>
      <c r="R347" s="2" t="inlineStr"/>
    </row>
    <row r="348" ht="15" customHeight="1">
      <c r="A348" t="inlineStr">
        <is>
          <t>A 6108-2025</t>
        </is>
      </c>
      <c r="B348" s="1" t="n">
        <v>45698.29880787037</v>
      </c>
      <c r="C348" s="1" t="n">
        <v>45975</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21142-2025</t>
        </is>
      </c>
      <c r="B349" s="1" t="n">
        <v>45779</v>
      </c>
      <c r="C349" s="1" t="n">
        <v>45975</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2676-2023</t>
        </is>
      </c>
      <c r="B350" s="1" t="n">
        <v>44944</v>
      </c>
      <c r="C350" s="1" t="n">
        <v>45975</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17343-2025</t>
        </is>
      </c>
      <c r="B351" s="1" t="n">
        <v>45756.6687037037</v>
      </c>
      <c r="C351" s="1" t="n">
        <v>45975</v>
      </c>
      <c r="D351" t="inlineStr">
        <is>
          <t>GOTLANDS LÄN</t>
        </is>
      </c>
      <c r="E351" t="inlineStr">
        <is>
          <t>GOTLAND</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64208-2021</t>
        </is>
      </c>
      <c r="B352" s="1" t="n">
        <v>44510</v>
      </c>
      <c r="C352" s="1" t="n">
        <v>45975</v>
      </c>
      <c r="D352" t="inlineStr">
        <is>
          <t>GOTLANDS LÄN</t>
        </is>
      </c>
      <c r="E352" t="inlineStr">
        <is>
          <t>GOTLAND</t>
        </is>
      </c>
      <c r="G352" t="n">
        <v>4.7</v>
      </c>
      <c r="H352" t="n">
        <v>0</v>
      </c>
      <c r="I352" t="n">
        <v>0</v>
      </c>
      <c r="J352" t="n">
        <v>0</v>
      </c>
      <c r="K352" t="n">
        <v>0</v>
      </c>
      <c r="L352" t="n">
        <v>0</v>
      </c>
      <c r="M352" t="n">
        <v>0</v>
      </c>
      <c r="N352" t="n">
        <v>0</v>
      </c>
      <c r="O352" t="n">
        <v>0</v>
      </c>
      <c r="P352" t="n">
        <v>0</v>
      </c>
      <c r="Q352" t="n">
        <v>0</v>
      </c>
      <c r="R352" s="2" t="inlineStr"/>
    </row>
    <row r="353" ht="15" customHeight="1">
      <c r="A353" t="inlineStr">
        <is>
          <t>A 39764-2022</t>
        </is>
      </c>
      <c r="B353" s="1" t="n">
        <v>44819</v>
      </c>
      <c r="C353" s="1" t="n">
        <v>45975</v>
      </c>
      <c r="D353" t="inlineStr">
        <is>
          <t>GOTLANDS LÄN</t>
        </is>
      </c>
      <c r="E353" t="inlineStr">
        <is>
          <t>GOTLAND</t>
        </is>
      </c>
      <c r="F353" t="inlineStr">
        <is>
          <t>Kyrkan</t>
        </is>
      </c>
      <c r="G353" t="n">
        <v>3.7</v>
      </c>
      <c r="H353" t="n">
        <v>0</v>
      </c>
      <c r="I353" t="n">
        <v>0</v>
      </c>
      <c r="J353" t="n">
        <v>0</v>
      </c>
      <c r="K353" t="n">
        <v>0</v>
      </c>
      <c r="L353" t="n">
        <v>0</v>
      </c>
      <c r="M353" t="n">
        <v>0</v>
      </c>
      <c r="N353" t="n">
        <v>0</v>
      </c>
      <c r="O353" t="n">
        <v>0</v>
      </c>
      <c r="P353" t="n">
        <v>0</v>
      </c>
      <c r="Q353" t="n">
        <v>0</v>
      </c>
      <c r="R353" s="2" t="inlineStr"/>
    </row>
    <row r="354" ht="15" customHeight="1">
      <c r="A354" t="inlineStr">
        <is>
          <t>A 3150-2025</t>
        </is>
      </c>
      <c r="B354" s="1" t="n">
        <v>45679.28974537037</v>
      </c>
      <c r="C354" s="1" t="n">
        <v>45975</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18938-2025</t>
        </is>
      </c>
      <c r="B355" s="1" t="n">
        <v>45764.49172453704</v>
      </c>
      <c r="C355" s="1" t="n">
        <v>45975</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8484-2025</t>
        </is>
      </c>
      <c r="B356" s="1" t="n">
        <v>45709</v>
      </c>
      <c r="C356" s="1" t="n">
        <v>45975</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7635-2025</t>
        </is>
      </c>
      <c r="B357" s="1" t="n">
        <v>45705</v>
      </c>
      <c r="C357" s="1" t="n">
        <v>45975</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7636-2025</t>
        </is>
      </c>
      <c r="B358" s="1" t="n">
        <v>45705.7687962963</v>
      </c>
      <c r="C358" s="1" t="n">
        <v>45975</v>
      </c>
      <c r="D358" t="inlineStr">
        <is>
          <t>GOTLANDS LÄN</t>
        </is>
      </c>
      <c r="E358" t="inlineStr">
        <is>
          <t>GOTLAND</t>
        </is>
      </c>
      <c r="G358" t="n">
        <v>0.6</v>
      </c>
      <c r="H358" t="n">
        <v>0</v>
      </c>
      <c r="I358" t="n">
        <v>0</v>
      </c>
      <c r="J358" t="n">
        <v>0</v>
      </c>
      <c r="K358" t="n">
        <v>0</v>
      </c>
      <c r="L358" t="n">
        <v>0</v>
      </c>
      <c r="M358" t="n">
        <v>0</v>
      </c>
      <c r="N358" t="n">
        <v>0</v>
      </c>
      <c r="O358" t="n">
        <v>0</v>
      </c>
      <c r="P358" t="n">
        <v>0</v>
      </c>
      <c r="Q358" t="n">
        <v>0</v>
      </c>
      <c r="R358" s="2" t="inlineStr"/>
    </row>
    <row r="359" ht="15" customHeight="1">
      <c r="A359" t="inlineStr">
        <is>
          <t>A 7639-2025</t>
        </is>
      </c>
      <c r="B359" s="1" t="n">
        <v>45705.77465277778</v>
      </c>
      <c r="C359" s="1" t="n">
        <v>45975</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30489-2025</t>
        </is>
      </c>
      <c r="B360" s="1" t="n">
        <v>45830</v>
      </c>
      <c r="C360" s="1" t="n">
        <v>45975</v>
      </c>
      <c r="D360" t="inlineStr">
        <is>
          <t>GOTLANDS LÄN</t>
        </is>
      </c>
      <c r="E360" t="inlineStr">
        <is>
          <t>GOTLAND</t>
        </is>
      </c>
      <c r="G360" t="n">
        <v>4.6</v>
      </c>
      <c r="H360" t="n">
        <v>0</v>
      </c>
      <c r="I360" t="n">
        <v>0</v>
      </c>
      <c r="J360" t="n">
        <v>0</v>
      </c>
      <c r="K360" t="n">
        <v>0</v>
      </c>
      <c r="L360" t="n">
        <v>0</v>
      </c>
      <c r="M360" t="n">
        <v>0</v>
      </c>
      <c r="N360" t="n">
        <v>0</v>
      </c>
      <c r="O360" t="n">
        <v>0</v>
      </c>
      <c r="P360" t="n">
        <v>0</v>
      </c>
      <c r="Q360" t="n">
        <v>0</v>
      </c>
      <c r="R360" s="2" t="inlineStr"/>
    </row>
    <row r="361" ht="15" customHeight="1">
      <c r="A361" t="inlineStr">
        <is>
          <t>A 58211-2024</t>
        </is>
      </c>
      <c r="B361" s="1" t="n">
        <v>45632.49292824074</v>
      </c>
      <c r="C361" s="1" t="n">
        <v>45975</v>
      </c>
      <c r="D361" t="inlineStr">
        <is>
          <t>GOTLANDS LÄN</t>
        </is>
      </c>
      <c r="E361" t="inlineStr">
        <is>
          <t>GOTLAND</t>
        </is>
      </c>
      <c r="G361" t="n">
        <v>5.4</v>
      </c>
      <c r="H361" t="n">
        <v>0</v>
      </c>
      <c r="I361" t="n">
        <v>0</v>
      </c>
      <c r="J361" t="n">
        <v>0</v>
      </c>
      <c r="K361" t="n">
        <v>0</v>
      </c>
      <c r="L361" t="n">
        <v>0</v>
      </c>
      <c r="M361" t="n">
        <v>0</v>
      </c>
      <c r="N361" t="n">
        <v>0</v>
      </c>
      <c r="O361" t="n">
        <v>0</v>
      </c>
      <c r="P361" t="n">
        <v>0</v>
      </c>
      <c r="Q361" t="n">
        <v>0</v>
      </c>
      <c r="R361" s="2" t="inlineStr"/>
    </row>
    <row r="362" ht="15" customHeight="1">
      <c r="A362" t="inlineStr">
        <is>
          <t>A 20307-2025</t>
        </is>
      </c>
      <c r="B362" s="1" t="n">
        <v>45774.95546296296</v>
      </c>
      <c r="C362" s="1" t="n">
        <v>45975</v>
      </c>
      <c r="D362" t="inlineStr">
        <is>
          <t>GOTLANDS LÄN</t>
        </is>
      </c>
      <c r="E362" t="inlineStr">
        <is>
          <t>GOTLAND</t>
        </is>
      </c>
      <c r="G362" t="n">
        <v>6.8</v>
      </c>
      <c r="H362" t="n">
        <v>0</v>
      </c>
      <c r="I362" t="n">
        <v>0</v>
      </c>
      <c r="J362" t="n">
        <v>0</v>
      </c>
      <c r="K362" t="n">
        <v>0</v>
      </c>
      <c r="L362" t="n">
        <v>0</v>
      </c>
      <c r="M362" t="n">
        <v>0</v>
      </c>
      <c r="N362" t="n">
        <v>0</v>
      </c>
      <c r="O362" t="n">
        <v>0</v>
      </c>
      <c r="P362" t="n">
        <v>0</v>
      </c>
      <c r="Q362" t="n">
        <v>0</v>
      </c>
      <c r="R362" s="2" t="inlineStr"/>
    </row>
    <row r="363" ht="15" customHeight="1">
      <c r="A363" t="inlineStr">
        <is>
          <t>A 30956-2024</t>
        </is>
      </c>
      <c r="B363" s="1" t="n">
        <v>45499.42527777778</v>
      </c>
      <c r="C363" s="1" t="n">
        <v>45975</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30892-2024</t>
        </is>
      </c>
      <c r="B364" s="1" t="n">
        <v>45491</v>
      </c>
      <c r="C364" s="1" t="n">
        <v>45975</v>
      </c>
      <c r="D364" t="inlineStr">
        <is>
          <t>GOTLANDS LÄN</t>
        </is>
      </c>
      <c r="E364" t="inlineStr">
        <is>
          <t>GOTLAND</t>
        </is>
      </c>
      <c r="G364" t="n">
        <v>6.1</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45975</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20356-2022</t>
        </is>
      </c>
      <c r="B366" s="1" t="n">
        <v>44699</v>
      </c>
      <c r="C366" s="1" t="n">
        <v>45975</v>
      </c>
      <c r="D366" t="inlineStr">
        <is>
          <t>GOTLANDS LÄN</t>
        </is>
      </c>
      <c r="E366" t="inlineStr">
        <is>
          <t>GOTLAND</t>
        </is>
      </c>
      <c r="F366" t="inlineStr">
        <is>
          <t>Övriga Aktiebolag</t>
        </is>
      </c>
      <c r="G366" t="n">
        <v>4.4</v>
      </c>
      <c r="H366" t="n">
        <v>0</v>
      </c>
      <c r="I366" t="n">
        <v>0</v>
      </c>
      <c r="J366" t="n">
        <v>0</v>
      </c>
      <c r="K366" t="n">
        <v>0</v>
      </c>
      <c r="L366" t="n">
        <v>0</v>
      </c>
      <c r="M366" t="n">
        <v>0</v>
      </c>
      <c r="N366" t="n">
        <v>0</v>
      </c>
      <c r="O366" t="n">
        <v>0</v>
      </c>
      <c r="P366" t="n">
        <v>0</v>
      </c>
      <c r="Q366" t="n">
        <v>0</v>
      </c>
      <c r="R366" s="2" t="inlineStr"/>
    </row>
    <row r="367" ht="15" customHeight="1">
      <c r="A367" t="inlineStr">
        <is>
          <t>A 48734-2022</t>
        </is>
      </c>
      <c r="B367" s="1" t="n">
        <v>44855</v>
      </c>
      <c r="C367" s="1" t="n">
        <v>45975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11634-2024</t>
        </is>
      </c>
      <c r="B368" s="1" t="n">
        <v>45373</v>
      </c>
      <c r="C368" s="1" t="n">
        <v>45975</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14141-2024</t>
        </is>
      </c>
      <c r="B369" s="1" t="n">
        <v>45392.85193287037</v>
      </c>
      <c r="C369" s="1" t="n">
        <v>45975</v>
      </c>
      <c r="D369" t="inlineStr">
        <is>
          <t>GOTLANDS LÄN</t>
        </is>
      </c>
      <c r="E369" t="inlineStr">
        <is>
          <t>GOTLAND</t>
        </is>
      </c>
      <c r="G369" t="n">
        <v>5.3</v>
      </c>
      <c r="H369" t="n">
        <v>0</v>
      </c>
      <c r="I369" t="n">
        <v>0</v>
      </c>
      <c r="J369" t="n">
        <v>0</v>
      </c>
      <c r="K369" t="n">
        <v>0</v>
      </c>
      <c r="L369" t="n">
        <v>0</v>
      </c>
      <c r="M369" t="n">
        <v>0</v>
      </c>
      <c r="N369" t="n">
        <v>0</v>
      </c>
      <c r="O369" t="n">
        <v>0</v>
      </c>
      <c r="P369" t="n">
        <v>0</v>
      </c>
      <c r="Q369" t="n">
        <v>0</v>
      </c>
      <c r="R369" s="2" t="inlineStr"/>
    </row>
    <row r="370" ht="15" customHeight="1">
      <c r="A370" t="inlineStr">
        <is>
          <t>A 59469-2024</t>
        </is>
      </c>
      <c r="B370" s="1" t="n">
        <v>45638</v>
      </c>
      <c r="C370" s="1" t="n">
        <v>45975</v>
      </c>
      <c r="D370" t="inlineStr">
        <is>
          <t>GOTLANDS LÄN</t>
        </is>
      </c>
      <c r="E370" t="inlineStr">
        <is>
          <t>GOTLAND</t>
        </is>
      </c>
      <c r="G370" t="n">
        <v>0.4</v>
      </c>
      <c r="H370" t="n">
        <v>0</v>
      </c>
      <c r="I370" t="n">
        <v>0</v>
      </c>
      <c r="J370" t="n">
        <v>0</v>
      </c>
      <c r="K370" t="n">
        <v>0</v>
      </c>
      <c r="L370" t="n">
        <v>0</v>
      </c>
      <c r="M370" t="n">
        <v>0</v>
      </c>
      <c r="N370" t="n">
        <v>0</v>
      </c>
      <c r="O370" t="n">
        <v>0</v>
      </c>
      <c r="P370" t="n">
        <v>0</v>
      </c>
      <c r="Q370" t="n">
        <v>0</v>
      </c>
      <c r="R370" s="2" t="inlineStr"/>
    </row>
    <row r="371" ht="15" customHeight="1">
      <c r="A371" t="inlineStr">
        <is>
          <t>A 7858-2025</t>
        </is>
      </c>
      <c r="B371" s="1" t="n">
        <v>45706.68633101852</v>
      </c>
      <c r="C371" s="1" t="n">
        <v>45975</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29809-2022</t>
        </is>
      </c>
      <c r="B372" s="1" t="n">
        <v>44755.8713425926</v>
      </c>
      <c r="C372" s="1" t="n">
        <v>45975</v>
      </c>
      <c r="D372" t="inlineStr">
        <is>
          <t>GOTLANDS LÄN</t>
        </is>
      </c>
      <c r="E372" t="inlineStr">
        <is>
          <t>GOTLAND</t>
        </is>
      </c>
      <c r="G372" t="n">
        <v>11.5</v>
      </c>
      <c r="H372" t="n">
        <v>0</v>
      </c>
      <c r="I372" t="n">
        <v>0</v>
      </c>
      <c r="J372" t="n">
        <v>0</v>
      </c>
      <c r="K372" t="n">
        <v>0</v>
      </c>
      <c r="L372" t="n">
        <v>0</v>
      </c>
      <c r="M372" t="n">
        <v>0</v>
      </c>
      <c r="N372" t="n">
        <v>0</v>
      </c>
      <c r="O372" t="n">
        <v>0</v>
      </c>
      <c r="P372" t="n">
        <v>0</v>
      </c>
      <c r="Q372" t="n">
        <v>0</v>
      </c>
      <c r="R372" s="2" t="inlineStr"/>
    </row>
    <row r="373" ht="15" customHeight="1">
      <c r="A373" t="inlineStr">
        <is>
          <t>A 1351-2025</t>
        </is>
      </c>
      <c r="B373" s="1" t="n">
        <v>45667.62246527777</v>
      </c>
      <c r="C373" s="1" t="n">
        <v>45975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39496-2022</t>
        </is>
      </c>
      <c r="B374" s="1" t="n">
        <v>44818</v>
      </c>
      <c r="C374" s="1" t="n">
        <v>45975</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2292-2021</t>
        </is>
      </c>
      <c r="B375" s="1" t="n">
        <v>44212</v>
      </c>
      <c r="C375" s="1" t="n">
        <v>45975</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53935-2024</t>
        </is>
      </c>
      <c r="B376" s="1" t="n">
        <v>45615</v>
      </c>
      <c r="C376" s="1" t="n">
        <v>45975</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18223-2025</t>
        </is>
      </c>
      <c r="B377" s="1" t="n">
        <v>45761</v>
      </c>
      <c r="C377" s="1" t="n">
        <v>45975</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4420-2025</t>
        </is>
      </c>
      <c r="B378" s="1" t="n">
        <v>45686.47157407407</v>
      </c>
      <c r="C378" s="1" t="n">
        <v>45975</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49874-2024</t>
        </is>
      </c>
      <c r="B379" s="1" t="n">
        <v>45597.49274305555</v>
      </c>
      <c r="C379" s="1" t="n">
        <v>45975</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42201-2023</t>
        </is>
      </c>
      <c r="B380" s="1" t="n">
        <v>45179</v>
      </c>
      <c r="C380" s="1" t="n">
        <v>45975</v>
      </c>
      <c r="D380" t="inlineStr">
        <is>
          <t>GOTLANDS LÄN</t>
        </is>
      </c>
      <c r="E380" t="inlineStr">
        <is>
          <t>GOTLAND</t>
        </is>
      </c>
      <c r="G380" t="n">
        <v>11.9</v>
      </c>
      <c r="H380" t="n">
        <v>0</v>
      </c>
      <c r="I380" t="n">
        <v>0</v>
      </c>
      <c r="J380" t="n">
        <v>0</v>
      </c>
      <c r="K380" t="n">
        <v>0</v>
      </c>
      <c r="L380" t="n">
        <v>0</v>
      </c>
      <c r="M380" t="n">
        <v>0</v>
      </c>
      <c r="N380" t="n">
        <v>0</v>
      </c>
      <c r="O380" t="n">
        <v>0</v>
      </c>
      <c r="P380" t="n">
        <v>0</v>
      </c>
      <c r="Q380" t="n">
        <v>0</v>
      </c>
      <c r="R380" s="2" t="inlineStr"/>
    </row>
    <row r="381" ht="15" customHeight="1">
      <c r="A381" t="inlineStr">
        <is>
          <t>A 5891-2025</t>
        </is>
      </c>
      <c r="B381" s="1" t="n">
        <v>45695.38327546296</v>
      </c>
      <c r="C381" s="1" t="n">
        <v>45975</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46400-2023</t>
        </is>
      </c>
      <c r="B382" s="1" t="n">
        <v>45197.49290509259</v>
      </c>
      <c r="C382" s="1" t="n">
        <v>45975</v>
      </c>
      <c r="D382" t="inlineStr">
        <is>
          <t>GOTLANDS LÄN</t>
        </is>
      </c>
      <c r="E382" t="inlineStr">
        <is>
          <t>GOTLAND</t>
        </is>
      </c>
      <c r="G382" t="n">
        <v>0.8</v>
      </c>
      <c r="H382" t="n">
        <v>0</v>
      </c>
      <c r="I382" t="n">
        <v>0</v>
      </c>
      <c r="J382" t="n">
        <v>0</v>
      </c>
      <c r="K382" t="n">
        <v>0</v>
      </c>
      <c r="L382" t="n">
        <v>0</v>
      </c>
      <c r="M382" t="n">
        <v>0</v>
      </c>
      <c r="N382" t="n">
        <v>0</v>
      </c>
      <c r="O382" t="n">
        <v>0</v>
      </c>
      <c r="P382" t="n">
        <v>0</v>
      </c>
      <c r="Q382" t="n">
        <v>0</v>
      </c>
      <c r="R382" s="2" t="inlineStr"/>
    </row>
    <row r="383" ht="15" customHeight="1">
      <c r="A383" t="inlineStr">
        <is>
          <t>A 9875-2025</t>
        </is>
      </c>
      <c r="B383" s="1" t="n">
        <v>45716</v>
      </c>
      <c r="C383" s="1" t="n">
        <v>45975</v>
      </c>
      <c r="D383" t="inlineStr">
        <is>
          <t>GOTLANDS LÄN</t>
        </is>
      </c>
      <c r="E383" t="inlineStr">
        <is>
          <t>GOTLAND</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57685-2022</t>
        </is>
      </c>
      <c r="B384" s="1" t="n">
        <v>44897.4777662037</v>
      </c>
      <c r="C384" s="1" t="n">
        <v>45975</v>
      </c>
      <c r="D384" t="inlineStr">
        <is>
          <t>GOTLANDS LÄN</t>
        </is>
      </c>
      <c r="E384" t="inlineStr">
        <is>
          <t>GOTLAND</t>
        </is>
      </c>
      <c r="G384" t="n">
        <v>3.7</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45975</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45975</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20356-2022</t>
        </is>
      </c>
      <c r="B387" s="1" t="n">
        <v>44699</v>
      </c>
      <c r="C387" s="1" t="n">
        <v>45975</v>
      </c>
      <c r="D387" t="inlineStr">
        <is>
          <t>GOTLANDS LÄN</t>
        </is>
      </c>
      <c r="E387" t="inlineStr">
        <is>
          <t>GOTLAND</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30815-2023</t>
        </is>
      </c>
      <c r="B388" s="1" t="n">
        <v>45112</v>
      </c>
      <c r="C388" s="1" t="n">
        <v>45975</v>
      </c>
      <c r="D388" t="inlineStr">
        <is>
          <t>GOTLANDS LÄN</t>
        </is>
      </c>
      <c r="E388" t="inlineStr">
        <is>
          <t>GOTLAND</t>
        </is>
      </c>
      <c r="G388" t="n">
        <v>6</v>
      </c>
      <c r="H388" t="n">
        <v>0</v>
      </c>
      <c r="I388" t="n">
        <v>0</v>
      </c>
      <c r="J388" t="n">
        <v>0</v>
      </c>
      <c r="K388" t="n">
        <v>0</v>
      </c>
      <c r="L388" t="n">
        <v>0</v>
      </c>
      <c r="M388" t="n">
        <v>0</v>
      </c>
      <c r="N388" t="n">
        <v>0</v>
      </c>
      <c r="O388" t="n">
        <v>0</v>
      </c>
      <c r="P388" t="n">
        <v>0</v>
      </c>
      <c r="Q388" t="n">
        <v>0</v>
      </c>
      <c r="R388" s="2" t="inlineStr"/>
    </row>
    <row r="389" ht="15" customHeight="1">
      <c r="A389" t="inlineStr">
        <is>
          <t>A 22897-2023</t>
        </is>
      </c>
      <c r="B389" s="1" t="n">
        <v>45072.55239583334</v>
      </c>
      <c r="C389" s="1" t="n">
        <v>45975</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7835-2024</t>
        </is>
      </c>
      <c r="B390" s="1" t="n">
        <v>45349.83138888889</v>
      </c>
      <c r="C390" s="1" t="n">
        <v>45975</v>
      </c>
      <c r="D390" t="inlineStr">
        <is>
          <t>GOTLANDS LÄN</t>
        </is>
      </c>
      <c r="E390" t="inlineStr">
        <is>
          <t>GOTLAND</t>
        </is>
      </c>
      <c r="G390" t="n">
        <v>3.8</v>
      </c>
      <c r="H390" t="n">
        <v>0</v>
      </c>
      <c r="I390" t="n">
        <v>0</v>
      </c>
      <c r="J390" t="n">
        <v>0</v>
      </c>
      <c r="K390" t="n">
        <v>0</v>
      </c>
      <c r="L390" t="n">
        <v>0</v>
      </c>
      <c r="M390" t="n">
        <v>0</v>
      </c>
      <c r="N390" t="n">
        <v>0</v>
      </c>
      <c r="O390" t="n">
        <v>0</v>
      </c>
      <c r="P390" t="n">
        <v>0</v>
      </c>
      <c r="Q390" t="n">
        <v>0</v>
      </c>
      <c r="R390" s="2" t="inlineStr"/>
    </row>
    <row r="391" ht="15" customHeight="1">
      <c r="A391" t="inlineStr">
        <is>
          <t>A 61897-2024</t>
        </is>
      </c>
      <c r="B391" s="1" t="n">
        <v>45652.75685185185</v>
      </c>
      <c r="C391" s="1" t="n">
        <v>45975</v>
      </c>
      <c r="D391" t="inlineStr">
        <is>
          <t>GOTLANDS LÄN</t>
        </is>
      </c>
      <c r="E391" t="inlineStr">
        <is>
          <t>GOTLAND</t>
        </is>
      </c>
      <c r="G391" t="n">
        <v>6.4</v>
      </c>
      <c r="H391" t="n">
        <v>0</v>
      </c>
      <c r="I391" t="n">
        <v>0</v>
      </c>
      <c r="J391" t="n">
        <v>0</v>
      </c>
      <c r="K391" t="n">
        <v>0</v>
      </c>
      <c r="L391" t="n">
        <v>0</v>
      </c>
      <c r="M391" t="n">
        <v>0</v>
      </c>
      <c r="N391" t="n">
        <v>0</v>
      </c>
      <c r="O391" t="n">
        <v>0</v>
      </c>
      <c r="P391" t="n">
        <v>0</v>
      </c>
      <c r="Q391" t="n">
        <v>0</v>
      </c>
      <c r="R391" s="2" t="inlineStr"/>
    </row>
    <row r="392" ht="15" customHeight="1">
      <c r="A392" t="inlineStr">
        <is>
          <t>A 49962-2023</t>
        </is>
      </c>
      <c r="B392" s="1" t="n">
        <v>45215.38775462963</v>
      </c>
      <c r="C392" s="1" t="n">
        <v>45975</v>
      </c>
      <c r="D392" t="inlineStr">
        <is>
          <t>GOTLANDS LÄN</t>
        </is>
      </c>
      <c r="E392" t="inlineStr">
        <is>
          <t>GOTLAND</t>
        </is>
      </c>
      <c r="G392" t="n">
        <v>1.4</v>
      </c>
      <c r="H392" t="n">
        <v>0</v>
      </c>
      <c r="I392" t="n">
        <v>0</v>
      </c>
      <c r="J392" t="n">
        <v>0</v>
      </c>
      <c r="K392" t="n">
        <v>0</v>
      </c>
      <c r="L392" t="n">
        <v>0</v>
      </c>
      <c r="M392" t="n">
        <v>0</v>
      </c>
      <c r="N392" t="n">
        <v>0</v>
      </c>
      <c r="O392" t="n">
        <v>0</v>
      </c>
      <c r="P392" t="n">
        <v>0</v>
      </c>
      <c r="Q392" t="n">
        <v>0</v>
      </c>
      <c r="R392" s="2" t="inlineStr"/>
    </row>
    <row r="393" ht="15" customHeight="1">
      <c r="A393" t="inlineStr">
        <is>
          <t>A 20794-2025</t>
        </is>
      </c>
      <c r="B393" s="1" t="n">
        <v>45776</v>
      </c>
      <c r="C393" s="1" t="n">
        <v>45975</v>
      </c>
      <c r="D393" t="inlineStr">
        <is>
          <t>GOTLANDS LÄN</t>
        </is>
      </c>
      <c r="E393" t="inlineStr">
        <is>
          <t>GOTLAND</t>
        </is>
      </c>
      <c r="G393" t="n">
        <v>6</v>
      </c>
      <c r="H393" t="n">
        <v>0</v>
      </c>
      <c r="I393" t="n">
        <v>0</v>
      </c>
      <c r="J393" t="n">
        <v>0</v>
      </c>
      <c r="K393" t="n">
        <v>0</v>
      </c>
      <c r="L393" t="n">
        <v>0</v>
      </c>
      <c r="M393" t="n">
        <v>0</v>
      </c>
      <c r="N393" t="n">
        <v>0</v>
      </c>
      <c r="O393" t="n">
        <v>0</v>
      </c>
      <c r="P393" t="n">
        <v>0</v>
      </c>
      <c r="Q393" t="n">
        <v>0</v>
      </c>
      <c r="R393" s="2" t="inlineStr"/>
    </row>
    <row r="394" ht="15" customHeight="1">
      <c r="A394" t="inlineStr">
        <is>
          <t>A 7034-2023</t>
        </is>
      </c>
      <c r="B394" s="1" t="n">
        <v>44968.32108796296</v>
      </c>
      <c r="C394" s="1" t="n">
        <v>45975</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7042-2023</t>
        </is>
      </c>
      <c r="B395" s="1" t="n">
        <v>44968</v>
      </c>
      <c r="C395" s="1" t="n">
        <v>45975</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23516-2023</t>
        </is>
      </c>
      <c r="B396" s="1" t="n">
        <v>45076.93391203704</v>
      </c>
      <c r="C396" s="1" t="n">
        <v>45975</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20805-2025</t>
        </is>
      </c>
      <c r="B397" s="1" t="n">
        <v>45776</v>
      </c>
      <c r="C397" s="1" t="n">
        <v>45975</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64660-2023</t>
        </is>
      </c>
      <c r="B398" s="1" t="n">
        <v>45281.60122685185</v>
      </c>
      <c r="C398" s="1" t="n">
        <v>45975</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20165-2022</t>
        </is>
      </c>
      <c r="B399" s="1" t="n">
        <v>44698.49854166667</v>
      </c>
      <c r="C399" s="1" t="n">
        <v>45975</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63763-2023</t>
        </is>
      </c>
      <c r="B400" s="1" t="n">
        <v>45278.33944444444</v>
      </c>
      <c r="C400" s="1" t="n">
        <v>45975</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18993-2025</t>
        </is>
      </c>
      <c r="B401" s="1" t="n">
        <v>45764</v>
      </c>
      <c r="C401" s="1" t="n">
        <v>45975</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21389-2025</t>
        </is>
      </c>
      <c r="B402" s="1" t="n">
        <v>45782</v>
      </c>
      <c r="C402" s="1" t="n">
        <v>45975</v>
      </c>
      <c r="D402" t="inlineStr">
        <is>
          <t>GOTLANDS LÄN</t>
        </is>
      </c>
      <c r="E402" t="inlineStr">
        <is>
          <t>GOTLAND</t>
        </is>
      </c>
      <c r="G402" t="n">
        <v>4.1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44508.34518518519</v>
      </c>
      <c r="C403" s="1" t="n">
        <v>45975</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46375-2024</t>
        </is>
      </c>
      <c r="B404" s="1" t="n">
        <v>45582</v>
      </c>
      <c r="C404" s="1" t="n">
        <v>45975</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40294-2022</t>
        </is>
      </c>
      <c r="B405" s="1" t="n">
        <v>44821</v>
      </c>
      <c r="C405" s="1" t="n">
        <v>45975</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30135-2025</t>
        </is>
      </c>
      <c r="B406" s="1" t="n">
        <v>45826</v>
      </c>
      <c r="C406" s="1" t="n">
        <v>45975</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21651-2025</t>
        </is>
      </c>
      <c r="B407" s="1" t="n">
        <v>45783</v>
      </c>
      <c r="C407" s="1" t="n">
        <v>45975</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12599-2025</t>
        </is>
      </c>
      <c r="B408" s="1" t="n">
        <v>45733.29546296296</v>
      </c>
      <c r="C408" s="1" t="n">
        <v>45975</v>
      </c>
      <c r="D408" t="inlineStr">
        <is>
          <t>GOTLANDS LÄN</t>
        </is>
      </c>
      <c r="E408" t="inlineStr">
        <is>
          <t>GOTLAND</t>
        </is>
      </c>
      <c r="G408" t="n">
        <v>4.7</v>
      </c>
      <c r="H408" t="n">
        <v>0</v>
      </c>
      <c r="I408" t="n">
        <v>0</v>
      </c>
      <c r="J408" t="n">
        <v>0</v>
      </c>
      <c r="K408" t="n">
        <v>0</v>
      </c>
      <c r="L408" t="n">
        <v>0</v>
      </c>
      <c r="M408" t="n">
        <v>0</v>
      </c>
      <c r="N408" t="n">
        <v>0</v>
      </c>
      <c r="O408" t="n">
        <v>0</v>
      </c>
      <c r="P408" t="n">
        <v>0</v>
      </c>
      <c r="Q408" t="n">
        <v>0</v>
      </c>
      <c r="R408" s="2" t="inlineStr"/>
    </row>
    <row r="409" ht="15" customHeight="1">
      <c r="A409" t="inlineStr">
        <is>
          <t>A 35141-2025</t>
        </is>
      </c>
      <c r="B409" s="1" t="n">
        <v>45852.65206018519</v>
      </c>
      <c r="C409" s="1" t="n">
        <v>45975</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35142-2025</t>
        </is>
      </c>
      <c r="B410" s="1" t="n">
        <v>45852.65532407408</v>
      </c>
      <c r="C410" s="1" t="n">
        <v>45975</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12032-2025</t>
        </is>
      </c>
      <c r="B411" s="1" t="n">
        <v>45728.64472222222</v>
      </c>
      <c r="C411" s="1" t="n">
        <v>45975</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1734-2025</t>
        </is>
      </c>
      <c r="B412" s="1" t="n">
        <v>45671.3840625</v>
      </c>
      <c r="C412" s="1" t="n">
        <v>45975</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38787-2023</t>
        </is>
      </c>
      <c r="B413" s="1" t="n">
        <v>45163</v>
      </c>
      <c r="C413" s="1" t="n">
        <v>45975</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20993-2023</t>
        </is>
      </c>
      <c r="B414" s="1" t="n">
        <v>45056</v>
      </c>
      <c r="C414" s="1" t="n">
        <v>45975</v>
      </c>
      <c r="D414" t="inlineStr">
        <is>
          <t>GOTLANDS LÄN</t>
        </is>
      </c>
      <c r="E414" t="inlineStr">
        <is>
          <t>GOTLAND</t>
        </is>
      </c>
      <c r="G414" t="n">
        <v>7.1</v>
      </c>
      <c r="H414" t="n">
        <v>0</v>
      </c>
      <c r="I414" t="n">
        <v>0</v>
      </c>
      <c r="J414" t="n">
        <v>0</v>
      </c>
      <c r="K414" t="n">
        <v>0</v>
      </c>
      <c r="L414" t="n">
        <v>0</v>
      </c>
      <c r="M414" t="n">
        <v>0</v>
      </c>
      <c r="N414" t="n">
        <v>0</v>
      </c>
      <c r="O414" t="n">
        <v>0</v>
      </c>
      <c r="P414" t="n">
        <v>0</v>
      </c>
      <c r="Q414" t="n">
        <v>0</v>
      </c>
      <c r="R414" s="2" t="inlineStr"/>
    </row>
    <row r="415" ht="15" customHeight="1">
      <c r="A415" t="inlineStr">
        <is>
          <t>A 39819-2025</t>
        </is>
      </c>
      <c r="B415" s="1" t="n">
        <v>45891.53418981482</v>
      </c>
      <c r="C415" s="1" t="n">
        <v>45975</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39814-2025</t>
        </is>
      </c>
      <c r="B416" s="1" t="n">
        <v>45891.52694444444</v>
      </c>
      <c r="C416" s="1" t="n">
        <v>45975</v>
      </c>
      <c r="D416" t="inlineStr">
        <is>
          <t>GOTLANDS LÄN</t>
        </is>
      </c>
      <c r="E416" t="inlineStr">
        <is>
          <t>GOTLAND</t>
        </is>
      </c>
      <c r="G416" t="n">
        <v>4.5</v>
      </c>
      <c r="H416" t="n">
        <v>0</v>
      </c>
      <c r="I416" t="n">
        <v>0</v>
      </c>
      <c r="J416" t="n">
        <v>0</v>
      </c>
      <c r="K416" t="n">
        <v>0</v>
      </c>
      <c r="L416" t="n">
        <v>0</v>
      </c>
      <c r="M416" t="n">
        <v>0</v>
      </c>
      <c r="N416" t="n">
        <v>0</v>
      </c>
      <c r="O416" t="n">
        <v>0</v>
      </c>
      <c r="P416" t="n">
        <v>0</v>
      </c>
      <c r="Q416" t="n">
        <v>0</v>
      </c>
      <c r="R416" s="2" t="inlineStr"/>
    </row>
    <row r="417" ht="15" customHeight="1">
      <c r="A417" t="inlineStr">
        <is>
          <t>A 12596-2023</t>
        </is>
      </c>
      <c r="B417" s="1" t="n">
        <v>45000.43310185185</v>
      </c>
      <c r="C417" s="1" t="n">
        <v>45975</v>
      </c>
      <c r="D417" t="inlineStr">
        <is>
          <t>GOTLANDS LÄN</t>
        </is>
      </c>
      <c r="E417" t="inlineStr">
        <is>
          <t>GOTLAND</t>
        </is>
      </c>
      <c r="G417" t="n">
        <v>4.1</v>
      </c>
      <c r="H417" t="n">
        <v>0</v>
      </c>
      <c r="I417" t="n">
        <v>0</v>
      </c>
      <c r="J417" t="n">
        <v>0</v>
      </c>
      <c r="K417" t="n">
        <v>0</v>
      </c>
      <c r="L417" t="n">
        <v>0</v>
      </c>
      <c r="M417" t="n">
        <v>0</v>
      </c>
      <c r="N417" t="n">
        <v>0</v>
      </c>
      <c r="O417" t="n">
        <v>0</v>
      </c>
      <c r="P417" t="n">
        <v>0</v>
      </c>
      <c r="Q417" t="n">
        <v>0</v>
      </c>
      <c r="R417" s="2" t="inlineStr"/>
    </row>
    <row r="418" ht="15" customHeight="1">
      <c r="A418" t="inlineStr">
        <is>
          <t>A 57356-2023</t>
        </is>
      </c>
      <c r="B418" s="1" t="n">
        <v>45240</v>
      </c>
      <c r="C418" s="1" t="n">
        <v>45975</v>
      </c>
      <c r="D418" t="inlineStr">
        <is>
          <t>GOTLANDS LÄN</t>
        </is>
      </c>
      <c r="E418" t="inlineStr">
        <is>
          <t>GOTLAND</t>
        </is>
      </c>
      <c r="G418" t="n">
        <v>6.4</v>
      </c>
      <c r="H418" t="n">
        <v>0</v>
      </c>
      <c r="I418" t="n">
        <v>0</v>
      </c>
      <c r="J418" t="n">
        <v>0</v>
      </c>
      <c r="K418" t="n">
        <v>0</v>
      </c>
      <c r="L418" t="n">
        <v>0</v>
      </c>
      <c r="M418" t="n">
        <v>0</v>
      </c>
      <c r="N418" t="n">
        <v>0</v>
      </c>
      <c r="O418" t="n">
        <v>0</v>
      </c>
      <c r="P418" t="n">
        <v>0</v>
      </c>
      <c r="Q418" t="n">
        <v>0</v>
      </c>
      <c r="R418" s="2" t="inlineStr"/>
    </row>
    <row r="419" ht="15" customHeight="1">
      <c r="A419" t="inlineStr">
        <is>
          <t>A 10656-2024</t>
        </is>
      </c>
      <c r="B419" s="1" t="n">
        <v>45368</v>
      </c>
      <c r="C419" s="1" t="n">
        <v>45975</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2125-2025</t>
        </is>
      </c>
      <c r="B420" s="1" t="n">
        <v>45672.64940972222</v>
      </c>
      <c r="C420" s="1" t="n">
        <v>45975</v>
      </c>
      <c r="D420" t="inlineStr">
        <is>
          <t>GOTLANDS LÄN</t>
        </is>
      </c>
      <c r="E420" t="inlineStr">
        <is>
          <t>GOTLAND</t>
        </is>
      </c>
      <c r="G420" t="n">
        <v>2.3</v>
      </c>
      <c r="H420" t="n">
        <v>0</v>
      </c>
      <c r="I420" t="n">
        <v>0</v>
      </c>
      <c r="J420" t="n">
        <v>0</v>
      </c>
      <c r="K420" t="n">
        <v>0</v>
      </c>
      <c r="L420" t="n">
        <v>0</v>
      </c>
      <c r="M420" t="n">
        <v>0</v>
      </c>
      <c r="N420" t="n">
        <v>0</v>
      </c>
      <c r="O420" t="n">
        <v>0</v>
      </c>
      <c r="P420" t="n">
        <v>0</v>
      </c>
      <c r="Q420" t="n">
        <v>0</v>
      </c>
      <c r="R420" s="2" t="inlineStr"/>
    </row>
    <row r="421" ht="15" customHeight="1">
      <c r="A421" t="inlineStr">
        <is>
          <t>A 39849-2025</t>
        </is>
      </c>
      <c r="B421" s="1" t="n">
        <v>45891.58502314815</v>
      </c>
      <c r="C421" s="1" t="n">
        <v>45975</v>
      </c>
      <c r="D421" t="inlineStr">
        <is>
          <t>GOTLANDS LÄN</t>
        </is>
      </c>
      <c r="E421" t="inlineStr">
        <is>
          <t>GOTLAND</t>
        </is>
      </c>
      <c r="G421" t="n">
        <v>6.1</v>
      </c>
      <c r="H421" t="n">
        <v>0</v>
      </c>
      <c r="I421" t="n">
        <v>0</v>
      </c>
      <c r="J421" t="n">
        <v>0</v>
      </c>
      <c r="K421" t="n">
        <v>0</v>
      </c>
      <c r="L421" t="n">
        <v>0</v>
      </c>
      <c r="M421" t="n">
        <v>0</v>
      </c>
      <c r="N421" t="n">
        <v>0</v>
      </c>
      <c r="O421" t="n">
        <v>0</v>
      </c>
      <c r="P421" t="n">
        <v>0</v>
      </c>
      <c r="Q421" t="n">
        <v>0</v>
      </c>
      <c r="R421" s="2" t="inlineStr"/>
    </row>
    <row r="422" ht="15" customHeight="1">
      <c r="A422" t="inlineStr">
        <is>
          <t>A 12155-2023</t>
        </is>
      </c>
      <c r="B422" s="1" t="n">
        <v>44998.49106481481</v>
      </c>
      <c r="C422" s="1" t="n">
        <v>45975</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457-2023</t>
        </is>
      </c>
      <c r="B423" s="1" t="n">
        <v>44929.87238425926</v>
      </c>
      <c r="C423" s="1" t="n">
        <v>45975</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459-2023</t>
        </is>
      </c>
      <c r="B424" s="1" t="n">
        <v>44929.87423611111</v>
      </c>
      <c r="C424" s="1" t="n">
        <v>45975</v>
      </c>
      <c r="D424" t="inlineStr">
        <is>
          <t>GOTLANDS LÄN</t>
        </is>
      </c>
      <c r="E424" t="inlineStr">
        <is>
          <t>GOTLAND</t>
        </is>
      </c>
      <c r="G424" t="n">
        <v>4.2</v>
      </c>
      <c r="H424" t="n">
        <v>0</v>
      </c>
      <c r="I424" t="n">
        <v>0</v>
      </c>
      <c r="J424" t="n">
        <v>0</v>
      </c>
      <c r="K424" t="n">
        <v>0</v>
      </c>
      <c r="L424" t="n">
        <v>0</v>
      </c>
      <c r="M424" t="n">
        <v>0</v>
      </c>
      <c r="N424" t="n">
        <v>0</v>
      </c>
      <c r="O424" t="n">
        <v>0</v>
      </c>
      <c r="P424" t="n">
        <v>0</v>
      </c>
      <c r="Q424" t="n">
        <v>0</v>
      </c>
      <c r="R424" s="2" t="inlineStr"/>
    </row>
    <row r="425" ht="15" customHeight="1">
      <c r="A425" t="inlineStr">
        <is>
          <t>A 39752-2025</t>
        </is>
      </c>
      <c r="B425" s="1" t="n">
        <v>45891</v>
      </c>
      <c r="C425" s="1" t="n">
        <v>45975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38234-2023</t>
        </is>
      </c>
      <c r="B426" s="1" t="n">
        <v>45161.56663194444</v>
      </c>
      <c r="C426" s="1" t="n">
        <v>45975</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43231-2023</t>
        </is>
      </c>
      <c r="B427" s="1" t="n">
        <v>45183.47025462963</v>
      </c>
      <c r="C427" s="1" t="n">
        <v>45975</v>
      </c>
      <c r="D427" t="inlineStr">
        <is>
          <t>GOTLANDS LÄN</t>
        </is>
      </c>
      <c r="E427" t="inlineStr">
        <is>
          <t>GOTLAND</t>
        </is>
      </c>
      <c r="G427" t="n">
        <v>3.6</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45975</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50744-2024</t>
        </is>
      </c>
      <c r="B429" s="1" t="n">
        <v>45602.4187037037</v>
      </c>
      <c r="C429" s="1" t="n">
        <v>45975</v>
      </c>
      <c r="D429" t="inlineStr">
        <is>
          <t>GOTLANDS LÄN</t>
        </is>
      </c>
      <c r="E429" t="inlineStr">
        <is>
          <t>GOTLAND</t>
        </is>
      </c>
      <c r="G429" t="n">
        <v>3.2</v>
      </c>
      <c r="H429" t="n">
        <v>0</v>
      </c>
      <c r="I429" t="n">
        <v>0</v>
      </c>
      <c r="J429" t="n">
        <v>0</v>
      </c>
      <c r="K429" t="n">
        <v>0</v>
      </c>
      <c r="L429" t="n">
        <v>0</v>
      </c>
      <c r="M429" t="n">
        <v>0</v>
      </c>
      <c r="N429" t="n">
        <v>0</v>
      </c>
      <c r="O429" t="n">
        <v>0</v>
      </c>
      <c r="P429" t="n">
        <v>0</v>
      </c>
      <c r="Q429" t="n">
        <v>0</v>
      </c>
      <c r="R429" s="2" t="inlineStr"/>
    </row>
    <row r="430" ht="15" customHeight="1">
      <c r="A430" t="inlineStr">
        <is>
          <t>A 39816-2025</t>
        </is>
      </c>
      <c r="B430" s="1" t="n">
        <v>45891</v>
      </c>
      <c r="C430" s="1" t="n">
        <v>45975</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40103-2025</t>
        </is>
      </c>
      <c r="B431" s="1" t="n">
        <v>45894.4880324074</v>
      </c>
      <c r="C431" s="1" t="n">
        <v>45975</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17532-2024</t>
        </is>
      </c>
      <c r="B432" s="1" t="n">
        <v>45415</v>
      </c>
      <c r="C432" s="1" t="n">
        <v>45975</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28506-2023</t>
        </is>
      </c>
      <c r="B433" s="1" t="n">
        <v>45103</v>
      </c>
      <c r="C433" s="1" t="n">
        <v>45975</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21420-2024</t>
        </is>
      </c>
      <c r="B434" s="1" t="n">
        <v>45441.38293981482</v>
      </c>
      <c r="C434" s="1" t="n">
        <v>45975</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40373-2025</t>
        </is>
      </c>
      <c r="B435" s="1" t="n">
        <v>45895.51821759259</v>
      </c>
      <c r="C435" s="1" t="n">
        <v>45975</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3935-2025</t>
        </is>
      </c>
      <c r="B436" s="1" t="n">
        <v>45684.46070601852</v>
      </c>
      <c r="C436" s="1" t="n">
        <v>45975</v>
      </c>
      <c r="D436" t="inlineStr">
        <is>
          <t>GOTLANDS LÄN</t>
        </is>
      </c>
      <c r="E436" t="inlineStr">
        <is>
          <t>GOTLAND</t>
        </is>
      </c>
      <c r="G436" t="n">
        <v>2.6</v>
      </c>
      <c r="H436" t="n">
        <v>0</v>
      </c>
      <c r="I436" t="n">
        <v>0</v>
      </c>
      <c r="J436" t="n">
        <v>0</v>
      </c>
      <c r="K436" t="n">
        <v>0</v>
      </c>
      <c r="L436" t="n">
        <v>0</v>
      </c>
      <c r="M436" t="n">
        <v>0</v>
      </c>
      <c r="N436" t="n">
        <v>0</v>
      </c>
      <c r="O436" t="n">
        <v>0</v>
      </c>
      <c r="P436" t="n">
        <v>0</v>
      </c>
      <c r="Q436" t="n">
        <v>0</v>
      </c>
      <c r="R436" s="2" t="inlineStr"/>
    </row>
    <row r="437" ht="15" customHeight="1">
      <c r="A437" t="inlineStr">
        <is>
          <t>A 23188-2025</t>
        </is>
      </c>
      <c r="B437" s="1" t="n">
        <v>45791</v>
      </c>
      <c r="C437" s="1" t="n">
        <v>45975</v>
      </c>
      <c r="D437" t="inlineStr">
        <is>
          <t>GOTLANDS LÄN</t>
        </is>
      </c>
      <c r="E437" t="inlineStr">
        <is>
          <t>GOTLAND</t>
        </is>
      </c>
      <c r="G437" t="n">
        <v>6.2</v>
      </c>
      <c r="H437" t="n">
        <v>0</v>
      </c>
      <c r="I437" t="n">
        <v>0</v>
      </c>
      <c r="J437" t="n">
        <v>0</v>
      </c>
      <c r="K437" t="n">
        <v>0</v>
      </c>
      <c r="L437" t="n">
        <v>0</v>
      </c>
      <c r="M437" t="n">
        <v>0</v>
      </c>
      <c r="N437" t="n">
        <v>0</v>
      </c>
      <c r="O437" t="n">
        <v>0</v>
      </c>
      <c r="P437" t="n">
        <v>0</v>
      </c>
      <c r="Q437" t="n">
        <v>0</v>
      </c>
      <c r="R437" s="2" t="inlineStr"/>
    </row>
    <row r="438" ht="15" customHeight="1">
      <c r="A438" t="inlineStr">
        <is>
          <t>A 40499-2025</t>
        </is>
      </c>
      <c r="B438" s="1" t="n">
        <v>45896.32517361111</v>
      </c>
      <c r="C438" s="1" t="n">
        <v>45975</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40372-2025</t>
        </is>
      </c>
      <c r="B439" s="1" t="n">
        <v>45895.5162037037</v>
      </c>
      <c r="C439" s="1" t="n">
        <v>45975</v>
      </c>
      <c r="D439" t="inlineStr">
        <is>
          <t>GOTLANDS LÄN</t>
        </is>
      </c>
      <c r="E439" t="inlineStr">
        <is>
          <t>GOTLAND</t>
        </is>
      </c>
      <c r="G439" t="n">
        <v>3.3</v>
      </c>
      <c r="H439" t="n">
        <v>0</v>
      </c>
      <c r="I439" t="n">
        <v>0</v>
      </c>
      <c r="J439" t="n">
        <v>0</v>
      </c>
      <c r="K439" t="n">
        <v>0</v>
      </c>
      <c r="L439" t="n">
        <v>0</v>
      </c>
      <c r="M439" t="n">
        <v>0</v>
      </c>
      <c r="N439" t="n">
        <v>0</v>
      </c>
      <c r="O439" t="n">
        <v>0</v>
      </c>
      <c r="P439" t="n">
        <v>0</v>
      </c>
      <c r="Q439" t="n">
        <v>0</v>
      </c>
      <c r="R439" s="2" t="inlineStr"/>
    </row>
    <row r="440" ht="15" customHeight="1">
      <c r="A440" t="inlineStr">
        <is>
          <t>A 53934-2024</t>
        </is>
      </c>
      <c r="B440" s="1" t="n">
        <v>45615</v>
      </c>
      <c r="C440" s="1" t="n">
        <v>45975</v>
      </c>
      <c r="D440" t="inlineStr">
        <is>
          <t>GOTLANDS LÄN</t>
        </is>
      </c>
      <c r="E440" t="inlineStr">
        <is>
          <t>GOTLAND</t>
        </is>
      </c>
      <c r="G440" t="n">
        <v>5</v>
      </c>
      <c r="H440" t="n">
        <v>0</v>
      </c>
      <c r="I440" t="n">
        <v>0</v>
      </c>
      <c r="J440" t="n">
        <v>0</v>
      </c>
      <c r="K440" t="n">
        <v>0</v>
      </c>
      <c r="L440" t="n">
        <v>0</v>
      </c>
      <c r="M440" t="n">
        <v>0</v>
      </c>
      <c r="N440" t="n">
        <v>0</v>
      </c>
      <c r="O440" t="n">
        <v>0</v>
      </c>
      <c r="P440" t="n">
        <v>0</v>
      </c>
      <c r="Q440" t="n">
        <v>0</v>
      </c>
      <c r="R440" s="2" t="inlineStr"/>
    </row>
    <row r="441" ht="15" customHeight="1">
      <c r="A441" t="inlineStr">
        <is>
          <t>A 23473-2025</t>
        </is>
      </c>
      <c r="B441" s="1" t="n">
        <v>45792</v>
      </c>
      <c r="C441" s="1" t="n">
        <v>45975</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20225-2025</t>
        </is>
      </c>
      <c r="B442" s="1" t="n">
        <v>45772.65802083333</v>
      </c>
      <c r="C442" s="1" t="n">
        <v>45975</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883-2025</t>
        </is>
      </c>
      <c r="B443" s="1" t="n">
        <v>45665</v>
      </c>
      <c r="C443" s="1" t="n">
        <v>45975</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23856-2025</t>
        </is>
      </c>
      <c r="B444" s="1" t="n">
        <v>45793</v>
      </c>
      <c r="C444" s="1" t="n">
        <v>45975</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15073-2025</t>
        </is>
      </c>
      <c r="B445" s="1" t="n">
        <v>45743</v>
      </c>
      <c r="C445" s="1" t="n">
        <v>45975</v>
      </c>
      <c r="D445" t="inlineStr">
        <is>
          <t>GOTLANDS LÄN</t>
        </is>
      </c>
      <c r="E445" t="inlineStr">
        <is>
          <t>GOTLAND</t>
        </is>
      </c>
      <c r="G445" t="n">
        <v>12.1</v>
      </c>
      <c r="H445" t="n">
        <v>0</v>
      </c>
      <c r="I445" t="n">
        <v>0</v>
      </c>
      <c r="J445" t="n">
        <v>0</v>
      </c>
      <c r="K445" t="n">
        <v>0</v>
      </c>
      <c r="L445" t="n">
        <v>0</v>
      </c>
      <c r="M445" t="n">
        <v>0</v>
      </c>
      <c r="N445" t="n">
        <v>0</v>
      </c>
      <c r="O445" t="n">
        <v>0</v>
      </c>
      <c r="P445" t="n">
        <v>0</v>
      </c>
      <c r="Q445" t="n">
        <v>0</v>
      </c>
      <c r="R445" s="2" t="inlineStr"/>
    </row>
    <row r="446" ht="15" customHeight="1">
      <c r="A446" t="inlineStr">
        <is>
          <t>A 6749-2025</t>
        </is>
      </c>
      <c r="B446" s="1" t="n">
        <v>45700</v>
      </c>
      <c r="C446" s="1" t="n">
        <v>45975</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39278-2025</t>
        </is>
      </c>
      <c r="B447" s="1" t="n">
        <v>45889</v>
      </c>
      <c r="C447" s="1" t="n">
        <v>45975</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1446-2025</t>
        </is>
      </c>
      <c r="B448" s="1" t="n">
        <v>45669.86035879629</v>
      </c>
      <c r="C448" s="1" t="n">
        <v>45975</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23698-2025</t>
        </is>
      </c>
      <c r="B449" s="1" t="n">
        <v>45793</v>
      </c>
      <c r="C449" s="1" t="n">
        <v>45975</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49690-2025</t>
        </is>
      </c>
      <c r="B450" s="1" t="n">
        <v>45939.66730324074</v>
      </c>
      <c r="C450" s="1" t="n">
        <v>45975</v>
      </c>
      <c r="D450" t="inlineStr">
        <is>
          <t>GOTLANDS LÄN</t>
        </is>
      </c>
      <c r="E450" t="inlineStr">
        <is>
          <t>GOTLAND</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1066-2024</t>
        </is>
      </c>
      <c r="B451" s="1" t="n">
        <v>45302.285</v>
      </c>
      <c r="C451" s="1" t="n">
        <v>45975</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49724-2025</t>
        </is>
      </c>
      <c r="B452" s="1" t="n">
        <v>45939.83730324074</v>
      </c>
      <c r="C452" s="1" t="n">
        <v>45975</v>
      </c>
      <c r="D452" t="inlineStr">
        <is>
          <t>GOTLANDS LÄN</t>
        </is>
      </c>
      <c r="E452" t="inlineStr">
        <is>
          <t>GOTLAND</t>
        </is>
      </c>
      <c r="F452" t="inlineStr">
        <is>
          <t>Kyrkan</t>
        </is>
      </c>
      <c r="G452" t="n">
        <v>3.1</v>
      </c>
      <c r="H452" t="n">
        <v>0</v>
      </c>
      <c r="I452" t="n">
        <v>0</v>
      </c>
      <c r="J452" t="n">
        <v>0</v>
      </c>
      <c r="K452" t="n">
        <v>0</v>
      </c>
      <c r="L452" t="n">
        <v>0</v>
      </c>
      <c r="M452" t="n">
        <v>0</v>
      </c>
      <c r="N452" t="n">
        <v>0</v>
      </c>
      <c r="O452" t="n">
        <v>0</v>
      </c>
      <c r="P452" t="n">
        <v>0</v>
      </c>
      <c r="Q452" t="n">
        <v>0</v>
      </c>
      <c r="R452" s="2" t="inlineStr"/>
    </row>
    <row r="453" ht="15" customHeight="1">
      <c r="A453" t="inlineStr">
        <is>
          <t>A 49730-2025</t>
        </is>
      </c>
      <c r="B453" s="1" t="n">
        <v>45939.87613425926</v>
      </c>
      <c r="C453" s="1" t="n">
        <v>45975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17144-2025</t>
        </is>
      </c>
      <c r="B454" s="1" t="n">
        <v>45755.9499537037</v>
      </c>
      <c r="C454" s="1" t="n">
        <v>45975</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45975</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43901-2023</t>
        </is>
      </c>
      <c r="B456" s="1" t="n">
        <v>45187</v>
      </c>
      <c r="C456" s="1" t="n">
        <v>45975</v>
      </c>
      <c r="D456" t="inlineStr">
        <is>
          <t>GOTLANDS LÄN</t>
        </is>
      </c>
      <c r="E456" t="inlineStr">
        <is>
          <t>GOTLAND</t>
        </is>
      </c>
      <c r="G456" t="n">
        <v>5.4</v>
      </c>
      <c r="H456" t="n">
        <v>0</v>
      </c>
      <c r="I456" t="n">
        <v>0</v>
      </c>
      <c r="J456" t="n">
        <v>0</v>
      </c>
      <c r="K456" t="n">
        <v>0</v>
      </c>
      <c r="L456" t="n">
        <v>0</v>
      </c>
      <c r="M456" t="n">
        <v>0</v>
      </c>
      <c r="N456" t="n">
        <v>0</v>
      </c>
      <c r="O456" t="n">
        <v>0</v>
      </c>
      <c r="P456" t="n">
        <v>0</v>
      </c>
      <c r="Q456" t="n">
        <v>0</v>
      </c>
      <c r="R456" s="2" t="inlineStr"/>
    </row>
    <row r="457" ht="15" customHeight="1">
      <c r="A457" t="inlineStr">
        <is>
          <t>A 10746-2025</t>
        </is>
      </c>
      <c r="B457" s="1" t="n">
        <v>45722.42766203704</v>
      </c>
      <c r="C457" s="1" t="n">
        <v>45975</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45975</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56009-2024</t>
        </is>
      </c>
      <c r="B459" s="1" t="n">
        <v>45623.80864583333</v>
      </c>
      <c r="C459" s="1" t="n">
        <v>45975</v>
      </c>
      <c r="D459" t="inlineStr">
        <is>
          <t>GOTLANDS LÄN</t>
        </is>
      </c>
      <c r="E459" t="inlineStr">
        <is>
          <t>GOTLAND</t>
        </is>
      </c>
      <c r="G459" t="n">
        <v>2.8</v>
      </c>
      <c r="H459" t="n">
        <v>0</v>
      </c>
      <c r="I459" t="n">
        <v>0</v>
      </c>
      <c r="J459" t="n">
        <v>0</v>
      </c>
      <c r="K459" t="n">
        <v>0</v>
      </c>
      <c r="L459" t="n">
        <v>0</v>
      </c>
      <c r="M459" t="n">
        <v>0</v>
      </c>
      <c r="N459" t="n">
        <v>0</v>
      </c>
      <c r="O459" t="n">
        <v>0</v>
      </c>
      <c r="P459" t="n">
        <v>0</v>
      </c>
      <c r="Q459" t="n">
        <v>0</v>
      </c>
      <c r="R459" s="2" t="inlineStr"/>
    </row>
    <row r="460" ht="15" customHeight="1">
      <c r="A460" t="inlineStr">
        <is>
          <t>A 42338-2023</t>
        </is>
      </c>
      <c r="B460" s="1" t="n">
        <v>45180</v>
      </c>
      <c r="C460" s="1" t="n">
        <v>45975</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50421-2025</t>
        </is>
      </c>
      <c r="B461" s="1" t="n">
        <v>45944.66049768519</v>
      </c>
      <c r="C461" s="1" t="n">
        <v>45975</v>
      </c>
      <c r="D461" t="inlineStr">
        <is>
          <t>GOTLANDS LÄN</t>
        </is>
      </c>
      <c r="E461" t="inlineStr">
        <is>
          <t>GOTLAND</t>
        </is>
      </c>
      <c r="G461" t="n">
        <v>3.9</v>
      </c>
      <c r="H461" t="n">
        <v>0</v>
      </c>
      <c r="I461" t="n">
        <v>0</v>
      </c>
      <c r="J461" t="n">
        <v>0</v>
      </c>
      <c r="K461" t="n">
        <v>0</v>
      </c>
      <c r="L461" t="n">
        <v>0</v>
      </c>
      <c r="M461" t="n">
        <v>0</v>
      </c>
      <c r="N461" t="n">
        <v>0</v>
      </c>
      <c r="O461" t="n">
        <v>0</v>
      </c>
      <c r="P461" t="n">
        <v>0</v>
      </c>
      <c r="Q461" t="n">
        <v>0</v>
      </c>
      <c r="R461" s="2" t="inlineStr"/>
    </row>
    <row r="462" ht="15" customHeight="1">
      <c r="A462" t="inlineStr">
        <is>
          <t>A 41435-2025</t>
        </is>
      </c>
      <c r="B462" s="1" t="n">
        <v>45901.39974537037</v>
      </c>
      <c r="C462" s="1" t="n">
        <v>45975</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27930-2021</t>
        </is>
      </c>
      <c r="B463" s="1" t="n">
        <v>44354</v>
      </c>
      <c r="C463" s="1" t="n">
        <v>45975</v>
      </c>
      <c r="D463" t="inlineStr">
        <is>
          <t>GOTLANDS LÄN</t>
        </is>
      </c>
      <c r="E463" t="inlineStr">
        <is>
          <t>GOTLAND</t>
        </is>
      </c>
      <c r="G463" t="n">
        <v>2.5</v>
      </c>
      <c r="H463" t="n">
        <v>0</v>
      </c>
      <c r="I463" t="n">
        <v>0</v>
      </c>
      <c r="J463" t="n">
        <v>0</v>
      </c>
      <c r="K463" t="n">
        <v>0</v>
      </c>
      <c r="L463" t="n">
        <v>0</v>
      </c>
      <c r="M463" t="n">
        <v>0</v>
      </c>
      <c r="N463" t="n">
        <v>0</v>
      </c>
      <c r="O463" t="n">
        <v>0</v>
      </c>
      <c r="P463" t="n">
        <v>0</v>
      </c>
      <c r="Q463" t="n">
        <v>0</v>
      </c>
      <c r="R463" s="2" t="inlineStr"/>
    </row>
    <row r="464" ht="15" customHeight="1">
      <c r="A464" t="inlineStr">
        <is>
          <t>A 61962-2024</t>
        </is>
      </c>
      <c r="B464" s="1" t="n">
        <v>45653.54340277778</v>
      </c>
      <c r="C464" s="1" t="n">
        <v>45975</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5462-2025</t>
        </is>
      </c>
      <c r="B465" s="1" t="n">
        <v>45693.29331018519</v>
      </c>
      <c r="C465" s="1" t="n">
        <v>45975</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33011-2025</t>
        </is>
      </c>
      <c r="B466" s="1" t="n">
        <v>45840</v>
      </c>
      <c r="C466" s="1" t="n">
        <v>45975</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10492-2023</t>
        </is>
      </c>
      <c r="B467" s="1" t="n">
        <v>44987</v>
      </c>
      <c r="C467" s="1" t="n">
        <v>45975</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50431-2025</t>
        </is>
      </c>
      <c r="B468" s="1" t="n">
        <v>45944.68453703704</v>
      </c>
      <c r="C468" s="1" t="n">
        <v>45975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41551-2025</t>
        </is>
      </c>
      <c r="B469" s="1" t="n">
        <v>45901.58854166666</v>
      </c>
      <c r="C469" s="1" t="n">
        <v>45975</v>
      </c>
      <c r="D469" t="inlineStr">
        <is>
          <t>GOTLANDS LÄN</t>
        </is>
      </c>
      <c r="E469" t="inlineStr">
        <is>
          <t>GOTLAND</t>
        </is>
      </c>
      <c r="G469" t="n">
        <v>5.6</v>
      </c>
      <c r="H469" t="n">
        <v>0</v>
      </c>
      <c r="I469" t="n">
        <v>0</v>
      </c>
      <c r="J469" t="n">
        <v>0</v>
      </c>
      <c r="K469" t="n">
        <v>0</v>
      </c>
      <c r="L469" t="n">
        <v>0</v>
      </c>
      <c r="M469" t="n">
        <v>0</v>
      </c>
      <c r="N469" t="n">
        <v>0</v>
      </c>
      <c r="O469" t="n">
        <v>0</v>
      </c>
      <c r="P469" t="n">
        <v>0</v>
      </c>
      <c r="Q469" t="n">
        <v>0</v>
      </c>
      <c r="R469" s="2" t="inlineStr"/>
    </row>
    <row r="470" ht="15" customHeight="1">
      <c r="A470" t="inlineStr">
        <is>
          <t>A 5909-2025</t>
        </is>
      </c>
      <c r="B470" s="1" t="n">
        <v>45695.40634259259</v>
      </c>
      <c r="C470" s="1" t="n">
        <v>45975</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10653-2023</t>
        </is>
      </c>
      <c r="B471" s="1" t="n">
        <v>44988.48859953704</v>
      </c>
      <c r="C471" s="1" t="n">
        <v>45975</v>
      </c>
      <c r="D471" t="inlineStr">
        <is>
          <t>GOTLANDS LÄN</t>
        </is>
      </c>
      <c r="E471" t="inlineStr">
        <is>
          <t>GOTLAND</t>
        </is>
      </c>
      <c r="F471" t="inlineStr">
        <is>
          <t>Kyrkan</t>
        </is>
      </c>
      <c r="G471" t="n">
        <v>3</v>
      </c>
      <c r="H471" t="n">
        <v>0</v>
      </c>
      <c r="I471" t="n">
        <v>0</v>
      </c>
      <c r="J471" t="n">
        <v>0</v>
      </c>
      <c r="K471" t="n">
        <v>0</v>
      </c>
      <c r="L471" t="n">
        <v>0</v>
      </c>
      <c r="M471" t="n">
        <v>0</v>
      </c>
      <c r="N471" t="n">
        <v>0</v>
      </c>
      <c r="O471" t="n">
        <v>0</v>
      </c>
      <c r="P471" t="n">
        <v>0</v>
      </c>
      <c r="Q471" t="n">
        <v>0</v>
      </c>
      <c r="R471" s="2" t="inlineStr"/>
    </row>
    <row r="472" ht="15" customHeight="1">
      <c r="A472" t="inlineStr">
        <is>
          <t>A 25796-2025</t>
        </is>
      </c>
      <c r="B472" s="1" t="n">
        <v>45804.39543981481</v>
      </c>
      <c r="C472" s="1" t="n">
        <v>45975</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4990-2025</t>
        </is>
      </c>
      <c r="B473" s="1" t="n">
        <v>45691</v>
      </c>
      <c r="C473" s="1" t="n">
        <v>45975</v>
      </c>
      <c r="D473" t="inlineStr">
        <is>
          <t>GOTLANDS LÄN</t>
        </is>
      </c>
      <c r="E473" t="inlineStr">
        <is>
          <t>GOTLAND</t>
        </is>
      </c>
      <c r="G473" t="n">
        <v>7.7</v>
      </c>
      <c r="H473" t="n">
        <v>0</v>
      </c>
      <c r="I473" t="n">
        <v>0</v>
      </c>
      <c r="J473" t="n">
        <v>0</v>
      </c>
      <c r="K473" t="n">
        <v>0</v>
      </c>
      <c r="L473" t="n">
        <v>0</v>
      </c>
      <c r="M473" t="n">
        <v>0</v>
      </c>
      <c r="N473" t="n">
        <v>0</v>
      </c>
      <c r="O473" t="n">
        <v>0</v>
      </c>
      <c r="P473" t="n">
        <v>0</v>
      </c>
      <c r="Q473" t="n">
        <v>0</v>
      </c>
      <c r="R473" s="2" t="inlineStr"/>
    </row>
    <row r="474" ht="15" customHeight="1">
      <c r="A474" t="inlineStr">
        <is>
          <t>A 50928-2025</t>
        </is>
      </c>
      <c r="B474" s="1" t="n">
        <v>45946.67896990741</v>
      </c>
      <c r="C474" s="1" t="n">
        <v>45975</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43081-2022</t>
        </is>
      </c>
      <c r="B475" s="1" t="n">
        <v>44833</v>
      </c>
      <c r="C475" s="1" t="n">
        <v>45975</v>
      </c>
      <c r="D475" t="inlineStr">
        <is>
          <t>GOTLANDS LÄN</t>
        </is>
      </c>
      <c r="E475" t="inlineStr">
        <is>
          <t>GOTLAND</t>
        </is>
      </c>
      <c r="G475" t="n">
        <v>6.8</v>
      </c>
      <c r="H475" t="n">
        <v>0</v>
      </c>
      <c r="I475" t="n">
        <v>0</v>
      </c>
      <c r="J475" t="n">
        <v>0</v>
      </c>
      <c r="K475" t="n">
        <v>0</v>
      </c>
      <c r="L475" t="n">
        <v>0</v>
      </c>
      <c r="M475" t="n">
        <v>0</v>
      </c>
      <c r="N475" t="n">
        <v>0</v>
      </c>
      <c r="O475" t="n">
        <v>0</v>
      </c>
      <c r="P475" t="n">
        <v>0</v>
      </c>
      <c r="Q475" t="n">
        <v>0</v>
      </c>
      <c r="R475" s="2" t="inlineStr"/>
    </row>
    <row r="476" ht="15" customHeight="1">
      <c r="A476" t="inlineStr">
        <is>
          <t>A 32958-2021</t>
        </is>
      </c>
      <c r="B476" s="1" t="n">
        <v>44376</v>
      </c>
      <c r="C476" s="1" t="n">
        <v>45975</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5884-2025</t>
        </is>
      </c>
      <c r="B477" s="1" t="n">
        <v>45695.37482638889</v>
      </c>
      <c r="C477" s="1" t="n">
        <v>45975</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5897-2025</t>
        </is>
      </c>
      <c r="B478" s="1" t="n">
        <v>45695.39273148148</v>
      </c>
      <c r="C478" s="1" t="n">
        <v>45975</v>
      </c>
      <c r="D478" t="inlineStr">
        <is>
          <t>GOTLANDS LÄN</t>
        </is>
      </c>
      <c r="E478" t="inlineStr">
        <is>
          <t>GOTLAND</t>
        </is>
      </c>
      <c r="G478" t="n">
        <v>3.7</v>
      </c>
      <c r="H478" t="n">
        <v>0</v>
      </c>
      <c r="I478" t="n">
        <v>0</v>
      </c>
      <c r="J478" t="n">
        <v>0</v>
      </c>
      <c r="K478" t="n">
        <v>0</v>
      </c>
      <c r="L478" t="n">
        <v>0</v>
      </c>
      <c r="M478" t="n">
        <v>0</v>
      </c>
      <c r="N478" t="n">
        <v>0</v>
      </c>
      <c r="O478" t="n">
        <v>0</v>
      </c>
      <c r="P478" t="n">
        <v>0</v>
      </c>
      <c r="Q478" t="n">
        <v>0</v>
      </c>
      <c r="R478" s="2" t="inlineStr"/>
    </row>
    <row r="479" ht="15" customHeight="1">
      <c r="A479" t="inlineStr">
        <is>
          <t>A 581-2023</t>
        </is>
      </c>
      <c r="B479" s="1" t="n">
        <v>44930</v>
      </c>
      <c r="C479" s="1" t="n">
        <v>45975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26457-2025</t>
        </is>
      </c>
      <c r="B480" s="1" t="n">
        <v>45807.42773148148</v>
      </c>
      <c r="C480" s="1" t="n">
        <v>45975</v>
      </c>
      <c r="D480" t="inlineStr">
        <is>
          <t>GOTLANDS LÄN</t>
        </is>
      </c>
      <c r="E480" t="inlineStr">
        <is>
          <t>GOTLAND</t>
        </is>
      </c>
      <c r="G480" t="n">
        <v>5.7</v>
      </c>
      <c r="H480" t="n">
        <v>0</v>
      </c>
      <c r="I480" t="n">
        <v>0</v>
      </c>
      <c r="J480" t="n">
        <v>0</v>
      </c>
      <c r="K480" t="n">
        <v>0</v>
      </c>
      <c r="L480" t="n">
        <v>0</v>
      </c>
      <c r="M480" t="n">
        <v>0</v>
      </c>
      <c r="N480" t="n">
        <v>0</v>
      </c>
      <c r="O480" t="n">
        <v>0</v>
      </c>
      <c r="P480" t="n">
        <v>0</v>
      </c>
      <c r="Q480" t="n">
        <v>0</v>
      </c>
      <c r="R480" s="2" t="inlineStr"/>
    </row>
    <row r="481" ht="15" customHeight="1">
      <c r="A481" t="inlineStr">
        <is>
          <t>A 26467-2025</t>
        </is>
      </c>
      <c r="B481" s="1" t="n">
        <v>45807.44640046296</v>
      </c>
      <c r="C481" s="1" t="n">
        <v>45975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61386-2023</t>
        </is>
      </c>
      <c r="B482" s="1" t="n">
        <v>45264</v>
      </c>
      <c r="C482" s="1" t="n">
        <v>45975</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26465-2025</t>
        </is>
      </c>
      <c r="B483" s="1" t="n">
        <v>45807.44377314814</v>
      </c>
      <c r="C483" s="1" t="n">
        <v>45975</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873-2024</t>
        </is>
      </c>
      <c r="B484" s="1" t="n">
        <v>45301</v>
      </c>
      <c r="C484" s="1" t="n">
        <v>45975</v>
      </c>
      <c r="D484" t="inlineStr">
        <is>
          <t>GOTLANDS LÄN</t>
        </is>
      </c>
      <c r="E484" t="inlineStr">
        <is>
          <t>GOTLAND</t>
        </is>
      </c>
      <c r="G484" t="n">
        <v>2.7</v>
      </c>
      <c r="H484" t="n">
        <v>0</v>
      </c>
      <c r="I484" t="n">
        <v>0</v>
      </c>
      <c r="J484" t="n">
        <v>0</v>
      </c>
      <c r="K484" t="n">
        <v>0</v>
      </c>
      <c r="L484" t="n">
        <v>0</v>
      </c>
      <c r="M484" t="n">
        <v>0</v>
      </c>
      <c r="N484" t="n">
        <v>0</v>
      </c>
      <c r="O484" t="n">
        <v>0</v>
      </c>
      <c r="P484" t="n">
        <v>0</v>
      </c>
      <c r="Q484" t="n">
        <v>0</v>
      </c>
      <c r="R484" s="2" t="inlineStr"/>
    </row>
    <row r="485" ht="15" customHeight="1">
      <c r="A485" t="inlineStr">
        <is>
          <t>A 49411-2023</t>
        </is>
      </c>
      <c r="B485" s="1" t="n">
        <v>45205</v>
      </c>
      <c r="C485" s="1" t="n">
        <v>45975</v>
      </c>
      <c r="D485" t="inlineStr">
        <is>
          <t>GOTLANDS LÄN</t>
        </is>
      </c>
      <c r="E485" t="inlineStr">
        <is>
          <t>GOTLAND</t>
        </is>
      </c>
      <c r="G485" t="n">
        <v>2</v>
      </c>
      <c r="H485" t="n">
        <v>0</v>
      </c>
      <c r="I485" t="n">
        <v>0</v>
      </c>
      <c r="J485" t="n">
        <v>0</v>
      </c>
      <c r="K485" t="n">
        <v>0</v>
      </c>
      <c r="L485" t="n">
        <v>0</v>
      </c>
      <c r="M485" t="n">
        <v>0</v>
      </c>
      <c r="N485" t="n">
        <v>0</v>
      </c>
      <c r="O485" t="n">
        <v>0</v>
      </c>
      <c r="P485" t="n">
        <v>0</v>
      </c>
      <c r="Q485" t="n">
        <v>0</v>
      </c>
      <c r="R485" s="2" t="inlineStr"/>
    </row>
    <row r="486" ht="15" customHeight="1">
      <c r="A486" t="inlineStr">
        <is>
          <t>A 51262-2025</t>
        </is>
      </c>
      <c r="B486" s="1" t="n">
        <v>45949.49872685185</v>
      </c>
      <c r="C486" s="1" t="n">
        <v>45975</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26660-2025</t>
        </is>
      </c>
      <c r="B487" s="1" t="n">
        <v>45810.39737268518</v>
      </c>
      <c r="C487" s="1" t="n">
        <v>45975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49693-2023</t>
        </is>
      </c>
      <c r="B488" s="1" t="n">
        <v>45212.38138888889</v>
      </c>
      <c r="C488" s="1" t="n">
        <v>45975</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49697-2023</t>
        </is>
      </c>
      <c r="B489" s="1" t="n">
        <v>45212.38909722222</v>
      </c>
      <c r="C489" s="1" t="n">
        <v>45975</v>
      </c>
      <c r="D489" t="inlineStr">
        <is>
          <t>GOTLANDS LÄN</t>
        </is>
      </c>
      <c r="E489" t="inlineStr">
        <is>
          <t>GOTLAND</t>
        </is>
      </c>
      <c r="G489" t="n">
        <v>4.4</v>
      </c>
      <c r="H489" t="n">
        <v>0</v>
      </c>
      <c r="I489" t="n">
        <v>0</v>
      </c>
      <c r="J489" t="n">
        <v>0</v>
      </c>
      <c r="K489" t="n">
        <v>0</v>
      </c>
      <c r="L489" t="n">
        <v>0</v>
      </c>
      <c r="M489" t="n">
        <v>0</v>
      </c>
      <c r="N489" t="n">
        <v>0</v>
      </c>
      <c r="O489" t="n">
        <v>0</v>
      </c>
      <c r="P489" t="n">
        <v>0</v>
      </c>
      <c r="Q489" t="n">
        <v>0</v>
      </c>
      <c r="R489" s="2" t="inlineStr"/>
    </row>
    <row r="490" ht="15" customHeight="1">
      <c r="A490" t="inlineStr">
        <is>
          <t>A 17901-2023</t>
        </is>
      </c>
      <c r="B490" s="1" t="n">
        <v>45039</v>
      </c>
      <c r="C490" s="1" t="n">
        <v>45975</v>
      </c>
      <c r="D490" t="inlineStr">
        <is>
          <t>GOTLANDS LÄN</t>
        </is>
      </c>
      <c r="E490" t="inlineStr">
        <is>
          <t>GOTLAND</t>
        </is>
      </c>
      <c r="F490" t="inlineStr">
        <is>
          <t>Kyrkan</t>
        </is>
      </c>
      <c r="G490" t="n">
        <v>0.6</v>
      </c>
      <c r="H490" t="n">
        <v>0</v>
      </c>
      <c r="I490" t="n">
        <v>0</v>
      </c>
      <c r="J490" t="n">
        <v>0</v>
      </c>
      <c r="K490" t="n">
        <v>0</v>
      </c>
      <c r="L490" t="n">
        <v>0</v>
      </c>
      <c r="M490" t="n">
        <v>0</v>
      </c>
      <c r="N490" t="n">
        <v>0</v>
      </c>
      <c r="O490" t="n">
        <v>0</v>
      </c>
      <c r="P490" t="n">
        <v>0</v>
      </c>
      <c r="Q490" t="n">
        <v>0</v>
      </c>
      <c r="R490" s="2" t="inlineStr"/>
    </row>
    <row r="491" ht="15" customHeight="1">
      <c r="A491" t="inlineStr">
        <is>
          <t>A 22275-2023</t>
        </is>
      </c>
      <c r="B491" s="1" t="n">
        <v>45070.39875</v>
      </c>
      <c r="C491" s="1" t="n">
        <v>45975</v>
      </c>
      <c r="D491" t="inlineStr">
        <is>
          <t>GOTLANDS LÄN</t>
        </is>
      </c>
      <c r="E491" t="inlineStr">
        <is>
          <t>GOTLAND</t>
        </is>
      </c>
      <c r="G491" t="n">
        <v>7.2</v>
      </c>
      <c r="H491" t="n">
        <v>0</v>
      </c>
      <c r="I491" t="n">
        <v>0</v>
      </c>
      <c r="J491" t="n">
        <v>0</v>
      </c>
      <c r="K491" t="n">
        <v>0</v>
      </c>
      <c r="L491" t="n">
        <v>0</v>
      </c>
      <c r="M491" t="n">
        <v>0</v>
      </c>
      <c r="N491" t="n">
        <v>0</v>
      </c>
      <c r="O491" t="n">
        <v>0</v>
      </c>
      <c r="P491" t="n">
        <v>0</v>
      </c>
      <c r="Q491" t="n">
        <v>0</v>
      </c>
      <c r="R491" s="2" t="inlineStr"/>
    </row>
    <row r="492" ht="15" customHeight="1">
      <c r="A492" t="inlineStr">
        <is>
          <t>A 12322-2025</t>
        </is>
      </c>
      <c r="B492" s="1" t="n">
        <v>45730</v>
      </c>
      <c r="C492" s="1" t="n">
        <v>45975</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42608-2025</t>
        </is>
      </c>
      <c r="B493" s="1" t="n">
        <v>45905</v>
      </c>
      <c r="C493" s="1" t="n">
        <v>45975</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52892-2021</t>
        </is>
      </c>
      <c r="B494" s="1" t="n">
        <v>44467.49048611111</v>
      </c>
      <c r="C494" s="1" t="n">
        <v>45975</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27371-2025</t>
        </is>
      </c>
      <c r="B495" s="1" t="n">
        <v>45812</v>
      </c>
      <c r="C495" s="1" t="n">
        <v>45975</v>
      </c>
      <c r="D495" t="inlineStr">
        <is>
          <t>GOTLANDS LÄN</t>
        </is>
      </c>
      <c r="E495" t="inlineStr">
        <is>
          <t>GOTLAND</t>
        </is>
      </c>
      <c r="G495" t="n">
        <v>8</v>
      </c>
      <c r="H495" t="n">
        <v>0</v>
      </c>
      <c r="I495" t="n">
        <v>0</v>
      </c>
      <c r="J495" t="n">
        <v>0</v>
      </c>
      <c r="K495" t="n">
        <v>0</v>
      </c>
      <c r="L495" t="n">
        <v>0</v>
      </c>
      <c r="M495" t="n">
        <v>0</v>
      </c>
      <c r="N495" t="n">
        <v>0</v>
      </c>
      <c r="O495" t="n">
        <v>0</v>
      </c>
      <c r="P495" t="n">
        <v>0</v>
      </c>
      <c r="Q495" t="n">
        <v>0</v>
      </c>
      <c r="R495" s="2" t="inlineStr"/>
    </row>
    <row r="496" ht="15" customHeight="1">
      <c r="A496" t="inlineStr">
        <is>
          <t>A 27355-2025</t>
        </is>
      </c>
      <c r="B496" s="1" t="n">
        <v>45812</v>
      </c>
      <c r="C496" s="1" t="n">
        <v>45975</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6739-2025</t>
        </is>
      </c>
      <c r="B497" s="1" t="n">
        <v>45700</v>
      </c>
      <c r="C497" s="1" t="n">
        <v>45975</v>
      </c>
      <c r="D497" t="inlineStr">
        <is>
          <t>GOTLANDS LÄN</t>
        </is>
      </c>
      <c r="E497" t="inlineStr">
        <is>
          <t>GOTLAND</t>
        </is>
      </c>
      <c r="G497" t="n">
        <v>4.5</v>
      </c>
      <c r="H497" t="n">
        <v>0</v>
      </c>
      <c r="I497" t="n">
        <v>0</v>
      </c>
      <c r="J497" t="n">
        <v>0</v>
      </c>
      <c r="K497" t="n">
        <v>0</v>
      </c>
      <c r="L497" t="n">
        <v>0</v>
      </c>
      <c r="M497" t="n">
        <v>0</v>
      </c>
      <c r="N497" t="n">
        <v>0</v>
      </c>
      <c r="O497" t="n">
        <v>0</v>
      </c>
      <c r="P497" t="n">
        <v>0</v>
      </c>
      <c r="Q497" t="n">
        <v>0</v>
      </c>
      <c r="R497" s="2" t="inlineStr"/>
    </row>
    <row r="498" ht="15" customHeight="1">
      <c r="A498" t="inlineStr">
        <is>
          <t>A 7850-2025</t>
        </is>
      </c>
      <c r="B498" s="1" t="n">
        <v>45706</v>
      </c>
      <c r="C498" s="1" t="n">
        <v>45975</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46396-2023</t>
        </is>
      </c>
      <c r="B499" s="1" t="n">
        <v>45197</v>
      </c>
      <c r="C499" s="1" t="n">
        <v>45975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8444-2025</t>
        </is>
      </c>
      <c r="B500" s="1" t="n">
        <v>45709</v>
      </c>
      <c r="C500" s="1" t="n">
        <v>45975</v>
      </c>
      <c r="D500" t="inlineStr">
        <is>
          <t>GOTLANDS LÄN</t>
        </is>
      </c>
      <c r="E500" t="inlineStr">
        <is>
          <t>GOTLAND</t>
        </is>
      </c>
      <c r="G500" t="n">
        <v>5.2</v>
      </c>
      <c r="H500" t="n">
        <v>0</v>
      </c>
      <c r="I500" t="n">
        <v>0</v>
      </c>
      <c r="J500" t="n">
        <v>0</v>
      </c>
      <c r="K500" t="n">
        <v>0</v>
      </c>
      <c r="L500" t="n">
        <v>0</v>
      </c>
      <c r="M500" t="n">
        <v>0</v>
      </c>
      <c r="N500" t="n">
        <v>0</v>
      </c>
      <c r="O500" t="n">
        <v>0</v>
      </c>
      <c r="P500" t="n">
        <v>0</v>
      </c>
      <c r="Q500" t="n">
        <v>0</v>
      </c>
      <c r="R500" s="2" t="inlineStr"/>
    </row>
    <row r="501" ht="15" customHeight="1">
      <c r="A501" t="inlineStr">
        <is>
          <t>A 14797-2024</t>
        </is>
      </c>
      <c r="B501" s="1" t="n">
        <v>45397.87030092593</v>
      </c>
      <c r="C501" s="1" t="n">
        <v>45975</v>
      </c>
      <c r="D501" t="inlineStr">
        <is>
          <t>GOTLANDS LÄN</t>
        </is>
      </c>
      <c r="E501" t="inlineStr">
        <is>
          <t>GOTLAND</t>
        </is>
      </c>
      <c r="G501" t="n">
        <v>8.1</v>
      </c>
      <c r="H501" t="n">
        <v>0</v>
      </c>
      <c r="I501" t="n">
        <v>0</v>
      </c>
      <c r="J501" t="n">
        <v>0</v>
      </c>
      <c r="K501" t="n">
        <v>0</v>
      </c>
      <c r="L501" t="n">
        <v>0</v>
      </c>
      <c r="M501" t="n">
        <v>0</v>
      </c>
      <c r="N501" t="n">
        <v>0</v>
      </c>
      <c r="O501" t="n">
        <v>0</v>
      </c>
      <c r="P501" t="n">
        <v>0</v>
      </c>
      <c r="Q501" t="n">
        <v>0</v>
      </c>
      <c r="R501" s="2" t="inlineStr"/>
    </row>
    <row r="502" ht="15" customHeight="1">
      <c r="A502" t="inlineStr">
        <is>
          <t>A 999-2024</t>
        </is>
      </c>
      <c r="B502" s="1" t="n">
        <v>45301</v>
      </c>
      <c r="C502" s="1" t="n">
        <v>45975</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17724-2024</t>
        </is>
      </c>
      <c r="B503" s="1" t="n">
        <v>45418.55096064815</v>
      </c>
      <c r="C503" s="1" t="n">
        <v>45975</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16373-2025</t>
        </is>
      </c>
      <c r="B504" s="1" t="n">
        <v>45751</v>
      </c>
      <c r="C504" s="1" t="n">
        <v>45975</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34312-2024</t>
        </is>
      </c>
      <c r="B505" s="1" t="n">
        <v>45524.69703703704</v>
      </c>
      <c r="C505" s="1" t="n">
        <v>45975</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61596-2023</t>
        </is>
      </c>
      <c r="B506" s="1" t="n">
        <v>45265</v>
      </c>
      <c r="C506" s="1" t="n">
        <v>45975</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14638-2025</t>
        </is>
      </c>
      <c r="B507" s="1" t="n">
        <v>45742</v>
      </c>
      <c r="C507" s="1" t="n">
        <v>45975</v>
      </c>
      <c r="D507" t="inlineStr">
        <is>
          <t>GOTLANDS LÄN</t>
        </is>
      </c>
      <c r="E507" t="inlineStr">
        <is>
          <t>GOTLAND</t>
        </is>
      </c>
      <c r="G507" t="n">
        <v>13.4</v>
      </c>
      <c r="H507" t="n">
        <v>0</v>
      </c>
      <c r="I507" t="n">
        <v>0</v>
      </c>
      <c r="J507" t="n">
        <v>0</v>
      </c>
      <c r="K507" t="n">
        <v>0</v>
      </c>
      <c r="L507" t="n">
        <v>0</v>
      </c>
      <c r="M507" t="n">
        <v>0</v>
      </c>
      <c r="N507" t="n">
        <v>0</v>
      </c>
      <c r="O507" t="n">
        <v>0</v>
      </c>
      <c r="P507" t="n">
        <v>0</v>
      </c>
      <c r="Q507" t="n">
        <v>0</v>
      </c>
      <c r="R507" s="2" t="inlineStr"/>
    </row>
    <row r="508" ht="15" customHeight="1">
      <c r="A508" t="inlineStr">
        <is>
          <t>A 19905-2025</t>
        </is>
      </c>
      <c r="B508" s="1" t="n">
        <v>45771</v>
      </c>
      <c r="C508" s="1" t="n">
        <v>45975</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29196-2025</t>
        </is>
      </c>
      <c r="B509" s="1" t="n">
        <v>45822</v>
      </c>
      <c r="C509" s="1" t="n">
        <v>45975</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52637-2025</t>
        </is>
      </c>
      <c r="B510" s="1" t="n">
        <v>45954.75099537037</v>
      </c>
      <c r="C510" s="1" t="n">
        <v>45975</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69112-2021</t>
        </is>
      </c>
      <c r="B511" s="1" t="n">
        <v>44530</v>
      </c>
      <c r="C511" s="1" t="n">
        <v>45975</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60675-2021</t>
        </is>
      </c>
      <c r="B512" s="1" t="n">
        <v>44496.64855324074</v>
      </c>
      <c r="C512" s="1" t="n">
        <v>45975</v>
      </c>
      <c r="D512" t="inlineStr">
        <is>
          <t>GOTLANDS LÄN</t>
        </is>
      </c>
      <c r="E512" t="inlineStr">
        <is>
          <t>GOTLAND</t>
        </is>
      </c>
      <c r="G512" t="n">
        <v>4.6</v>
      </c>
      <c r="H512" t="n">
        <v>0</v>
      </c>
      <c r="I512" t="n">
        <v>0</v>
      </c>
      <c r="J512" t="n">
        <v>0</v>
      </c>
      <c r="K512" t="n">
        <v>0</v>
      </c>
      <c r="L512" t="n">
        <v>0</v>
      </c>
      <c r="M512" t="n">
        <v>0</v>
      </c>
      <c r="N512" t="n">
        <v>0</v>
      </c>
      <c r="O512" t="n">
        <v>0</v>
      </c>
      <c r="P512" t="n">
        <v>0</v>
      </c>
      <c r="Q512" t="n">
        <v>0</v>
      </c>
      <c r="R512" s="2" t="inlineStr"/>
    </row>
    <row r="513" ht="15" customHeight="1">
      <c r="A513" t="inlineStr">
        <is>
          <t>A 29207-2025</t>
        </is>
      </c>
      <c r="B513" s="1" t="n">
        <v>45823</v>
      </c>
      <c r="C513" s="1" t="n">
        <v>45975</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37728-2024</t>
        </is>
      </c>
      <c r="B514" s="1" t="n">
        <v>45541</v>
      </c>
      <c r="C514" s="1" t="n">
        <v>45975</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52249-2025</t>
        </is>
      </c>
      <c r="B515" s="1" t="n">
        <v>45953.48637731482</v>
      </c>
      <c r="C515" s="1" t="n">
        <v>45975</v>
      </c>
      <c r="D515" t="inlineStr">
        <is>
          <t>GOTLANDS LÄN</t>
        </is>
      </c>
      <c r="E515" t="inlineStr">
        <is>
          <t>GOTLAND</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7638-2025</t>
        </is>
      </c>
      <c r="B516" s="1" t="n">
        <v>45705.77306712963</v>
      </c>
      <c r="C516" s="1" t="n">
        <v>45975</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50482-2024</t>
        </is>
      </c>
      <c r="B517" s="1" t="n">
        <v>45601.48114583334</v>
      </c>
      <c r="C517" s="1" t="n">
        <v>45975</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10158-2025</t>
        </is>
      </c>
      <c r="B518" s="1" t="n">
        <v>45719</v>
      </c>
      <c r="C518" s="1" t="n">
        <v>45975</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1394-2023</t>
        </is>
      </c>
      <c r="B519" s="1" t="n">
        <v>44936.72997685185</v>
      </c>
      <c r="C519" s="1" t="n">
        <v>45975</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22287-2022</t>
        </is>
      </c>
      <c r="B520" s="1" t="n">
        <v>44712</v>
      </c>
      <c r="C520" s="1" t="n">
        <v>45975</v>
      </c>
      <c r="D520" t="inlineStr">
        <is>
          <t>GOTLANDS LÄN</t>
        </is>
      </c>
      <c r="E520" t="inlineStr">
        <is>
          <t>GOTLAND</t>
        </is>
      </c>
      <c r="G520" t="n">
        <v>6.1</v>
      </c>
      <c r="H520" t="n">
        <v>0</v>
      </c>
      <c r="I520" t="n">
        <v>0</v>
      </c>
      <c r="J520" t="n">
        <v>0</v>
      </c>
      <c r="K520" t="n">
        <v>0</v>
      </c>
      <c r="L520" t="n">
        <v>0</v>
      </c>
      <c r="M520" t="n">
        <v>0</v>
      </c>
      <c r="N520" t="n">
        <v>0</v>
      </c>
      <c r="O520" t="n">
        <v>0</v>
      </c>
      <c r="P520" t="n">
        <v>0</v>
      </c>
      <c r="Q520" t="n">
        <v>0</v>
      </c>
      <c r="R520" s="2" t="inlineStr"/>
    </row>
    <row r="521" ht="15" customHeight="1">
      <c r="A521" t="inlineStr">
        <is>
          <t>A 54074-2022</t>
        </is>
      </c>
      <c r="B521" s="1" t="n">
        <v>44881</v>
      </c>
      <c r="C521" s="1" t="n">
        <v>45975</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65249-2023</t>
        </is>
      </c>
      <c r="B522" s="1" t="n">
        <v>45290</v>
      </c>
      <c r="C522" s="1" t="n">
        <v>45975</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30061-2025</t>
        </is>
      </c>
      <c r="B523" s="1" t="n">
        <v>45826.61488425926</v>
      </c>
      <c r="C523" s="1" t="n">
        <v>45975</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13910-2025</t>
        </is>
      </c>
      <c r="B524" s="1" t="n">
        <v>45737</v>
      </c>
      <c r="C524" s="1" t="n">
        <v>45975</v>
      </c>
      <c r="D524" t="inlineStr">
        <is>
          <t>GOTLANDS LÄN</t>
        </is>
      </c>
      <c r="E524" t="inlineStr">
        <is>
          <t>GOTLAND</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58230-2024</t>
        </is>
      </c>
      <c r="B525" s="1" t="n">
        <v>45632.51625</v>
      </c>
      <c r="C525" s="1" t="n">
        <v>45975</v>
      </c>
      <c r="D525" t="inlineStr">
        <is>
          <t>GOTLANDS LÄN</t>
        </is>
      </c>
      <c r="E525" t="inlineStr">
        <is>
          <t>GOTLAND</t>
        </is>
      </c>
      <c r="G525" t="n">
        <v>7.3</v>
      </c>
      <c r="H525" t="n">
        <v>0</v>
      </c>
      <c r="I525" t="n">
        <v>0</v>
      </c>
      <c r="J525" t="n">
        <v>0</v>
      </c>
      <c r="K525" t="n">
        <v>0</v>
      </c>
      <c r="L525" t="n">
        <v>0</v>
      </c>
      <c r="M525" t="n">
        <v>0</v>
      </c>
      <c r="N525" t="n">
        <v>0</v>
      </c>
      <c r="O525" t="n">
        <v>0</v>
      </c>
      <c r="P525" t="n">
        <v>0</v>
      </c>
      <c r="Q525" t="n">
        <v>0</v>
      </c>
      <c r="R525" s="2" t="inlineStr"/>
    </row>
    <row r="526" ht="15" customHeight="1">
      <c r="A526" t="inlineStr">
        <is>
          <t>A 1462-2025</t>
        </is>
      </c>
      <c r="B526" s="1" t="n">
        <v>45670.36319444444</v>
      </c>
      <c r="C526" s="1" t="n">
        <v>45975</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43911-2025</t>
        </is>
      </c>
      <c r="B527" s="1" t="n">
        <v>45914.3881712963</v>
      </c>
      <c r="C527" s="1" t="n">
        <v>45975</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45975</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44410-2025</t>
        </is>
      </c>
      <c r="B529" s="1" t="n">
        <v>45916.53699074074</v>
      </c>
      <c r="C529" s="1" t="n">
        <v>45975</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45975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43951-2025</t>
        </is>
      </c>
      <c r="B531" s="1" t="n">
        <v>45915.38119212963</v>
      </c>
      <c r="C531" s="1" t="n">
        <v>45975</v>
      </c>
      <c r="D531" t="inlineStr">
        <is>
          <t>GOTLANDS LÄN</t>
        </is>
      </c>
      <c r="E531" t="inlineStr">
        <is>
          <t>GOTLAND</t>
        </is>
      </c>
      <c r="G531" t="n">
        <v>4.4</v>
      </c>
      <c r="H531" t="n">
        <v>0</v>
      </c>
      <c r="I531" t="n">
        <v>0</v>
      </c>
      <c r="J531" t="n">
        <v>0</v>
      </c>
      <c r="K531" t="n">
        <v>0</v>
      </c>
      <c r="L531" t="n">
        <v>0</v>
      </c>
      <c r="M531" t="n">
        <v>0</v>
      </c>
      <c r="N531" t="n">
        <v>0</v>
      </c>
      <c r="O531" t="n">
        <v>0</v>
      </c>
      <c r="P531" t="n">
        <v>0</v>
      </c>
      <c r="Q531" t="n">
        <v>0</v>
      </c>
      <c r="R531" s="2" t="inlineStr"/>
    </row>
    <row r="532" ht="15" customHeight="1">
      <c r="A532" t="inlineStr">
        <is>
          <t>A 14536-2021</t>
        </is>
      </c>
      <c r="B532" s="1" t="n">
        <v>44279.66168981481</v>
      </c>
      <c r="C532" s="1" t="n">
        <v>45975</v>
      </c>
      <c r="D532" t="inlineStr">
        <is>
          <t>GOTLANDS LÄN</t>
        </is>
      </c>
      <c r="E532" t="inlineStr">
        <is>
          <t>GOTLAND</t>
        </is>
      </c>
      <c r="G532" t="n">
        <v>8.5</v>
      </c>
      <c r="H532" t="n">
        <v>0</v>
      </c>
      <c r="I532" t="n">
        <v>0</v>
      </c>
      <c r="J532" t="n">
        <v>0</v>
      </c>
      <c r="K532" t="n">
        <v>0</v>
      </c>
      <c r="L532" t="n">
        <v>0</v>
      </c>
      <c r="M532" t="n">
        <v>0</v>
      </c>
      <c r="N532" t="n">
        <v>0</v>
      </c>
      <c r="O532" t="n">
        <v>0</v>
      </c>
      <c r="P532" t="n">
        <v>0</v>
      </c>
      <c r="Q532" t="n">
        <v>0</v>
      </c>
      <c r="R532" s="2" t="inlineStr"/>
    </row>
    <row r="533" ht="15" customHeight="1">
      <c r="A533" t="inlineStr">
        <is>
          <t>A 58160-2024</t>
        </is>
      </c>
      <c r="B533" s="1" t="n">
        <v>45632.44927083333</v>
      </c>
      <c r="C533" s="1" t="n">
        <v>45975</v>
      </c>
      <c r="D533" t="inlineStr">
        <is>
          <t>GOTLANDS LÄN</t>
        </is>
      </c>
      <c r="E533" t="inlineStr">
        <is>
          <t>GOTLAND</t>
        </is>
      </c>
      <c r="G533" t="n">
        <v>5.6</v>
      </c>
      <c r="H533" t="n">
        <v>0</v>
      </c>
      <c r="I533" t="n">
        <v>0</v>
      </c>
      <c r="J533" t="n">
        <v>0</v>
      </c>
      <c r="K533" t="n">
        <v>0</v>
      </c>
      <c r="L533" t="n">
        <v>0</v>
      </c>
      <c r="M533" t="n">
        <v>0</v>
      </c>
      <c r="N533" t="n">
        <v>0</v>
      </c>
      <c r="O533" t="n">
        <v>0</v>
      </c>
      <c r="P533" t="n">
        <v>0</v>
      </c>
      <c r="Q533" t="n">
        <v>0</v>
      </c>
      <c r="R533" s="2" t="inlineStr"/>
    </row>
    <row r="534" ht="15" customHeight="1">
      <c r="A534" t="inlineStr">
        <is>
          <t>A 44405-2025</t>
        </is>
      </c>
      <c r="B534" s="1" t="n">
        <v>45916.52405092592</v>
      </c>
      <c r="C534" s="1" t="n">
        <v>45975</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25129-2023</t>
        </is>
      </c>
      <c r="B535" s="1" t="n">
        <v>45086.44261574074</v>
      </c>
      <c r="C535" s="1" t="n">
        <v>45975</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24192-2023</t>
        </is>
      </c>
      <c r="B536" s="1" t="n">
        <v>45079</v>
      </c>
      <c r="C536" s="1" t="n">
        <v>45975</v>
      </c>
      <c r="D536" t="inlineStr">
        <is>
          <t>GOTLANDS LÄN</t>
        </is>
      </c>
      <c r="E536" t="inlineStr">
        <is>
          <t>GOTLAND</t>
        </is>
      </c>
      <c r="G536" t="n">
        <v>2.1</v>
      </c>
      <c r="H536" t="n">
        <v>0</v>
      </c>
      <c r="I536" t="n">
        <v>0</v>
      </c>
      <c r="J536" t="n">
        <v>0</v>
      </c>
      <c r="K536" t="n">
        <v>0</v>
      </c>
      <c r="L536" t="n">
        <v>0</v>
      </c>
      <c r="M536" t="n">
        <v>0</v>
      </c>
      <c r="N536" t="n">
        <v>0</v>
      </c>
      <c r="O536" t="n">
        <v>0</v>
      </c>
      <c r="P536" t="n">
        <v>0</v>
      </c>
      <c r="Q536" t="n">
        <v>0</v>
      </c>
      <c r="R536" s="2" t="inlineStr"/>
    </row>
    <row r="537" ht="15" customHeight="1">
      <c r="A537" t="inlineStr">
        <is>
          <t>A 53561-2025</t>
        </is>
      </c>
      <c r="B537" s="1" t="n">
        <v>45960.4059375</v>
      </c>
      <c r="C537" s="1" t="n">
        <v>45975</v>
      </c>
      <c r="D537" t="inlineStr">
        <is>
          <t>GOTLANDS LÄN</t>
        </is>
      </c>
      <c r="E537" t="inlineStr">
        <is>
          <t>GOTLAND</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53569-2025</t>
        </is>
      </c>
      <c r="B538" s="1" t="n">
        <v>45960.41155092593</v>
      </c>
      <c r="C538" s="1" t="n">
        <v>45975</v>
      </c>
      <c r="D538" t="inlineStr">
        <is>
          <t>GOTLANDS LÄN</t>
        </is>
      </c>
      <c r="E538" t="inlineStr">
        <is>
          <t>GOTLAND</t>
        </is>
      </c>
      <c r="F538" t="inlineStr">
        <is>
          <t>Övriga Aktiebolag</t>
        </is>
      </c>
      <c r="G538" t="n">
        <v>11.3</v>
      </c>
      <c r="H538" t="n">
        <v>0</v>
      </c>
      <c r="I538" t="n">
        <v>0</v>
      </c>
      <c r="J538" t="n">
        <v>0</v>
      </c>
      <c r="K538" t="n">
        <v>0</v>
      </c>
      <c r="L538" t="n">
        <v>0</v>
      </c>
      <c r="M538" t="n">
        <v>0</v>
      </c>
      <c r="N538" t="n">
        <v>0</v>
      </c>
      <c r="O538" t="n">
        <v>0</v>
      </c>
      <c r="P538" t="n">
        <v>0</v>
      </c>
      <c r="Q538" t="n">
        <v>0</v>
      </c>
      <c r="R538" s="2" t="inlineStr"/>
    </row>
    <row r="539" ht="15" customHeight="1">
      <c r="A539" t="inlineStr">
        <is>
          <t>A 53577-2025</t>
        </is>
      </c>
      <c r="B539" s="1" t="n">
        <v>45960.42224537037</v>
      </c>
      <c r="C539" s="1" t="n">
        <v>45975</v>
      </c>
      <c r="D539" t="inlineStr">
        <is>
          <t>GOTLANDS LÄN</t>
        </is>
      </c>
      <c r="E539" t="inlineStr">
        <is>
          <t>GOTLAND</t>
        </is>
      </c>
      <c r="F539" t="inlineStr">
        <is>
          <t>Övriga Aktiebolag</t>
        </is>
      </c>
      <c r="G539" t="n">
        <v>3.3</v>
      </c>
      <c r="H539" t="n">
        <v>0</v>
      </c>
      <c r="I539" t="n">
        <v>0</v>
      </c>
      <c r="J539" t="n">
        <v>0</v>
      </c>
      <c r="K539" t="n">
        <v>0</v>
      </c>
      <c r="L539" t="n">
        <v>0</v>
      </c>
      <c r="M539" t="n">
        <v>0</v>
      </c>
      <c r="N539" t="n">
        <v>0</v>
      </c>
      <c r="O539" t="n">
        <v>0</v>
      </c>
      <c r="P539" t="n">
        <v>0</v>
      </c>
      <c r="Q539" t="n">
        <v>0</v>
      </c>
      <c r="R539" s="2" t="inlineStr"/>
    </row>
    <row r="540" ht="15" customHeight="1">
      <c r="A540" t="inlineStr">
        <is>
          <t>A 53587-2025</t>
        </is>
      </c>
      <c r="B540" s="1" t="n">
        <v>45960.43681712963</v>
      </c>
      <c r="C540" s="1" t="n">
        <v>45975</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45975</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7026-2023</t>
        </is>
      </c>
      <c r="B542" s="1" t="n">
        <v>44968.30340277778</v>
      </c>
      <c r="C542" s="1" t="n">
        <v>45975</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20855-2023</t>
        </is>
      </c>
      <c r="B543" s="1" t="n">
        <v>45058.82172453704</v>
      </c>
      <c r="C543" s="1" t="n">
        <v>45975</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1000-2024</t>
        </is>
      </c>
      <c r="B544" s="1" t="n">
        <v>45301.63371527778</v>
      </c>
      <c r="C544" s="1" t="n">
        <v>45975</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1010-2024</t>
        </is>
      </c>
      <c r="B545" s="1" t="n">
        <v>45301</v>
      </c>
      <c r="C545" s="1" t="n">
        <v>45975</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11874-2024</t>
        </is>
      </c>
      <c r="B546" s="1" t="n">
        <v>45376.46956018519</v>
      </c>
      <c r="C546" s="1" t="n">
        <v>45975</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42041-2024</t>
        </is>
      </c>
      <c r="B547" s="1" t="n">
        <v>45561</v>
      </c>
      <c r="C547" s="1" t="n">
        <v>45975</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61694-2023</t>
        </is>
      </c>
      <c r="B548" s="1" t="n">
        <v>45264</v>
      </c>
      <c r="C548" s="1" t="n">
        <v>45975</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32379-2025</t>
        </is>
      </c>
      <c r="B549" s="1" t="n">
        <v>45837</v>
      </c>
      <c r="C549" s="1" t="n">
        <v>45975</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47762-2023</t>
        </is>
      </c>
      <c r="B550" s="1" t="n">
        <v>45203.86256944444</v>
      </c>
      <c r="C550" s="1" t="n">
        <v>45975</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32467-2025</t>
        </is>
      </c>
      <c r="B551" s="1" t="n">
        <v>45838.42111111111</v>
      </c>
      <c r="C551" s="1" t="n">
        <v>45975</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32378-2025</t>
        </is>
      </c>
      <c r="B552" s="1" t="n">
        <v>45837</v>
      </c>
      <c r="C552" s="1" t="n">
        <v>45975</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16109-2025</t>
        </is>
      </c>
      <c r="B553" s="1" t="n">
        <v>45750</v>
      </c>
      <c r="C553" s="1" t="n">
        <v>45975</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64555-2023</t>
        </is>
      </c>
      <c r="B554" s="1" t="n">
        <v>45281</v>
      </c>
      <c r="C554" s="1" t="n">
        <v>45975</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64831-2023</t>
        </is>
      </c>
      <c r="B555" s="1" t="n">
        <v>45282.44924768519</v>
      </c>
      <c r="C555" s="1" t="n">
        <v>45975</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14804-2021</t>
        </is>
      </c>
      <c r="B556" s="1" t="n">
        <v>44280</v>
      </c>
      <c r="C556" s="1" t="n">
        <v>45975</v>
      </c>
      <c r="D556" t="inlineStr">
        <is>
          <t>GOTLANDS LÄN</t>
        </is>
      </c>
      <c r="E556" t="inlineStr">
        <is>
          <t>GOTLAND</t>
        </is>
      </c>
      <c r="G556" t="n">
        <v>2.2</v>
      </c>
      <c r="H556" t="n">
        <v>0</v>
      </c>
      <c r="I556" t="n">
        <v>0</v>
      </c>
      <c r="J556" t="n">
        <v>0</v>
      </c>
      <c r="K556" t="n">
        <v>0</v>
      </c>
      <c r="L556" t="n">
        <v>0</v>
      </c>
      <c r="M556" t="n">
        <v>0</v>
      </c>
      <c r="N556" t="n">
        <v>0</v>
      </c>
      <c r="O556" t="n">
        <v>0</v>
      </c>
      <c r="P556" t="n">
        <v>0</v>
      </c>
      <c r="Q556" t="n">
        <v>0</v>
      </c>
      <c r="R556" s="2" t="inlineStr"/>
    </row>
    <row r="557" ht="15" customHeight="1">
      <c r="A557" t="inlineStr">
        <is>
          <t>A 999-2023</t>
        </is>
      </c>
      <c r="B557" s="1" t="n">
        <v>44935</v>
      </c>
      <c r="C557" s="1" t="n">
        <v>45975</v>
      </c>
      <c r="D557" t="inlineStr">
        <is>
          <t>GOTLANDS LÄN</t>
        </is>
      </c>
      <c r="E557" t="inlineStr">
        <is>
          <t>GOTLAND</t>
        </is>
      </c>
      <c r="G557" t="n">
        <v>4.7</v>
      </c>
      <c r="H557" t="n">
        <v>0</v>
      </c>
      <c r="I557" t="n">
        <v>0</v>
      </c>
      <c r="J557" t="n">
        <v>0</v>
      </c>
      <c r="K557" t="n">
        <v>0</v>
      </c>
      <c r="L557" t="n">
        <v>0</v>
      </c>
      <c r="M557" t="n">
        <v>0</v>
      </c>
      <c r="N557" t="n">
        <v>0</v>
      </c>
      <c r="O557" t="n">
        <v>0</v>
      </c>
      <c r="P557" t="n">
        <v>0</v>
      </c>
      <c r="Q557" t="n">
        <v>0</v>
      </c>
      <c r="R557" s="2" t="inlineStr"/>
    </row>
    <row r="558" ht="15" customHeight="1">
      <c r="A558" t="inlineStr">
        <is>
          <t>A 26391-2025</t>
        </is>
      </c>
      <c r="B558" s="1" t="n">
        <v>45806</v>
      </c>
      <c r="C558" s="1" t="n">
        <v>45975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54584-2025</t>
        </is>
      </c>
      <c r="B559" s="1" t="n">
        <v>45965.71788194445</v>
      </c>
      <c r="C559" s="1" t="n">
        <v>45975</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33007-2025</t>
        </is>
      </c>
      <c r="B560" s="1" t="n">
        <v>45840</v>
      </c>
      <c r="C560" s="1" t="n">
        <v>45975</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46836-2025</t>
        </is>
      </c>
      <c r="B561" s="1" t="n">
        <v>45928.31511574074</v>
      </c>
      <c r="C561" s="1" t="n">
        <v>45975</v>
      </c>
      <c r="D561" t="inlineStr">
        <is>
          <t>GOTLANDS LÄN</t>
        </is>
      </c>
      <c r="E561" t="inlineStr">
        <is>
          <t>GOTLAND</t>
        </is>
      </c>
      <c r="G561" t="n">
        <v>2.8</v>
      </c>
      <c r="H561" t="n">
        <v>0</v>
      </c>
      <c r="I561" t="n">
        <v>0</v>
      </c>
      <c r="J561" t="n">
        <v>0</v>
      </c>
      <c r="K561" t="n">
        <v>0</v>
      </c>
      <c r="L561" t="n">
        <v>0</v>
      </c>
      <c r="M561" t="n">
        <v>0</v>
      </c>
      <c r="N561" t="n">
        <v>0</v>
      </c>
      <c r="O561" t="n">
        <v>0</v>
      </c>
      <c r="P561" t="n">
        <v>0</v>
      </c>
      <c r="Q561" t="n">
        <v>0</v>
      </c>
      <c r="R561" s="2" t="inlineStr"/>
    </row>
    <row r="562" ht="15" customHeight="1">
      <c r="A562" t="inlineStr">
        <is>
          <t>A 27602-2023</t>
        </is>
      </c>
      <c r="B562" s="1" t="n">
        <v>45097</v>
      </c>
      <c r="C562" s="1" t="n">
        <v>45975</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47147-2025</t>
        </is>
      </c>
      <c r="B563" s="1" t="n">
        <v>45929</v>
      </c>
      <c r="C563" s="1" t="n">
        <v>45975</v>
      </c>
      <c r="D563" t="inlineStr">
        <is>
          <t>GOTLANDS LÄN</t>
        </is>
      </c>
      <c r="E563" t="inlineStr">
        <is>
          <t>GOTLAND</t>
        </is>
      </c>
      <c r="G563" t="n">
        <v>2.3</v>
      </c>
      <c r="H563" t="n">
        <v>0</v>
      </c>
      <c r="I563" t="n">
        <v>0</v>
      </c>
      <c r="J563" t="n">
        <v>0</v>
      </c>
      <c r="K563" t="n">
        <v>0</v>
      </c>
      <c r="L563" t="n">
        <v>0</v>
      </c>
      <c r="M563" t="n">
        <v>0</v>
      </c>
      <c r="N563" t="n">
        <v>0</v>
      </c>
      <c r="O563" t="n">
        <v>0</v>
      </c>
      <c r="P563" t="n">
        <v>0</v>
      </c>
      <c r="Q563" t="n">
        <v>0</v>
      </c>
      <c r="R563" s="2" t="inlineStr"/>
    </row>
    <row r="564" ht="15" customHeight="1">
      <c r="A564" t="inlineStr">
        <is>
          <t>A 15413-2025</t>
        </is>
      </c>
      <c r="B564" s="1" t="n">
        <v>45747.451875</v>
      </c>
      <c r="C564" s="1" t="n">
        <v>45975</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35123-2025</t>
        </is>
      </c>
      <c r="B565" s="1" t="n">
        <v>45852.614375</v>
      </c>
      <c r="C565" s="1" t="n">
        <v>45975</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35096-2025</t>
        </is>
      </c>
      <c r="B566" s="1" t="n">
        <v>45852.54356481481</v>
      </c>
      <c r="C566" s="1" t="n">
        <v>45975</v>
      </c>
      <c r="D566" t="inlineStr">
        <is>
          <t>GOTLANDS LÄN</t>
        </is>
      </c>
      <c r="E566" t="inlineStr">
        <is>
          <t>GOTLAND</t>
        </is>
      </c>
      <c r="F566" t="inlineStr">
        <is>
          <t>Kyrkan</t>
        </is>
      </c>
      <c r="G566" t="n">
        <v>1</v>
      </c>
      <c r="H566" t="n">
        <v>0</v>
      </c>
      <c r="I566" t="n">
        <v>0</v>
      </c>
      <c r="J566" t="n">
        <v>0</v>
      </c>
      <c r="K566" t="n">
        <v>0</v>
      </c>
      <c r="L566" t="n">
        <v>0</v>
      </c>
      <c r="M566" t="n">
        <v>0</v>
      </c>
      <c r="N566" t="n">
        <v>0</v>
      </c>
      <c r="O566" t="n">
        <v>0</v>
      </c>
      <c r="P566" t="n">
        <v>0</v>
      </c>
      <c r="Q566" t="n">
        <v>0</v>
      </c>
      <c r="R566" s="2" t="inlineStr"/>
    </row>
    <row r="567" ht="15" customHeight="1">
      <c r="A567" t="inlineStr">
        <is>
          <t>A 30104-2025</t>
        </is>
      </c>
      <c r="B567" s="1" t="n">
        <v>45826.68806712963</v>
      </c>
      <c r="C567" s="1" t="n">
        <v>45975</v>
      </c>
      <c r="D567" t="inlineStr">
        <is>
          <t>GOTLANDS LÄN</t>
        </is>
      </c>
      <c r="E567" t="inlineStr">
        <is>
          <t>GOTLAND</t>
        </is>
      </c>
      <c r="G567" t="n">
        <v>15.4</v>
      </c>
      <c r="H567" t="n">
        <v>0</v>
      </c>
      <c r="I567" t="n">
        <v>0</v>
      </c>
      <c r="J567" t="n">
        <v>0</v>
      </c>
      <c r="K567" t="n">
        <v>0</v>
      </c>
      <c r="L567" t="n">
        <v>0</v>
      </c>
      <c r="M567" t="n">
        <v>0</v>
      </c>
      <c r="N567" t="n">
        <v>0</v>
      </c>
      <c r="O567" t="n">
        <v>0</v>
      </c>
      <c r="P567" t="n">
        <v>0</v>
      </c>
      <c r="Q567" t="n">
        <v>0</v>
      </c>
      <c r="R567" s="2" t="inlineStr"/>
    </row>
    <row r="568" ht="15" customHeight="1">
      <c r="A568" t="inlineStr">
        <is>
          <t>A 35290-2025</t>
        </is>
      </c>
      <c r="B568" s="1" t="n">
        <v>45854.38502314815</v>
      </c>
      <c r="C568" s="1" t="n">
        <v>45975</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32669-2024</t>
        </is>
      </c>
      <c r="B569" s="1" t="n">
        <v>45514</v>
      </c>
      <c r="C569" s="1" t="n">
        <v>45975</v>
      </c>
      <c r="D569" t="inlineStr">
        <is>
          <t>GOTLANDS LÄN</t>
        </is>
      </c>
      <c r="E569" t="inlineStr">
        <is>
          <t>GOTLAND</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35537-2025</t>
        </is>
      </c>
      <c r="B570" s="1" t="n">
        <v>45856</v>
      </c>
      <c r="C570" s="1" t="n">
        <v>45975</v>
      </c>
      <c r="D570" t="inlineStr">
        <is>
          <t>GOTLANDS LÄN</t>
        </is>
      </c>
      <c r="E570" t="inlineStr">
        <is>
          <t>GOTLAND</t>
        </is>
      </c>
      <c r="G570" t="n">
        <v>16.8</v>
      </c>
      <c r="H570" t="n">
        <v>0</v>
      </c>
      <c r="I570" t="n">
        <v>0</v>
      </c>
      <c r="J570" t="n">
        <v>0</v>
      </c>
      <c r="K570" t="n">
        <v>0</v>
      </c>
      <c r="L570" t="n">
        <v>0</v>
      </c>
      <c r="M570" t="n">
        <v>0</v>
      </c>
      <c r="N570" t="n">
        <v>0</v>
      </c>
      <c r="O570" t="n">
        <v>0</v>
      </c>
      <c r="P570" t="n">
        <v>0</v>
      </c>
      <c r="Q570" t="n">
        <v>0</v>
      </c>
      <c r="R570" s="2" t="inlineStr"/>
    </row>
    <row r="571" ht="15" customHeight="1">
      <c r="A571" t="inlineStr">
        <is>
          <t>A 35550-2025</t>
        </is>
      </c>
      <c r="B571" s="1" t="n">
        <v>45856.49324074074</v>
      </c>
      <c r="C571" s="1" t="n">
        <v>45975</v>
      </c>
      <c r="D571" t="inlineStr">
        <is>
          <t>GOTLANDS LÄN</t>
        </is>
      </c>
      <c r="E571" t="inlineStr">
        <is>
          <t>GOTLAND</t>
        </is>
      </c>
      <c r="G571" t="n">
        <v>3.2</v>
      </c>
      <c r="H571" t="n">
        <v>0</v>
      </c>
      <c r="I571" t="n">
        <v>0</v>
      </c>
      <c r="J571" t="n">
        <v>0</v>
      </c>
      <c r="K571" t="n">
        <v>0</v>
      </c>
      <c r="L571" t="n">
        <v>0</v>
      </c>
      <c r="M571" t="n">
        <v>0</v>
      </c>
      <c r="N571" t="n">
        <v>0</v>
      </c>
      <c r="O571" t="n">
        <v>0</v>
      </c>
      <c r="P571" t="n">
        <v>0</v>
      </c>
      <c r="Q571" t="n">
        <v>0</v>
      </c>
      <c r="R571" s="2" t="inlineStr"/>
    </row>
    <row r="572" ht="15" customHeight="1">
      <c r="A572" t="inlineStr">
        <is>
          <t>A 47578-2025</t>
        </is>
      </c>
      <c r="B572" s="1" t="n">
        <v>45931</v>
      </c>
      <c r="C572" s="1" t="n">
        <v>45975</v>
      </c>
      <c r="D572" t="inlineStr">
        <is>
          <t>GOTLANDS LÄN</t>
        </is>
      </c>
      <c r="E572" t="inlineStr">
        <is>
          <t>GOTLAND</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47637-2025</t>
        </is>
      </c>
      <c r="B573" s="1" t="n">
        <v>45931.49753472222</v>
      </c>
      <c r="C573" s="1" t="n">
        <v>45975</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15216-2025</t>
        </is>
      </c>
      <c r="B574" s="1" t="n">
        <v>45744</v>
      </c>
      <c r="C574" s="1" t="n">
        <v>45975</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43790-2024</t>
        </is>
      </c>
      <c r="B575" s="1" t="n">
        <v>45571</v>
      </c>
      <c r="C575" s="1" t="n">
        <v>45975</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15001-2025</t>
        </is>
      </c>
      <c r="B576" s="1" t="n">
        <v>45743</v>
      </c>
      <c r="C576" s="1" t="n">
        <v>45975</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30488-2025</t>
        </is>
      </c>
      <c r="B577" s="1" t="n">
        <v>45830</v>
      </c>
      <c r="C577" s="1" t="n">
        <v>45975</v>
      </c>
      <c r="D577" t="inlineStr">
        <is>
          <t>GOTLANDS LÄN</t>
        </is>
      </c>
      <c r="E577" t="inlineStr">
        <is>
          <t>GOTLAND</t>
        </is>
      </c>
      <c r="F577" t="inlineStr">
        <is>
          <t>Kyrkan</t>
        </is>
      </c>
      <c r="G577" t="n">
        <v>3.9</v>
      </c>
      <c r="H577" t="n">
        <v>0</v>
      </c>
      <c r="I577" t="n">
        <v>0</v>
      </c>
      <c r="J577" t="n">
        <v>0</v>
      </c>
      <c r="K577" t="n">
        <v>0</v>
      </c>
      <c r="L577" t="n">
        <v>0</v>
      </c>
      <c r="M577" t="n">
        <v>0</v>
      </c>
      <c r="N577" t="n">
        <v>0</v>
      </c>
      <c r="O577" t="n">
        <v>0</v>
      </c>
      <c r="P577" t="n">
        <v>0</v>
      </c>
      <c r="Q577" t="n">
        <v>0</v>
      </c>
      <c r="R577" s="2" t="inlineStr"/>
    </row>
    <row r="578" ht="15" customHeight="1">
      <c r="A578" t="inlineStr">
        <is>
          <t>A 17847-2025</t>
        </is>
      </c>
      <c r="B578" s="1" t="n">
        <v>45758</v>
      </c>
      <c r="C578" s="1" t="n">
        <v>45975</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4377-2023</t>
        </is>
      </c>
      <c r="B579" s="1" t="n">
        <v>44955.5502662037</v>
      </c>
      <c r="C579" s="1" t="n">
        <v>45975</v>
      </c>
      <c r="D579" t="inlineStr">
        <is>
          <t>GOTLANDS LÄN</t>
        </is>
      </c>
      <c r="E579" t="inlineStr">
        <is>
          <t>GOTLAND</t>
        </is>
      </c>
      <c r="F579" t="inlineStr">
        <is>
          <t>Kyrkan</t>
        </is>
      </c>
      <c r="G579" t="n">
        <v>0.6</v>
      </c>
      <c r="H579" t="n">
        <v>0</v>
      </c>
      <c r="I579" t="n">
        <v>0</v>
      </c>
      <c r="J579" t="n">
        <v>0</v>
      </c>
      <c r="K579" t="n">
        <v>0</v>
      </c>
      <c r="L579" t="n">
        <v>0</v>
      </c>
      <c r="M579" t="n">
        <v>0</v>
      </c>
      <c r="N579" t="n">
        <v>0</v>
      </c>
      <c r="O579" t="n">
        <v>0</v>
      </c>
      <c r="P579" t="n">
        <v>0</v>
      </c>
      <c r="Q579" t="n">
        <v>0</v>
      </c>
      <c r="R579" s="2" t="inlineStr"/>
    </row>
    <row r="580" ht="15" customHeight="1">
      <c r="A580" t="inlineStr">
        <is>
          <t>A 4387-2023</t>
        </is>
      </c>
      <c r="B580" s="1" t="n">
        <v>44955.73359953704</v>
      </c>
      <c r="C580" s="1" t="n">
        <v>45975</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18742-2025</t>
        </is>
      </c>
      <c r="B581" s="1" t="n">
        <v>45763</v>
      </c>
      <c r="C581" s="1" t="n">
        <v>45975</v>
      </c>
      <c r="D581" t="inlineStr">
        <is>
          <t>GOTLANDS LÄN</t>
        </is>
      </c>
      <c r="E581" t="inlineStr">
        <is>
          <t>GOTLAND</t>
        </is>
      </c>
      <c r="G581" t="n">
        <v>3.4</v>
      </c>
      <c r="H581" t="n">
        <v>0</v>
      </c>
      <c r="I581" t="n">
        <v>0</v>
      </c>
      <c r="J581" t="n">
        <v>0</v>
      </c>
      <c r="K581" t="n">
        <v>0</v>
      </c>
      <c r="L581" t="n">
        <v>0</v>
      </c>
      <c r="M581" t="n">
        <v>0</v>
      </c>
      <c r="N581" t="n">
        <v>0</v>
      </c>
      <c r="O581" t="n">
        <v>0</v>
      </c>
      <c r="P581" t="n">
        <v>0</v>
      </c>
      <c r="Q581" t="n">
        <v>0</v>
      </c>
      <c r="R581" s="2" t="inlineStr"/>
    </row>
    <row r="582" ht="15" customHeight="1">
      <c r="A582" t="inlineStr">
        <is>
          <t>A 36319-2025</t>
        </is>
      </c>
      <c r="B582" s="1" t="n">
        <v>45868</v>
      </c>
      <c r="C582" s="1" t="n">
        <v>45975</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35129-2025</t>
        </is>
      </c>
      <c r="B583" s="1" t="n">
        <v>45852.63224537037</v>
      </c>
      <c r="C583" s="1" t="n">
        <v>45975</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39479-2022</t>
        </is>
      </c>
      <c r="B584" s="1" t="n">
        <v>44818</v>
      </c>
      <c r="C584" s="1" t="n">
        <v>45975</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51963-2024</t>
        </is>
      </c>
      <c r="B585" s="1" t="n">
        <v>45607.64833333333</v>
      </c>
      <c r="C585" s="1" t="n">
        <v>45975</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45975</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46389-2021</t>
        </is>
      </c>
      <c r="B587" s="1" t="n">
        <v>44443</v>
      </c>
      <c r="C587" s="1" t="n">
        <v>45975</v>
      </c>
      <c r="D587" t="inlineStr">
        <is>
          <t>GOTLANDS LÄN</t>
        </is>
      </c>
      <c r="E587" t="inlineStr">
        <is>
          <t>GOTLAND</t>
        </is>
      </c>
      <c r="F587" t="inlineStr">
        <is>
          <t>Kyrkan</t>
        </is>
      </c>
      <c r="G587" t="n">
        <v>2.1</v>
      </c>
      <c r="H587" t="n">
        <v>0</v>
      </c>
      <c r="I587" t="n">
        <v>0</v>
      </c>
      <c r="J587" t="n">
        <v>0</v>
      </c>
      <c r="K587" t="n">
        <v>0</v>
      </c>
      <c r="L587" t="n">
        <v>0</v>
      </c>
      <c r="M587" t="n">
        <v>0</v>
      </c>
      <c r="N587" t="n">
        <v>0</v>
      </c>
      <c r="O587" t="n">
        <v>0</v>
      </c>
      <c r="P587" t="n">
        <v>0</v>
      </c>
      <c r="Q587" t="n">
        <v>0</v>
      </c>
      <c r="R587" s="2" t="inlineStr"/>
    </row>
    <row r="588" ht="15" customHeight="1">
      <c r="A588" t="inlineStr">
        <is>
          <t>A 26810-2021</t>
        </is>
      </c>
      <c r="B588" s="1" t="n">
        <v>44349.55087962963</v>
      </c>
      <c r="C588" s="1" t="n">
        <v>45975</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5923-2023</t>
        </is>
      </c>
      <c r="B589" s="1" t="n">
        <v>44963.69503472222</v>
      </c>
      <c r="C589" s="1" t="n">
        <v>45975</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33853-2024</t>
        </is>
      </c>
      <c r="B590" s="1" t="n">
        <v>45520.64298611111</v>
      </c>
      <c r="C590" s="1" t="n">
        <v>45975</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18918-2025</t>
        </is>
      </c>
      <c r="B591" s="1" t="n">
        <v>45764</v>
      </c>
      <c r="C591" s="1" t="n">
        <v>45975</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45975</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44988.49543981482</v>
      </c>
      <c r="C593" s="1" t="n">
        <v>45975</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44944.55361111111</v>
      </c>
      <c r="C594" s="1" t="n">
        <v>45975</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26891-2024</t>
        </is>
      </c>
      <c r="B595" s="1" t="n">
        <v>45470.65540509259</v>
      </c>
      <c r="C595" s="1" t="n">
        <v>45975</v>
      </c>
      <c r="D595" t="inlineStr">
        <is>
          <t>GOTLANDS LÄN</t>
        </is>
      </c>
      <c r="E595" t="inlineStr">
        <is>
          <t>GOTLAND</t>
        </is>
      </c>
      <c r="G595" t="n">
        <v>0.8</v>
      </c>
      <c r="H595" t="n">
        <v>0</v>
      </c>
      <c r="I595" t="n">
        <v>0</v>
      </c>
      <c r="J595" t="n">
        <v>0</v>
      </c>
      <c r="K595" t="n">
        <v>0</v>
      </c>
      <c r="L595" t="n">
        <v>0</v>
      </c>
      <c r="M595" t="n">
        <v>0</v>
      </c>
      <c r="N595" t="n">
        <v>0</v>
      </c>
      <c r="O595" t="n">
        <v>0</v>
      </c>
      <c r="P595" t="n">
        <v>0</v>
      </c>
      <c r="Q595" t="n">
        <v>0</v>
      </c>
      <c r="R595" s="2" t="inlineStr"/>
    </row>
    <row r="596" ht="15" customHeight="1">
      <c r="A596" t="inlineStr">
        <is>
          <t>A 42007-2023</t>
        </is>
      </c>
      <c r="B596" s="1" t="n">
        <v>45177</v>
      </c>
      <c r="C596" s="1" t="n">
        <v>45975</v>
      </c>
      <c r="D596" t="inlineStr">
        <is>
          <t>GOTLANDS LÄN</t>
        </is>
      </c>
      <c r="E596" t="inlineStr">
        <is>
          <t>GOTLAND</t>
        </is>
      </c>
      <c r="G596" t="n">
        <v>0.8</v>
      </c>
      <c r="H596" t="n">
        <v>0</v>
      </c>
      <c r="I596" t="n">
        <v>0</v>
      </c>
      <c r="J596" t="n">
        <v>0</v>
      </c>
      <c r="K596" t="n">
        <v>0</v>
      </c>
      <c r="L596" t="n">
        <v>0</v>
      </c>
      <c r="M596" t="n">
        <v>0</v>
      </c>
      <c r="N596" t="n">
        <v>0</v>
      </c>
      <c r="O596" t="n">
        <v>0</v>
      </c>
      <c r="P596" t="n">
        <v>0</v>
      </c>
      <c r="Q596" t="n">
        <v>0</v>
      </c>
      <c r="R596" s="2" t="inlineStr"/>
    </row>
    <row r="597" ht="15" customHeight="1">
      <c r="A597" t="inlineStr">
        <is>
          <t>A 9887-2025</t>
        </is>
      </c>
      <c r="B597" s="1" t="n">
        <v>45716</v>
      </c>
      <c r="C597" s="1" t="n">
        <v>45975</v>
      </c>
      <c r="D597" t="inlineStr">
        <is>
          <t>GOTLANDS LÄN</t>
        </is>
      </c>
      <c r="E597" t="inlineStr">
        <is>
          <t>GOTLAND</t>
        </is>
      </c>
      <c r="G597" t="n">
        <v>7.5</v>
      </c>
      <c r="H597" t="n">
        <v>0</v>
      </c>
      <c r="I597" t="n">
        <v>0</v>
      </c>
      <c r="J597" t="n">
        <v>0</v>
      </c>
      <c r="K597" t="n">
        <v>0</v>
      </c>
      <c r="L597" t="n">
        <v>0</v>
      </c>
      <c r="M597" t="n">
        <v>0</v>
      </c>
      <c r="N597" t="n">
        <v>0</v>
      </c>
      <c r="O597" t="n">
        <v>0</v>
      </c>
      <c r="P597" t="n">
        <v>0</v>
      </c>
      <c r="Q597" t="n">
        <v>0</v>
      </c>
      <c r="R597" s="2" t="inlineStr"/>
    </row>
    <row r="598" ht="15" customHeight="1">
      <c r="A598" t="inlineStr">
        <is>
          <t>A 38165-2023</t>
        </is>
      </c>
      <c r="B598" s="1" t="n">
        <v>45161</v>
      </c>
      <c r="C598" s="1" t="n">
        <v>45975</v>
      </c>
      <c r="D598" t="inlineStr">
        <is>
          <t>GOTLANDS LÄN</t>
        </is>
      </c>
      <c r="E598" t="inlineStr">
        <is>
          <t>GOTLAND</t>
        </is>
      </c>
      <c r="G598" t="n">
        <v>2.6</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45975</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24825-2024</t>
        </is>
      </c>
      <c r="B600" s="1" t="n">
        <v>45461</v>
      </c>
      <c r="C600" s="1" t="n">
        <v>45975</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6696-2023</t>
        </is>
      </c>
      <c r="B601" s="1" t="n">
        <v>44966.66425925926</v>
      </c>
      <c r="C601" s="1" t="n">
        <v>45975</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21247-2022</t>
        </is>
      </c>
      <c r="B602" s="1" t="n">
        <v>44705.38832175926</v>
      </c>
      <c r="C602" s="1" t="n">
        <v>45975</v>
      </c>
      <c r="D602" t="inlineStr">
        <is>
          <t>GOTLANDS LÄN</t>
        </is>
      </c>
      <c r="E602" t="inlineStr">
        <is>
          <t>GOTLAND</t>
        </is>
      </c>
      <c r="G602" t="n">
        <v>16.2</v>
      </c>
      <c r="H602" t="n">
        <v>0</v>
      </c>
      <c r="I602" t="n">
        <v>0</v>
      </c>
      <c r="J602" t="n">
        <v>0</v>
      </c>
      <c r="K602" t="n">
        <v>0</v>
      </c>
      <c r="L602" t="n">
        <v>0</v>
      </c>
      <c r="M602" t="n">
        <v>0</v>
      </c>
      <c r="N602" t="n">
        <v>0</v>
      </c>
      <c r="O602" t="n">
        <v>0</v>
      </c>
      <c r="P602" t="n">
        <v>0</v>
      </c>
      <c r="Q602" t="n">
        <v>0</v>
      </c>
      <c r="R602" s="2" t="inlineStr"/>
    </row>
    <row r="603" ht="15" customHeight="1">
      <c r="A603" t="inlineStr">
        <is>
          <t>A 456-2023</t>
        </is>
      </c>
      <c r="B603" s="1" t="n">
        <v>44929.87122685185</v>
      </c>
      <c r="C603" s="1" t="n">
        <v>45975</v>
      </c>
      <c r="D603" t="inlineStr">
        <is>
          <t>GOTLANDS LÄN</t>
        </is>
      </c>
      <c r="E603" t="inlineStr">
        <is>
          <t>GOTLAND</t>
        </is>
      </c>
      <c r="G603" t="n">
        <v>3.2</v>
      </c>
      <c r="H603" t="n">
        <v>0</v>
      </c>
      <c r="I603" t="n">
        <v>0</v>
      </c>
      <c r="J603" t="n">
        <v>0</v>
      </c>
      <c r="K603" t="n">
        <v>0</v>
      </c>
      <c r="L603" t="n">
        <v>0</v>
      </c>
      <c r="M603" t="n">
        <v>0</v>
      </c>
      <c r="N603" t="n">
        <v>0</v>
      </c>
      <c r="O603" t="n">
        <v>0</v>
      </c>
      <c r="P603" t="n">
        <v>0</v>
      </c>
      <c r="Q603" t="n">
        <v>0</v>
      </c>
      <c r="R603" s="2" t="inlineStr"/>
    </row>
    <row r="604" ht="15" customHeight="1">
      <c r="A604" t="inlineStr">
        <is>
          <t>A 2714-2023</t>
        </is>
      </c>
      <c r="B604" s="1" t="n">
        <v>44944.54896990741</v>
      </c>
      <c r="C604" s="1" t="n">
        <v>45975</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4421-2024</t>
        </is>
      </c>
      <c r="B605" s="1" t="n">
        <v>45327.45173611111</v>
      </c>
      <c r="C605" s="1" t="n">
        <v>45975</v>
      </c>
      <c r="D605" t="inlineStr">
        <is>
          <t>GOTLANDS LÄN</t>
        </is>
      </c>
      <c r="E605" t="inlineStr">
        <is>
          <t>GOTLAND</t>
        </is>
      </c>
      <c r="G605" t="n">
        <v>5.1</v>
      </c>
      <c r="H605" t="n">
        <v>0</v>
      </c>
      <c r="I605" t="n">
        <v>0</v>
      </c>
      <c r="J605" t="n">
        <v>0</v>
      </c>
      <c r="K605" t="n">
        <v>0</v>
      </c>
      <c r="L605" t="n">
        <v>0</v>
      </c>
      <c r="M605" t="n">
        <v>0</v>
      </c>
      <c r="N605" t="n">
        <v>0</v>
      </c>
      <c r="O605" t="n">
        <v>0</v>
      </c>
      <c r="P605" t="n">
        <v>0</v>
      </c>
      <c r="Q605" t="n">
        <v>0</v>
      </c>
      <c r="R605" s="2" t="inlineStr"/>
    </row>
    <row r="606" ht="15" customHeight="1">
      <c r="A606" t="inlineStr">
        <is>
          <t>A 51782-2023</t>
        </is>
      </c>
      <c r="B606" s="1" t="n">
        <v>45222.80952546297</v>
      </c>
      <c r="C606" s="1" t="n">
        <v>45975</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54268-2022</t>
        </is>
      </c>
      <c r="B607" s="1" t="n">
        <v>44882</v>
      </c>
      <c r="C607" s="1" t="n">
        <v>45975</v>
      </c>
      <c r="D607" t="inlineStr">
        <is>
          <t>GOTLANDS LÄN</t>
        </is>
      </c>
      <c r="E607" t="inlineStr">
        <is>
          <t>GOTLAND</t>
        </is>
      </c>
      <c r="G607" t="n">
        <v>2.7</v>
      </c>
      <c r="H607" t="n">
        <v>0</v>
      </c>
      <c r="I607" t="n">
        <v>0</v>
      </c>
      <c r="J607" t="n">
        <v>0</v>
      </c>
      <c r="K607" t="n">
        <v>0</v>
      </c>
      <c r="L607" t="n">
        <v>0</v>
      </c>
      <c r="M607" t="n">
        <v>0</v>
      </c>
      <c r="N607" t="n">
        <v>0</v>
      </c>
      <c r="O607" t="n">
        <v>0</v>
      </c>
      <c r="P607" t="n">
        <v>0</v>
      </c>
      <c r="Q607" t="n">
        <v>0</v>
      </c>
      <c r="R607" s="2" t="inlineStr"/>
    </row>
    <row r="608">
      <c r="A608" t="inlineStr">
        <is>
          <t>A 57534-2022</t>
        </is>
      </c>
      <c r="B608" s="1" t="n">
        <v>44896</v>
      </c>
      <c r="C608" s="1" t="n">
        <v>45975</v>
      </c>
      <c r="D608" t="inlineStr">
        <is>
          <t>GOTLANDS LÄN</t>
        </is>
      </c>
      <c r="E608" t="inlineStr">
        <is>
          <t>GOTLAND</t>
        </is>
      </c>
      <c r="G608" t="n">
        <v>0.6</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2025-11-14T10:08:31Z</dcterms:created>
  <dcterms:modified xmlns:dcterms="http://purl.org/dc/terms/" xmlns:xsi="http://www.w3.org/2001/XMLSchema-instance" xsi:type="dcterms:W3CDTF">2025-11-14T10:08:32Z</dcterms:modified>
</cp:coreProperties>
</file>