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46106</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46106</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46106</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445-2023</t>
        </is>
      </c>
      <c r="B16" s="1" t="n">
        <v>44929</v>
      </c>
      <c r="C16" s="1" t="n">
        <v>46106</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40235-2025</t>
        </is>
      </c>
      <c r="B17" s="1" t="n">
        <v>45894</v>
      </c>
      <c r="C17" s="1" t="n">
        <v>46106</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46106</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46106</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46106</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62551-2022</t>
        </is>
      </c>
      <c r="B21" s="1" t="n">
        <v>44924</v>
      </c>
      <c r="C21" s="1" t="n">
        <v>46106</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46106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34100-2024</t>
        </is>
      </c>
      <c r="B23" s="1" t="n">
        <v>45523</v>
      </c>
      <c r="C23" s="1" t="n">
        <v>46106</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46106</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46106</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46106</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46106</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46106</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46106</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46106</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46106</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46106</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44928-2022</t>
        </is>
      </c>
      <c r="B33" s="1" t="n">
        <v>44841</v>
      </c>
      <c r="C33" s="1" t="n">
        <v>46106</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46106</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46106</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44204-2022</t>
        </is>
      </c>
      <c r="B36" s="1" t="n">
        <v>44839</v>
      </c>
      <c r="C36" s="1" t="n">
        <v>46106</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3324-2023</t>
        </is>
      </c>
      <c r="B37" s="1" t="n">
        <v>44949</v>
      </c>
      <c r="C37" s="1" t="n">
        <v>46106</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46106</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46106</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46106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61664-2023</t>
        </is>
      </c>
      <c r="B41" s="1" t="n">
        <v>45265</v>
      </c>
      <c r="C41" s="1" t="n">
        <v>46106</v>
      </c>
      <c r="D41" t="inlineStr">
        <is>
          <t>GOTLANDS LÄN</t>
        </is>
      </c>
      <c r="E41" t="inlineStr">
        <is>
          <t>GOTLAND</t>
        </is>
      </c>
      <c r="G41" t="n">
        <v>4.8</v>
      </c>
      <c r="H41" t="n">
        <v>6</v>
      </c>
      <c r="I41" t="n">
        <v>5</v>
      </c>
      <c r="J41" t="n">
        <v>4</v>
      </c>
      <c r="K41" t="n">
        <v>0</v>
      </c>
      <c r="L41" t="n">
        <v>0</v>
      </c>
      <c r="M41" t="n">
        <v>0</v>
      </c>
      <c r="N41" t="n">
        <v>0</v>
      </c>
      <c r="O41" t="n">
        <v>4</v>
      </c>
      <c r="P41" t="n">
        <v>0</v>
      </c>
      <c r="Q41" t="n">
        <v>12</v>
      </c>
      <c r="R41" s="2" t="inlineStr">
        <is>
          <t>Majviva
Odörspindling
Spillkråka
Svinrot
Blå slemspindling
Blåmossa
Nästrot
Skogsknipprot
Svavelriska
Brudsporre
Kärrknipprot
Ängsnycklar</t>
        </is>
      </c>
      <c r="S41">
        <f>HYPERLINK("https://klasma.github.io/Logging_0980/artfynd/A 61664-2023 artfynd.xlsx", "A 61664-2023")</f>
        <v/>
      </c>
      <c r="T41">
        <f>HYPERLINK("https://klasma.github.io/Logging_0980/kartor/A 61664-2023 karta.png", "A 61664-2023")</f>
        <v/>
      </c>
      <c r="V41">
        <f>HYPERLINK("https://klasma.github.io/Logging_0980/klagomål/A 61664-2023 FSC-klagomål.docx", "A 61664-2023")</f>
        <v/>
      </c>
      <c r="W41">
        <f>HYPERLINK("https://klasma.github.io/Logging_0980/klagomålsmail/A 61664-2023 FSC-klagomål mail.docx", "A 61664-2023")</f>
        <v/>
      </c>
      <c r="X41">
        <f>HYPERLINK("https://klasma.github.io/Logging_0980/tillsyn/A 61664-2023 tillsynsbegäran.docx", "A 61664-2023")</f>
        <v/>
      </c>
      <c r="Y41">
        <f>HYPERLINK("https://klasma.github.io/Logging_0980/tillsynsmail/A 61664-2023 tillsynsbegäran mail.docx", "A 61664-2023")</f>
        <v/>
      </c>
      <c r="Z41">
        <f>HYPERLINK("https://klasma.github.io/Logging_0980/fåglar/A 61664-2023 prioriterade fågelarter.docx", "A 61664-2023")</f>
        <v/>
      </c>
    </row>
    <row r="42" ht="15" customHeight="1">
      <c r="A42" t="inlineStr">
        <is>
          <t>A 37037-2021</t>
        </is>
      </c>
      <c r="B42" s="1" t="n">
        <v>44393.84688657407</v>
      </c>
      <c r="C42" s="1" t="n">
        <v>46106</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46106</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46106</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46106</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46106</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584-2023</t>
        </is>
      </c>
      <c r="B47" s="1" t="n">
        <v>44930</v>
      </c>
      <c r="C47" s="1" t="n">
        <v>46106</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46106</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46106</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46106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46106</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46106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46106</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46106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46106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46106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46106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46106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46106</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46106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46106</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46106</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46106</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46106</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46106</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46106</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57773-2025</t>
        </is>
      </c>
      <c r="B71" s="1" t="n">
        <v>45981.56349537037</v>
      </c>
      <c r="C71" s="1" t="n">
        <v>46106</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16823-2024</t>
        </is>
      </c>
      <c r="B72" s="1" t="n">
        <v>45411</v>
      </c>
      <c r="C72" s="1" t="n">
        <v>46106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46106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46106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46106</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446-2023</t>
        </is>
      </c>
      <c r="B76" s="1" t="n">
        <v>44929</v>
      </c>
      <c r="C76" s="1" t="n">
        <v>46106</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46106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46106</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6839-2026</t>
        </is>
      </c>
      <c r="B79" s="1" t="n">
        <v>46057.41193287037</v>
      </c>
      <c r="C79" s="1" t="n">
        <v>46106</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32326-2024</t>
        </is>
      </c>
      <c r="B80" s="1" t="n">
        <v>45512</v>
      </c>
      <c r="C80" s="1" t="n">
        <v>46106</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46106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46106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46106</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52245-2025</t>
        </is>
      </c>
      <c r="B84" s="1" t="n">
        <v>45953.47115740741</v>
      </c>
      <c r="C84" s="1" t="n">
        <v>46106</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42936-2024</t>
        </is>
      </c>
      <c r="B85" s="1" t="n">
        <v>45567</v>
      </c>
      <c r="C85" s="1" t="n">
        <v>46106</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46106</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16375-2025</t>
        </is>
      </c>
      <c r="B87" s="1" t="n">
        <v>45751.41064814815</v>
      </c>
      <c r="C87" s="1" t="n">
        <v>46106</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46106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46106</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46106</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46106</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46106</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46106</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46106</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5904-2024</t>
        </is>
      </c>
      <c r="B95" s="1" t="n">
        <v>45335</v>
      </c>
      <c r="C95" s="1" t="n">
        <v>46106</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1971-2023</t>
        </is>
      </c>
      <c r="B96" s="1" t="n">
        <v>44939</v>
      </c>
      <c r="C96" s="1" t="n">
        <v>46106</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46106</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46106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46106</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46106</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46106</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46106</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46106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46106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46106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46106</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46106</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46106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46106</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46106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46106</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30490-2025</t>
        </is>
      </c>
      <c r="B113" s="1" t="n">
        <v>45830</v>
      </c>
      <c r="C113" s="1" t="n">
        <v>46106</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20831-2024</t>
        </is>
      </c>
      <c r="B114" s="1" t="n">
        <v>45439</v>
      </c>
      <c r="C114" s="1" t="n">
        <v>46106</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55334-2024</t>
        </is>
      </c>
      <c r="B115" s="1" t="n">
        <v>45621</v>
      </c>
      <c r="C115" s="1" t="n">
        <v>46106</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46106</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17975-2024</t>
        </is>
      </c>
      <c r="B117" s="1" t="n">
        <v>45419.85546296297</v>
      </c>
      <c r="C117" s="1" t="n">
        <v>46106</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17982-2023</t>
        </is>
      </c>
      <c r="B118" s="1" t="n">
        <v>45040</v>
      </c>
      <c r="C118" s="1" t="n">
        <v>46106</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53552-2021</t>
        </is>
      </c>
      <c r="B119" s="1" t="n">
        <v>44468</v>
      </c>
      <c r="C119" s="1" t="n">
        <v>46106</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1520-2026</t>
        </is>
      </c>
      <c r="B120" s="1" t="n">
        <v>46034.35891203704</v>
      </c>
      <c r="C120" s="1" t="n">
        <v>46106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12315-2024</t>
        </is>
      </c>
      <c r="B121" s="1" t="n">
        <v>45378.6434837963</v>
      </c>
      <c r="C121" s="1" t="n">
        <v>46106</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46106</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46106</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46106</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46106</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46106</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46106</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46106</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46106</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46106</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46106</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46106</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46106</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63162-2025</t>
        </is>
      </c>
      <c r="B134" s="1" t="n">
        <v>46010.37629629629</v>
      </c>
      <c r="C134" s="1" t="n">
        <v>46106</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26077-2024</t>
        </is>
      </c>
      <c r="B135" s="1" t="n">
        <v>45467</v>
      </c>
      <c r="C135" s="1" t="n">
        <v>46106</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10274-2026</t>
        </is>
      </c>
      <c r="B136" s="1" t="n">
        <v>46076.58261574074</v>
      </c>
      <c r="C136" s="1" t="n">
        <v>46106</v>
      </c>
      <c r="D136" t="inlineStr">
        <is>
          <t>GOTLANDS LÄN</t>
        </is>
      </c>
      <c r="E136" t="inlineStr">
        <is>
          <t>GOTLAND</t>
        </is>
      </c>
      <c r="G136" t="n">
        <v>9.800000000000001</v>
      </c>
      <c r="H136" t="n">
        <v>1</v>
      </c>
      <c r="I136" t="n">
        <v>0</v>
      </c>
      <c r="J136" t="n">
        <v>0</v>
      </c>
      <c r="K136" t="n">
        <v>1</v>
      </c>
      <c r="L136" t="n">
        <v>0</v>
      </c>
      <c r="M136" t="n">
        <v>0</v>
      </c>
      <c r="N136" t="n">
        <v>0</v>
      </c>
      <c r="O136" t="n">
        <v>1</v>
      </c>
      <c r="P136" t="n">
        <v>1</v>
      </c>
      <c r="Q136" t="n">
        <v>2</v>
      </c>
      <c r="R136" s="2" t="inlineStr">
        <is>
          <t>Gråfingerört
Alvarstånds</t>
        </is>
      </c>
      <c r="S136">
        <f>HYPERLINK("https://klasma.github.io/Logging_0980/artfynd/A 10274-2026 artfynd.xlsx", "A 10274-2026")</f>
        <v/>
      </c>
      <c r="T136">
        <f>HYPERLINK("https://klasma.github.io/Logging_0980/kartor/A 10274-2026 karta.png", "A 10274-2026")</f>
        <v/>
      </c>
      <c r="V136">
        <f>HYPERLINK("https://klasma.github.io/Logging_0980/klagomål/A 10274-2026 FSC-klagomål.docx", "A 10274-2026")</f>
        <v/>
      </c>
      <c r="W136">
        <f>HYPERLINK("https://klasma.github.io/Logging_0980/klagomålsmail/A 10274-2026 FSC-klagomål mail.docx", "A 10274-2026")</f>
        <v/>
      </c>
      <c r="X136">
        <f>HYPERLINK("https://klasma.github.io/Logging_0980/tillsyn/A 10274-2026 tillsynsbegäran.docx", "A 10274-2026")</f>
        <v/>
      </c>
      <c r="Y136">
        <f>HYPERLINK("https://klasma.github.io/Logging_0980/tillsynsmail/A 10274-2026 tillsynsbegäran mail.docx", "A 10274-2026")</f>
        <v/>
      </c>
    </row>
    <row r="137" ht="15" customHeight="1">
      <c r="A137" t="inlineStr">
        <is>
          <t>A 62760-2025</t>
        </is>
      </c>
      <c r="B137" s="1" t="n">
        <v>46008</v>
      </c>
      <c r="C137" s="1" t="n">
        <v>46106</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43219-2023</t>
        </is>
      </c>
      <c r="B138" s="1" t="n">
        <v>45183</v>
      </c>
      <c r="C138" s="1" t="n">
        <v>46106</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46106</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22883-2024</t>
        </is>
      </c>
      <c r="B142" s="1" t="n">
        <v>45448.66368055555</v>
      </c>
      <c r="C142" s="1" t="n">
        <v>46106</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46106</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46106</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46106</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46106</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46106</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46106</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39812-2025</t>
        </is>
      </c>
      <c r="B149" s="1" t="n">
        <v>45891</v>
      </c>
      <c r="C149" s="1" t="n">
        <v>46106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46106</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46106</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9862-2024</t>
        </is>
      </c>
      <c r="B152" s="1" t="n">
        <v>45363</v>
      </c>
      <c r="C152" s="1" t="n">
        <v>46106</v>
      </c>
      <c r="D152" t="inlineStr">
        <is>
          <t>GOTLANDS LÄN</t>
        </is>
      </c>
      <c r="E152" t="inlineStr">
        <is>
          <t>GOTLAND</t>
        </is>
      </c>
      <c r="G152" t="n">
        <v>3.5</v>
      </c>
      <c r="H152" t="n">
        <v>1</v>
      </c>
      <c r="I152" t="n">
        <v>0</v>
      </c>
      <c r="J152" t="n">
        <v>0</v>
      </c>
      <c r="K152" t="n">
        <v>0</v>
      </c>
      <c r="L152" t="n">
        <v>0</v>
      </c>
      <c r="M152" t="n">
        <v>0</v>
      </c>
      <c r="N152" t="n">
        <v>0</v>
      </c>
      <c r="O152" t="n">
        <v>0</v>
      </c>
      <c r="P152" t="n">
        <v>0</v>
      </c>
      <c r="Q152" t="n">
        <v>1</v>
      </c>
      <c r="R152" s="2" t="inlineStr">
        <is>
          <t>Nattviol</t>
        </is>
      </c>
      <c r="S152">
        <f>HYPERLINK("https://klasma.github.io/Logging_0980/artfynd/A 9862-2024 artfynd.xlsx", "A 9862-2024")</f>
        <v/>
      </c>
      <c r="T152">
        <f>HYPERLINK("https://klasma.github.io/Logging_0980/kartor/A 9862-2024 karta.png", "A 9862-2024")</f>
        <v/>
      </c>
      <c r="V152">
        <f>HYPERLINK("https://klasma.github.io/Logging_0980/klagomål/A 9862-2024 FSC-klagomål.docx", "A 9862-2024")</f>
        <v/>
      </c>
      <c r="W152">
        <f>HYPERLINK("https://klasma.github.io/Logging_0980/klagomålsmail/A 9862-2024 FSC-klagomål mail.docx", "A 9862-2024")</f>
        <v/>
      </c>
      <c r="X152">
        <f>HYPERLINK("https://klasma.github.io/Logging_0980/tillsyn/A 9862-2024 tillsynsbegäran.docx", "A 9862-2024")</f>
        <v/>
      </c>
      <c r="Y152">
        <f>HYPERLINK("https://klasma.github.io/Logging_0980/tillsynsmail/A 9862-2024 tillsynsbegäran mail.docx", "A 9862-2024")</f>
        <v/>
      </c>
    </row>
    <row r="153" ht="15" customHeight="1">
      <c r="A153" t="inlineStr">
        <is>
          <t>A 34141-2024</t>
        </is>
      </c>
      <c r="B153" s="1" t="n">
        <v>45524.36229166666</v>
      </c>
      <c r="C153" s="1" t="n">
        <v>46106</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65927-2021</t>
        </is>
      </c>
      <c r="B154" s="1" t="n">
        <v>44516</v>
      </c>
      <c r="C154" s="1" t="n">
        <v>46106</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947-2023</t>
        </is>
      </c>
      <c r="B155" s="1" t="n">
        <v>44934</v>
      </c>
      <c r="C155" s="1" t="n">
        <v>46106</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35467-2021</t>
        </is>
      </c>
      <c r="B156" s="1" t="n">
        <v>44385</v>
      </c>
      <c r="C156" s="1" t="n">
        <v>46106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46106</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61561-2023</t>
        </is>
      </c>
      <c r="B158" s="1" t="n">
        <v>45265</v>
      </c>
      <c r="C158" s="1" t="n">
        <v>46106</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12924-2025</t>
        </is>
      </c>
      <c r="B159" s="1" t="n">
        <v>45734</v>
      </c>
      <c r="C159" s="1" t="n">
        <v>46106</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12324-2025</t>
        </is>
      </c>
      <c r="B160" s="1" t="n">
        <v>45730</v>
      </c>
      <c r="C160" s="1" t="n">
        <v>46106</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49726-2025</t>
        </is>
      </c>
      <c r="B161" s="1" t="n">
        <v>45939.84466435185</v>
      </c>
      <c r="C161" s="1" t="n">
        <v>46106</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2476-2025</t>
        </is>
      </c>
      <c r="B162" s="1" t="n">
        <v>45673</v>
      </c>
      <c r="C162" s="1" t="n">
        <v>46106</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44304-2021</t>
        </is>
      </c>
      <c r="B163" s="1" t="n">
        <v>44434</v>
      </c>
      <c r="C163" s="1" t="n">
        <v>46106</v>
      </c>
      <c r="D163" t="inlineStr">
        <is>
          <t>GOTLANDS LÄN</t>
        </is>
      </c>
      <c r="E163" t="inlineStr">
        <is>
          <t>GOTLAND</t>
        </is>
      </c>
      <c r="G163" t="n">
        <v>5.8</v>
      </c>
      <c r="H163" t="n">
        <v>0</v>
      </c>
      <c r="I163" t="n">
        <v>0</v>
      </c>
      <c r="J163" t="n">
        <v>1</v>
      </c>
      <c r="K163" t="n">
        <v>0</v>
      </c>
      <c r="L163" t="n">
        <v>0</v>
      </c>
      <c r="M163" t="n">
        <v>0</v>
      </c>
      <c r="N163" t="n">
        <v>0</v>
      </c>
      <c r="O163" t="n">
        <v>1</v>
      </c>
      <c r="P163" t="n">
        <v>0</v>
      </c>
      <c r="Q163" t="n">
        <v>1</v>
      </c>
      <c r="R163" s="2" t="inlineStr">
        <is>
          <t>Svinrot</t>
        </is>
      </c>
      <c r="S163">
        <f>HYPERLINK("https://klasma.github.io/Logging_0980/artfynd/A 44304-2021 artfynd.xlsx", "A 44304-2021")</f>
        <v/>
      </c>
      <c r="T163">
        <f>HYPERLINK("https://klasma.github.io/Logging_0980/kartor/A 44304-2021 karta.png", "A 44304-2021")</f>
        <v/>
      </c>
      <c r="V163">
        <f>HYPERLINK("https://klasma.github.io/Logging_0980/klagomål/A 44304-2021 FSC-klagomål.docx", "A 44304-2021")</f>
        <v/>
      </c>
      <c r="W163">
        <f>HYPERLINK("https://klasma.github.io/Logging_0980/klagomålsmail/A 44304-2021 FSC-klagomål mail.docx", "A 44304-2021")</f>
        <v/>
      </c>
      <c r="X163">
        <f>HYPERLINK("https://klasma.github.io/Logging_0980/tillsyn/A 44304-2021 tillsynsbegäran.docx", "A 44304-2021")</f>
        <v/>
      </c>
      <c r="Y163">
        <f>HYPERLINK("https://klasma.github.io/Logging_0980/tillsynsmail/A 44304-2021 tillsynsbegäran mail.docx", "A 44304-2021")</f>
        <v/>
      </c>
    </row>
    <row r="164" ht="15" customHeight="1">
      <c r="A164" t="inlineStr">
        <is>
          <t>A 447-2023</t>
        </is>
      </c>
      <c r="B164" s="1" t="n">
        <v>44929</v>
      </c>
      <c r="C164" s="1" t="n">
        <v>46106</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34809-2024</t>
        </is>
      </c>
      <c r="B165" s="1" t="n">
        <v>45526</v>
      </c>
      <c r="C165" s="1" t="n">
        <v>46106</v>
      </c>
      <c r="D165" t="inlineStr">
        <is>
          <t>GOTLANDS LÄN</t>
        </is>
      </c>
      <c r="E165" t="inlineStr">
        <is>
          <t>GOTLAND</t>
        </is>
      </c>
      <c r="G165" t="n">
        <v>9.9</v>
      </c>
      <c r="H165" t="n">
        <v>1</v>
      </c>
      <c r="I165" t="n">
        <v>0</v>
      </c>
      <c r="J165" t="n">
        <v>1</v>
      </c>
      <c r="K165" t="n">
        <v>0</v>
      </c>
      <c r="L165" t="n">
        <v>0</v>
      </c>
      <c r="M165" t="n">
        <v>0</v>
      </c>
      <c r="N165" t="n">
        <v>0</v>
      </c>
      <c r="O165" t="n">
        <v>1</v>
      </c>
      <c r="P165" t="n">
        <v>0</v>
      </c>
      <c r="Q165" t="n">
        <v>1</v>
      </c>
      <c r="R165" s="2" t="inlineStr">
        <is>
          <t>Brun ögontröst</t>
        </is>
      </c>
      <c r="S165">
        <f>HYPERLINK("https://klasma.github.io/Logging_0980/artfynd/A 34809-2024 artfynd.xlsx", "A 34809-2024")</f>
        <v/>
      </c>
      <c r="T165">
        <f>HYPERLINK("https://klasma.github.io/Logging_0980/kartor/A 34809-2024 karta.png", "A 34809-2024")</f>
        <v/>
      </c>
      <c r="V165">
        <f>HYPERLINK("https://klasma.github.io/Logging_0980/klagomål/A 34809-2024 FSC-klagomål.docx", "A 34809-2024")</f>
        <v/>
      </c>
      <c r="W165">
        <f>HYPERLINK("https://klasma.github.io/Logging_0980/klagomålsmail/A 34809-2024 FSC-klagomål mail.docx", "A 34809-2024")</f>
        <v/>
      </c>
      <c r="X165">
        <f>HYPERLINK("https://klasma.github.io/Logging_0980/tillsyn/A 34809-2024 tillsynsbegäran.docx", "A 34809-2024")</f>
        <v/>
      </c>
      <c r="Y165">
        <f>HYPERLINK("https://klasma.github.io/Logging_0980/tillsynsmail/A 34809-2024 tillsynsbegäran mail.docx", "A 34809-2024")</f>
        <v/>
      </c>
    </row>
    <row r="166" ht="15" customHeight="1">
      <c r="A166" t="inlineStr">
        <is>
          <t>A 49304-2024</t>
        </is>
      </c>
      <c r="B166" s="1" t="n">
        <v>45595.54996527778</v>
      </c>
      <c r="C166" s="1" t="n">
        <v>46106</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22782-2023</t>
        </is>
      </c>
      <c r="B167" s="1" t="n">
        <v>45072</v>
      </c>
      <c r="C167" s="1" t="n">
        <v>46106</v>
      </c>
      <c r="D167" t="inlineStr">
        <is>
          <t>GOTLANDS LÄN</t>
        </is>
      </c>
      <c r="E167" t="inlineStr">
        <is>
          <t>GOTLAND</t>
        </is>
      </c>
      <c r="F167" t="inlineStr">
        <is>
          <t>Kyrkan</t>
        </is>
      </c>
      <c r="G167" t="n">
        <v>3.1</v>
      </c>
      <c r="H167" t="n">
        <v>1</v>
      </c>
      <c r="I167" t="n">
        <v>0</v>
      </c>
      <c r="J167" t="n">
        <v>0</v>
      </c>
      <c r="K167" t="n">
        <v>0</v>
      </c>
      <c r="L167" t="n">
        <v>0</v>
      </c>
      <c r="M167" t="n">
        <v>0</v>
      </c>
      <c r="N167" t="n">
        <v>0</v>
      </c>
      <c r="O167" t="n">
        <v>0</v>
      </c>
      <c r="P167" t="n">
        <v>0</v>
      </c>
      <c r="Q167" t="n">
        <v>1</v>
      </c>
      <c r="R167" s="2" t="inlineStr">
        <is>
          <t>Ängsnycklar × skogsnycklar</t>
        </is>
      </c>
      <c r="S167">
        <f>HYPERLINK("https://klasma.github.io/Logging_0980/artfynd/A 22782-2023 artfynd.xlsx", "A 22782-2023")</f>
        <v/>
      </c>
      <c r="T167">
        <f>HYPERLINK("https://klasma.github.io/Logging_0980/kartor/A 22782-2023 karta.png", "A 22782-2023")</f>
        <v/>
      </c>
      <c r="V167">
        <f>HYPERLINK("https://klasma.github.io/Logging_0980/klagomål/A 22782-2023 FSC-klagomål.docx", "A 22782-2023")</f>
        <v/>
      </c>
      <c r="W167">
        <f>HYPERLINK("https://klasma.github.io/Logging_0980/klagomålsmail/A 22782-2023 FSC-klagomål mail.docx", "A 22782-2023")</f>
        <v/>
      </c>
      <c r="X167">
        <f>HYPERLINK("https://klasma.github.io/Logging_0980/tillsyn/A 22782-2023 tillsynsbegäran.docx", "A 22782-2023")</f>
        <v/>
      </c>
      <c r="Y167">
        <f>HYPERLINK("https://klasma.github.io/Logging_0980/tillsynsmail/A 22782-2023 tillsynsbegäran mail.docx", "A 22782-2023")</f>
        <v/>
      </c>
    </row>
    <row r="168" ht="15" customHeight="1">
      <c r="A168" t="inlineStr">
        <is>
          <t>A 44088-2022</t>
        </is>
      </c>
      <c r="B168" s="1" t="n">
        <v>44839</v>
      </c>
      <c r="C168" s="1" t="n">
        <v>46106</v>
      </c>
      <c r="D168" t="inlineStr">
        <is>
          <t>GOTLANDS LÄN</t>
        </is>
      </c>
      <c r="E168" t="inlineStr">
        <is>
          <t>GOTLAND</t>
        </is>
      </c>
      <c r="G168" t="n">
        <v>1.5</v>
      </c>
      <c r="H168" t="n">
        <v>0</v>
      </c>
      <c r="I168" t="n">
        <v>1</v>
      </c>
      <c r="J168" t="n">
        <v>0</v>
      </c>
      <c r="K168" t="n">
        <v>0</v>
      </c>
      <c r="L168" t="n">
        <v>0</v>
      </c>
      <c r="M168" t="n">
        <v>0</v>
      </c>
      <c r="N168" t="n">
        <v>0</v>
      </c>
      <c r="O168" t="n">
        <v>0</v>
      </c>
      <c r="P168" t="n">
        <v>0</v>
      </c>
      <c r="Q168" t="n">
        <v>1</v>
      </c>
      <c r="R168" s="2" t="inlineStr">
        <is>
          <t>Strävlosta</t>
        </is>
      </c>
      <c r="S168">
        <f>HYPERLINK("https://klasma.github.io/Logging_0980/artfynd/A 44088-2022 artfynd.xlsx", "A 44088-2022")</f>
        <v/>
      </c>
      <c r="T168">
        <f>HYPERLINK("https://klasma.github.io/Logging_0980/kartor/A 44088-2022 karta.png", "A 44088-2022")</f>
        <v/>
      </c>
      <c r="V168">
        <f>HYPERLINK("https://klasma.github.io/Logging_0980/klagomål/A 44088-2022 FSC-klagomål.docx", "A 44088-2022")</f>
        <v/>
      </c>
      <c r="W168">
        <f>HYPERLINK("https://klasma.github.io/Logging_0980/klagomålsmail/A 44088-2022 FSC-klagomål mail.docx", "A 44088-2022")</f>
        <v/>
      </c>
      <c r="X168">
        <f>HYPERLINK("https://klasma.github.io/Logging_0980/tillsyn/A 44088-2022 tillsynsbegäran.docx", "A 44088-2022")</f>
        <v/>
      </c>
      <c r="Y168">
        <f>HYPERLINK("https://klasma.github.io/Logging_0980/tillsynsmail/A 44088-2022 tillsynsbegäran mail.docx", "A 44088-2022")</f>
        <v/>
      </c>
    </row>
    <row r="169" ht="15" customHeight="1">
      <c r="A169" t="inlineStr">
        <is>
          <t>A 63149-2025</t>
        </is>
      </c>
      <c r="B169" s="1" t="n">
        <v>46010</v>
      </c>
      <c r="C169" s="1" t="n">
        <v>46106</v>
      </c>
      <c r="D169" t="inlineStr">
        <is>
          <t>GOTLANDS LÄN</t>
        </is>
      </c>
      <c r="E169" t="inlineStr">
        <is>
          <t>GOTLAND</t>
        </is>
      </c>
      <c r="G169" t="n">
        <v>4.3</v>
      </c>
      <c r="H169" t="n">
        <v>0</v>
      </c>
      <c r="I169" t="n">
        <v>1</v>
      </c>
      <c r="J169" t="n">
        <v>0</v>
      </c>
      <c r="K169" t="n">
        <v>0</v>
      </c>
      <c r="L169" t="n">
        <v>0</v>
      </c>
      <c r="M169" t="n">
        <v>0</v>
      </c>
      <c r="N169" t="n">
        <v>0</v>
      </c>
      <c r="O169" t="n">
        <v>0</v>
      </c>
      <c r="P169" t="n">
        <v>0</v>
      </c>
      <c r="Q169" t="n">
        <v>1</v>
      </c>
      <c r="R169" s="2" t="inlineStr">
        <is>
          <t>Anisspindling</t>
        </is>
      </c>
      <c r="S169">
        <f>HYPERLINK("https://klasma.github.io/Logging_0980/artfynd/A 63149-2025 artfynd.xlsx", "A 63149-2025")</f>
        <v/>
      </c>
      <c r="T169">
        <f>HYPERLINK("https://klasma.github.io/Logging_0980/kartor/A 63149-2025 karta.png", "A 63149-2025")</f>
        <v/>
      </c>
      <c r="V169">
        <f>HYPERLINK("https://klasma.github.io/Logging_0980/klagomål/A 63149-2025 FSC-klagomål.docx", "A 63149-2025")</f>
        <v/>
      </c>
      <c r="W169">
        <f>HYPERLINK("https://klasma.github.io/Logging_0980/klagomålsmail/A 63149-2025 FSC-klagomål mail.docx", "A 63149-2025")</f>
        <v/>
      </c>
      <c r="X169">
        <f>HYPERLINK("https://klasma.github.io/Logging_0980/tillsyn/A 63149-2025 tillsynsbegäran.docx", "A 63149-2025")</f>
        <v/>
      </c>
      <c r="Y169">
        <f>HYPERLINK("https://klasma.github.io/Logging_0980/tillsynsmail/A 63149-2025 tillsynsbegäran mail.docx", "A 63149-2025")</f>
        <v/>
      </c>
    </row>
    <row r="170" ht="15" customHeight="1">
      <c r="A170" t="inlineStr">
        <is>
          <t>A 1477-2024</t>
        </is>
      </c>
      <c r="B170" s="1" t="n">
        <v>45305.37987268518</v>
      </c>
      <c r="C170" s="1" t="n">
        <v>46106</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7637-2025</t>
        </is>
      </c>
      <c r="B171" s="1" t="n">
        <v>45705.77181712963</v>
      </c>
      <c r="C171" s="1" t="n">
        <v>46106</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11708-2026</t>
        </is>
      </c>
      <c r="B172" s="1" t="n">
        <v>46084</v>
      </c>
      <c r="C172" s="1" t="n">
        <v>46106</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10013-2026</t>
        </is>
      </c>
      <c r="B173" s="1" t="n">
        <v>46073</v>
      </c>
      <c r="C173" s="1" t="n">
        <v>46106</v>
      </c>
      <c r="D173" t="inlineStr">
        <is>
          <t>GOTLANDS LÄN</t>
        </is>
      </c>
      <c r="E173" t="inlineStr">
        <is>
          <t>GOTLAND</t>
        </is>
      </c>
      <c r="G173" t="n">
        <v>10.5</v>
      </c>
      <c r="H173" t="n">
        <v>0</v>
      </c>
      <c r="I173" t="n">
        <v>0</v>
      </c>
      <c r="J173" t="n">
        <v>0</v>
      </c>
      <c r="K173" t="n">
        <v>1</v>
      </c>
      <c r="L173" t="n">
        <v>0</v>
      </c>
      <c r="M173" t="n">
        <v>0</v>
      </c>
      <c r="N173" t="n">
        <v>0</v>
      </c>
      <c r="O173" t="n">
        <v>1</v>
      </c>
      <c r="P173" t="n">
        <v>1</v>
      </c>
      <c r="Q173" t="n">
        <v>1</v>
      </c>
      <c r="R173" s="2" t="inlineStr">
        <is>
          <t>Skogskorn</t>
        </is>
      </c>
      <c r="S173">
        <f>HYPERLINK("https://klasma.github.io/Logging_0980/artfynd/A 10013-2026 artfynd.xlsx", "A 10013-2026")</f>
        <v/>
      </c>
      <c r="T173">
        <f>HYPERLINK("https://klasma.github.io/Logging_0980/kartor/A 10013-2026 karta.png", "A 10013-2026")</f>
        <v/>
      </c>
      <c r="V173">
        <f>HYPERLINK("https://klasma.github.io/Logging_0980/klagomål/A 10013-2026 FSC-klagomål.docx", "A 10013-2026")</f>
        <v/>
      </c>
      <c r="W173">
        <f>HYPERLINK("https://klasma.github.io/Logging_0980/klagomålsmail/A 10013-2026 FSC-klagomål mail.docx", "A 10013-2026")</f>
        <v/>
      </c>
      <c r="X173">
        <f>HYPERLINK("https://klasma.github.io/Logging_0980/tillsyn/A 10013-2026 tillsynsbegäran.docx", "A 10013-2026")</f>
        <v/>
      </c>
      <c r="Y173">
        <f>HYPERLINK("https://klasma.github.io/Logging_0980/tillsynsmail/A 10013-2026 tillsynsbegäran mail.docx", "A 10013-2026")</f>
        <v/>
      </c>
    </row>
    <row r="174" ht="15" customHeight="1">
      <c r="A174" t="inlineStr">
        <is>
          <t>A 61796-2022</t>
        </is>
      </c>
      <c r="B174" s="1" t="n">
        <v>44917</v>
      </c>
      <c r="C174" s="1" t="n">
        <v>46106</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46106</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46106</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46106</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46106</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46106</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46106</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46106</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46106</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46106</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46106</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46106</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46106</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19901-2021</t>
        </is>
      </c>
      <c r="B187" s="1" t="n">
        <v>44312</v>
      </c>
      <c r="C187" s="1" t="n">
        <v>46106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46106</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46106</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46106</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46106</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46106</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46106</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46106</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46106</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46106</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46106</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46106</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46106</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46106</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46106</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46106</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46106</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46106</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46106</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46106</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46106</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46106</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46106</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46106</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46106</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46106</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46106</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46106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46106</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46106</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46106</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46106</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46106</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46106</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46106</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46106</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46106</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46106</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17901-2023</t>
        </is>
      </c>
      <c r="B231" s="1" t="n">
        <v>45039</v>
      </c>
      <c r="C231" s="1" t="n">
        <v>46106</v>
      </c>
      <c r="D231" t="inlineStr">
        <is>
          <t>GOTLANDS LÄN</t>
        </is>
      </c>
      <c r="E231" t="inlineStr">
        <is>
          <t>GOTLAND</t>
        </is>
      </c>
      <c r="F231" t="inlineStr">
        <is>
          <t>Kyrkan</t>
        </is>
      </c>
      <c r="G231" t="n">
        <v>0.6</v>
      </c>
      <c r="H231" t="n">
        <v>0</v>
      </c>
      <c r="I231" t="n">
        <v>0</v>
      </c>
      <c r="J231" t="n">
        <v>0</v>
      </c>
      <c r="K231" t="n">
        <v>0</v>
      </c>
      <c r="L231" t="n">
        <v>0</v>
      </c>
      <c r="M231" t="n">
        <v>0</v>
      </c>
      <c r="N231" t="n">
        <v>0</v>
      </c>
      <c r="O231" t="n">
        <v>0</v>
      </c>
      <c r="P231" t="n">
        <v>0</v>
      </c>
      <c r="Q231" t="n">
        <v>0</v>
      </c>
      <c r="R231" s="2" t="inlineStr"/>
    </row>
    <row r="232" ht="15" customHeight="1">
      <c r="A232" t="inlineStr">
        <is>
          <t>A 58476-2022</t>
        </is>
      </c>
      <c r="B232" s="1" t="n">
        <v>44902</v>
      </c>
      <c r="C232" s="1" t="n">
        <v>46106</v>
      </c>
      <c r="D232" t="inlineStr">
        <is>
          <t>GOTLANDS LÄN</t>
        </is>
      </c>
      <c r="E232" t="inlineStr">
        <is>
          <t>GOTLAND</t>
        </is>
      </c>
      <c r="G232" t="n">
        <v>0.9</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46106</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63229-2021</t>
        </is>
      </c>
      <c r="B234" s="1" t="n">
        <v>44508.34518518519</v>
      </c>
      <c r="C234" s="1" t="n">
        <v>46106</v>
      </c>
      <c r="D234" t="inlineStr">
        <is>
          <t>GOTLANDS LÄN</t>
        </is>
      </c>
      <c r="E234" t="inlineStr">
        <is>
          <t>GOTLAND</t>
        </is>
      </c>
      <c r="F234" t="inlineStr">
        <is>
          <t>Kyrkan</t>
        </is>
      </c>
      <c r="G234" t="n">
        <v>3.8</v>
      </c>
      <c r="H234" t="n">
        <v>0</v>
      </c>
      <c r="I234" t="n">
        <v>0</v>
      </c>
      <c r="J234" t="n">
        <v>0</v>
      </c>
      <c r="K234" t="n">
        <v>0</v>
      </c>
      <c r="L234" t="n">
        <v>0</v>
      </c>
      <c r="M234" t="n">
        <v>0</v>
      </c>
      <c r="N234" t="n">
        <v>0</v>
      </c>
      <c r="O234" t="n">
        <v>0</v>
      </c>
      <c r="P234" t="n">
        <v>0</v>
      </c>
      <c r="Q234" t="n">
        <v>0</v>
      </c>
      <c r="R234" s="2" t="inlineStr"/>
    </row>
    <row r="235" ht="15" customHeight="1">
      <c r="A235" t="inlineStr">
        <is>
          <t>A 873-2024</t>
        </is>
      </c>
      <c r="B235" s="1" t="n">
        <v>45301</v>
      </c>
      <c r="C235" s="1" t="n">
        <v>46106</v>
      </c>
      <c r="D235" t="inlineStr">
        <is>
          <t>GOTLANDS LÄN</t>
        </is>
      </c>
      <c r="E235" t="inlineStr">
        <is>
          <t>GOTLAND</t>
        </is>
      </c>
      <c r="G235" t="n">
        <v>2.7</v>
      </c>
      <c r="H235" t="n">
        <v>0</v>
      </c>
      <c r="I235" t="n">
        <v>0</v>
      </c>
      <c r="J235" t="n">
        <v>0</v>
      </c>
      <c r="K235" t="n">
        <v>0</v>
      </c>
      <c r="L235" t="n">
        <v>0</v>
      </c>
      <c r="M235" t="n">
        <v>0</v>
      </c>
      <c r="N235" t="n">
        <v>0</v>
      </c>
      <c r="O235" t="n">
        <v>0</v>
      </c>
      <c r="P235" t="n">
        <v>0</v>
      </c>
      <c r="Q235" t="n">
        <v>0</v>
      </c>
      <c r="R235" s="2" t="inlineStr"/>
    </row>
    <row r="236" ht="15" customHeight="1">
      <c r="A236" t="inlineStr">
        <is>
          <t>A 44228-2022</t>
        </is>
      </c>
      <c r="B236" s="1" t="n">
        <v>44839.51599537037</v>
      </c>
      <c r="C236" s="1" t="n">
        <v>46106</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61386-2023</t>
        </is>
      </c>
      <c r="B237" s="1" t="n">
        <v>45264</v>
      </c>
      <c r="C237" s="1" t="n">
        <v>46106</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27593-2023</t>
        </is>
      </c>
      <c r="B238" s="1" t="n">
        <v>45097</v>
      </c>
      <c r="C238" s="1" t="n">
        <v>46106</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25129-2023</t>
        </is>
      </c>
      <c r="B239" s="1" t="n">
        <v>45086.44261574074</v>
      </c>
      <c r="C239" s="1" t="n">
        <v>46106</v>
      </c>
      <c r="D239" t="inlineStr">
        <is>
          <t>GOTLANDS LÄN</t>
        </is>
      </c>
      <c r="E239" t="inlineStr">
        <is>
          <t>GOTLAND</t>
        </is>
      </c>
      <c r="G239" t="n">
        <v>1.5</v>
      </c>
      <c r="H239" t="n">
        <v>0</v>
      </c>
      <c r="I239" t="n">
        <v>0</v>
      </c>
      <c r="J239" t="n">
        <v>0</v>
      </c>
      <c r="K239" t="n">
        <v>0</v>
      </c>
      <c r="L239" t="n">
        <v>0</v>
      </c>
      <c r="M239" t="n">
        <v>0</v>
      </c>
      <c r="N239" t="n">
        <v>0</v>
      </c>
      <c r="O239" t="n">
        <v>0</v>
      </c>
      <c r="P239" t="n">
        <v>0</v>
      </c>
      <c r="Q239" t="n">
        <v>0</v>
      </c>
      <c r="R239" s="2" t="inlineStr"/>
    </row>
    <row r="240" ht="15" customHeight="1">
      <c r="A240" t="inlineStr">
        <is>
          <t>A 45106-2024</t>
        </is>
      </c>
      <c r="B240" s="1" t="n">
        <v>45575</v>
      </c>
      <c r="C240" s="1" t="n">
        <v>46106</v>
      </c>
      <c r="D240" t="inlineStr">
        <is>
          <t>GOTLANDS LÄN</t>
        </is>
      </c>
      <c r="E240" t="inlineStr">
        <is>
          <t>GOTLAND</t>
        </is>
      </c>
      <c r="G240" t="n">
        <v>10</v>
      </c>
      <c r="H240" t="n">
        <v>0</v>
      </c>
      <c r="I240" t="n">
        <v>0</v>
      </c>
      <c r="J240" t="n">
        <v>0</v>
      </c>
      <c r="K240" t="n">
        <v>0</v>
      </c>
      <c r="L240" t="n">
        <v>0</v>
      </c>
      <c r="M240" t="n">
        <v>0</v>
      </c>
      <c r="N240" t="n">
        <v>0</v>
      </c>
      <c r="O240" t="n">
        <v>0</v>
      </c>
      <c r="P240" t="n">
        <v>0</v>
      </c>
      <c r="Q240" t="n">
        <v>0</v>
      </c>
      <c r="R240" s="2" t="inlineStr"/>
    </row>
    <row r="241" ht="15" customHeight="1">
      <c r="A241" t="inlineStr">
        <is>
          <t>A 45112-2024</t>
        </is>
      </c>
      <c r="B241" s="1" t="n">
        <v>45575</v>
      </c>
      <c r="C241" s="1" t="n">
        <v>46106</v>
      </c>
      <c r="D241" t="inlineStr">
        <is>
          <t>GOTLANDS LÄN</t>
        </is>
      </c>
      <c r="E241" t="inlineStr">
        <is>
          <t>GOTLAND</t>
        </is>
      </c>
      <c r="G241" t="n">
        <v>5.1</v>
      </c>
      <c r="H241" t="n">
        <v>0</v>
      </c>
      <c r="I241" t="n">
        <v>0</v>
      </c>
      <c r="J241" t="n">
        <v>0</v>
      </c>
      <c r="K241" t="n">
        <v>0</v>
      </c>
      <c r="L241" t="n">
        <v>0</v>
      </c>
      <c r="M241" t="n">
        <v>0</v>
      </c>
      <c r="N241" t="n">
        <v>0</v>
      </c>
      <c r="O241" t="n">
        <v>0</v>
      </c>
      <c r="P241" t="n">
        <v>0</v>
      </c>
      <c r="Q241" t="n">
        <v>0</v>
      </c>
      <c r="R241" s="2" t="inlineStr"/>
    </row>
    <row r="242" ht="15" customHeight="1">
      <c r="A242" t="inlineStr">
        <is>
          <t>A 7026-2023</t>
        </is>
      </c>
      <c r="B242" s="1" t="n">
        <v>44968.30340277778</v>
      </c>
      <c r="C242" s="1" t="n">
        <v>46106</v>
      </c>
      <c r="D242" t="inlineStr">
        <is>
          <t>GOTLANDS LÄN</t>
        </is>
      </c>
      <c r="E242" t="inlineStr">
        <is>
          <t>GOTLAND</t>
        </is>
      </c>
      <c r="G242" t="n">
        <v>2.9</v>
      </c>
      <c r="H242" t="n">
        <v>0</v>
      </c>
      <c r="I242" t="n">
        <v>0</v>
      </c>
      <c r="J242" t="n">
        <v>0</v>
      </c>
      <c r="K242" t="n">
        <v>0</v>
      </c>
      <c r="L242" t="n">
        <v>0</v>
      </c>
      <c r="M242" t="n">
        <v>0</v>
      </c>
      <c r="N242" t="n">
        <v>0</v>
      </c>
      <c r="O242" t="n">
        <v>0</v>
      </c>
      <c r="P242" t="n">
        <v>0</v>
      </c>
      <c r="Q242" t="n">
        <v>0</v>
      </c>
      <c r="R242" s="2" t="inlineStr"/>
    </row>
    <row r="243" ht="15" customHeight="1">
      <c r="A243" t="inlineStr">
        <is>
          <t>A 56009-2024</t>
        </is>
      </c>
      <c r="B243" s="1" t="n">
        <v>45623.80864583333</v>
      </c>
      <c r="C243" s="1" t="n">
        <v>46106</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54073-2022</t>
        </is>
      </c>
      <c r="B244" s="1" t="n">
        <v>44881.50380787037</v>
      </c>
      <c r="C244" s="1" t="n">
        <v>46106</v>
      </c>
      <c r="D244" t="inlineStr">
        <is>
          <t>GOTLANDS LÄN</t>
        </is>
      </c>
      <c r="E244" t="inlineStr">
        <is>
          <t>GOTLAND</t>
        </is>
      </c>
      <c r="G244" t="n">
        <v>3.8</v>
      </c>
      <c r="H244" t="n">
        <v>0</v>
      </c>
      <c r="I244" t="n">
        <v>0</v>
      </c>
      <c r="J244" t="n">
        <v>0</v>
      </c>
      <c r="K244" t="n">
        <v>0</v>
      </c>
      <c r="L244" t="n">
        <v>0</v>
      </c>
      <c r="M244" t="n">
        <v>0</v>
      </c>
      <c r="N244" t="n">
        <v>0</v>
      </c>
      <c r="O244" t="n">
        <v>0</v>
      </c>
      <c r="P244" t="n">
        <v>0</v>
      </c>
      <c r="Q244" t="n">
        <v>0</v>
      </c>
      <c r="R244" s="2" t="inlineStr"/>
    </row>
    <row r="245" ht="15" customHeight="1">
      <c r="A245" t="inlineStr">
        <is>
          <t>A 49874-2024</t>
        </is>
      </c>
      <c r="B245" s="1" t="n">
        <v>45597.49274305555</v>
      </c>
      <c r="C245" s="1" t="n">
        <v>46106</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52892-2021</t>
        </is>
      </c>
      <c r="B246" s="1" t="n">
        <v>44467.49048611111</v>
      </c>
      <c r="C246" s="1" t="n">
        <v>46106</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1351-2025</t>
        </is>
      </c>
      <c r="B247" s="1" t="n">
        <v>45667.62246527777</v>
      </c>
      <c r="C247" s="1" t="n">
        <v>46106</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60675-2021</t>
        </is>
      </c>
      <c r="B248" s="1" t="n">
        <v>44496.64855324074</v>
      </c>
      <c r="C248" s="1" t="n">
        <v>46106</v>
      </c>
      <c r="D248" t="inlineStr">
        <is>
          <t>GOTLANDS LÄN</t>
        </is>
      </c>
      <c r="E248" t="inlineStr">
        <is>
          <t>GOTLAND</t>
        </is>
      </c>
      <c r="G248" t="n">
        <v>4.6</v>
      </c>
      <c r="H248" t="n">
        <v>0</v>
      </c>
      <c r="I248" t="n">
        <v>0</v>
      </c>
      <c r="J248" t="n">
        <v>0</v>
      </c>
      <c r="K248" t="n">
        <v>0</v>
      </c>
      <c r="L248" t="n">
        <v>0</v>
      </c>
      <c r="M248" t="n">
        <v>0</v>
      </c>
      <c r="N248" t="n">
        <v>0</v>
      </c>
      <c r="O248" t="n">
        <v>0</v>
      </c>
      <c r="P248" t="n">
        <v>0</v>
      </c>
      <c r="Q248" t="n">
        <v>0</v>
      </c>
      <c r="R248" s="2" t="inlineStr"/>
    </row>
    <row r="249" ht="15" customHeight="1">
      <c r="A249" t="inlineStr">
        <is>
          <t>A 4421-2024</t>
        </is>
      </c>
      <c r="B249" s="1" t="n">
        <v>45327.45173611111</v>
      </c>
      <c r="C249" s="1" t="n">
        <v>46106</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51782-2023</t>
        </is>
      </c>
      <c r="B250" s="1" t="n">
        <v>45222.80952546297</v>
      </c>
      <c r="C250" s="1" t="n">
        <v>46106</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5217-2023</t>
        </is>
      </c>
      <c r="B251" s="1" t="n">
        <v>44959.39582175926</v>
      </c>
      <c r="C251" s="1" t="n">
        <v>46106</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14638-2025</t>
        </is>
      </c>
      <c r="B252" s="1" t="n">
        <v>45742</v>
      </c>
      <c r="C252" s="1" t="n">
        <v>46106</v>
      </c>
      <c r="D252" t="inlineStr">
        <is>
          <t>GOTLANDS LÄN</t>
        </is>
      </c>
      <c r="E252" t="inlineStr">
        <is>
          <t>GOTLAND</t>
        </is>
      </c>
      <c r="G252" t="n">
        <v>13.4</v>
      </c>
      <c r="H252" t="n">
        <v>0</v>
      </c>
      <c r="I252" t="n">
        <v>0</v>
      </c>
      <c r="J252" t="n">
        <v>0</v>
      </c>
      <c r="K252" t="n">
        <v>0</v>
      </c>
      <c r="L252" t="n">
        <v>0</v>
      </c>
      <c r="M252" t="n">
        <v>0</v>
      </c>
      <c r="N252" t="n">
        <v>0</v>
      </c>
      <c r="O252" t="n">
        <v>0</v>
      </c>
      <c r="P252" t="n">
        <v>0</v>
      </c>
      <c r="Q252" t="n">
        <v>0</v>
      </c>
      <c r="R252" s="2" t="inlineStr"/>
    </row>
    <row r="253" ht="15" customHeight="1">
      <c r="A253" t="inlineStr">
        <is>
          <t>A 33876-2024</t>
        </is>
      </c>
      <c r="B253" s="1" t="n">
        <v>45521.87988425926</v>
      </c>
      <c r="C253" s="1" t="n">
        <v>46106</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20165-2022</t>
        </is>
      </c>
      <c r="B254" s="1" t="n">
        <v>44698.49854166667</v>
      </c>
      <c r="C254" s="1" t="n">
        <v>46106</v>
      </c>
      <c r="D254" t="inlineStr">
        <is>
          <t>GOTLANDS LÄN</t>
        </is>
      </c>
      <c r="E254" t="inlineStr">
        <is>
          <t>GOTLAND</t>
        </is>
      </c>
      <c r="G254" t="n">
        <v>4.1</v>
      </c>
      <c r="H254" t="n">
        <v>0</v>
      </c>
      <c r="I254" t="n">
        <v>0</v>
      </c>
      <c r="J254" t="n">
        <v>0</v>
      </c>
      <c r="K254" t="n">
        <v>0</v>
      </c>
      <c r="L254" t="n">
        <v>0</v>
      </c>
      <c r="M254" t="n">
        <v>0</v>
      </c>
      <c r="N254" t="n">
        <v>0</v>
      </c>
      <c r="O254" t="n">
        <v>0</v>
      </c>
      <c r="P254" t="n">
        <v>0</v>
      </c>
      <c r="Q254" t="n">
        <v>0</v>
      </c>
      <c r="R254" s="2" t="inlineStr"/>
    </row>
    <row r="255" ht="15" customHeight="1">
      <c r="A255" t="inlineStr">
        <is>
          <t>A 3964-2024</t>
        </is>
      </c>
      <c r="B255" s="1" t="n">
        <v>45322</v>
      </c>
      <c r="C255" s="1" t="n">
        <v>46106</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31264-2021</t>
        </is>
      </c>
      <c r="B256" s="1" t="n">
        <v>44368</v>
      </c>
      <c r="C256" s="1" t="n">
        <v>46106</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61962-2024</t>
        </is>
      </c>
      <c r="B257" s="1" t="n">
        <v>45653.54340277778</v>
      </c>
      <c r="C257" s="1" t="n">
        <v>46106</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46106</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46106</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27930-2021</t>
        </is>
      </c>
      <c r="B260" s="1" t="n">
        <v>44354</v>
      </c>
      <c r="C260" s="1" t="n">
        <v>46106</v>
      </c>
      <c r="D260" t="inlineStr">
        <is>
          <t>GOTLANDS LÄN</t>
        </is>
      </c>
      <c r="E260" t="inlineStr">
        <is>
          <t>GOTLAND</t>
        </is>
      </c>
      <c r="G260" t="n">
        <v>2.5</v>
      </c>
      <c r="H260" t="n">
        <v>0</v>
      </c>
      <c r="I260" t="n">
        <v>0</v>
      </c>
      <c r="J260" t="n">
        <v>0</v>
      </c>
      <c r="K260" t="n">
        <v>0</v>
      </c>
      <c r="L260" t="n">
        <v>0</v>
      </c>
      <c r="M260" t="n">
        <v>0</v>
      </c>
      <c r="N260" t="n">
        <v>0</v>
      </c>
      <c r="O260" t="n">
        <v>0</v>
      </c>
      <c r="P260" t="n">
        <v>0</v>
      </c>
      <c r="Q260" t="n">
        <v>0</v>
      </c>
      <c r="R260" s="2" t="inlineStr"/>
    </row>
    <row r="261" ht="15" customHeight="1">
      <c r="A261" t="inlineStr">
        <is>
          <t>A 59469-2024</t>
        </is>
      </c>
      <c r="B261" s="1" t="n">
        <v>45638</v>
      </c>
      <c r="C261" s="1" t="n">
        <v>46106</v>
      </c>
      <c r="D261" t="inlineStr">
        <is>
          <t>GOTLANDS LÄN</t>
        </is>
      </c>
      <c r="E261" t="inlineStr">
        <is>
          <t>GOTLAND</t>
        </is>
      </c>
      <c r="G261" t="n">
        <v>0.4</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46106</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6696-2023</t>
        </is>
      </c>
      <c r="B263" s="1" t="n">
        <v>44966.66425925926</v>
      </c>
      <c r="C263" s="1" t="n">
        <v>46106</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28480-2023</t>
        </is>
      </c>
      <c r="B264" s="1" t="n">
        <v>45103</v>
      </c>
      <c r="C264" s="1" t="n">
        <v>46106</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28485-2023</t>
        </is>
      </c>
      <c r="B265" s="1" t="n">
        <v>45103.43731481482</v>
      </c>
      <c r="C265" s="1" t="n">
        <v>46106</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38165-2023</t>
        </is>
      </c>
      <c r="B266" s="1" t="n">
        <v>45161</v>
      </c>
      <c r="C266" s="1" t="n">
        <v>46106</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48503-2023</t>
        </is>
      </c>
      <c r="B267" s="1" t="n">
        <v>45207</v>
      </c>
      <c r="C267" s="1" t="n">
        <v>46106</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49693-2023</t>
        </is>
      </c>
      <c r="B268" s="1" t="n">
        <v>45212.38138888889</v>
      </c>
      <c r="C268" s="1" t="n">
        <v>46106</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49697-2023</t>
        </is>
      </c>
      <c r="B269" s="1" t="n">
        <v>45212.38909722222</v>
      </c>
      <c r="C269" s="1" t="n">
        <v>46106</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34312-2024</t>
        </is>
      </c>
      <c r="B270" s="1" t="n">
        <v>45524.69703703704</v>
      </c>
      <c r="C270" s="1" t="n">
        <v>46106</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24825-2024</t>
        </is>
      </c>
      <c r="B271" s="1" t="n">
        <v>45461</v>
      </c>
      <c r="C271" s="1" t="n">
        <v>46106</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22031-2024</t>
        </is>
      </c>
      <c r="B272" s="1" t="n">
        <v>45443.60075231481</v>
      </c>
      <c r="C272" s="1" t="n">
        <v>46106</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17688-2024</t>
        </is>
      </c>
      <c r="B273" s="1" t="n">
        <v>45418.43575231481</v>
      </c>
      <c r="C273" s="1" t="n">
        <v>46106</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27355-2025</t>
        </is>
      </c>
      <c r="B274" s="1" t="n">
        <v>45812</v>
      </c>
      <c r="C274" s="1" t="n">
        <v>46106</v>
      </c>
      <c r="D274" t="inlineStr">
        <is>
          <t>GOTLANDS LÄN</t>
        </is>
      </c>
      <c r="E274" t="inlineStr">
        <is>
          <t>GOTLAND</t>
        </is>
      </c>
      <c r="G274" t="n">
        <v>1.1</v>
      </c>
      <c r="H274" t="n">
        <v>0</v>
      </c>
      <c r="I274" t="n">
        <v>0</v>
      </c>
      <c r="J274" t="n">
        <v>0</v>
      </c>
      <c r="K274" t="n">
        <v>0</v>
      </c>
      <c r="L274" t="n">
        <v>0</v>
      </c>
      <c r="M274" t="n">
        <v>0</v>
      </c>
      <c r="N274" t="n">
        <v>0</v>
      </c>
      <c r="O274" t="n">
        <v>0</v>
      </c>
      <c r="P274" t="n">
        <v>0</v>
      </c>
      <c r="Q274" t="n">
        <v>0</v>
      </c>
      <c r="R274" s="2" t="inlineStr"/>
    </row>
    <row r="275" ht="15" customHeight="1">
      <c r="A275" t="inlineStr">
        <is>
          <t>A 6960-2026</t>
        </is>
      </c>
      <c r="B275" s="1" t="n">
        <v>46057.58105324074</v>
      </c>
      <c r="C275" s="1" t="n">
        <v>46106</v>
      </c>
      <c r="D275" t="inlineStr">
        <is>
          <t>GOTLANDS LÄN</t>
        </is>
      </c>
      <c r="E275" t="inlineStr">
        <is>
          <t>GOTLAND</t>
        </is>
      </c>
      <c r="F275" t="inlineStr">
        <is>
          <t>Kyrkan</t>
        </is>
      </c>
      <c r="G275" t="n">
        <v>2.4</v>
      </c>
      <c r="H275" t="n">
        <v>0</v>
      </c>
      <c r="I275" t="n">
        <v>0</v>
      </c>
      <c r="J275" t="n">
        <v>0</v>
      </c>
      <c r="K275" t="n">
        <v>0</v>
      </c>
      <c r="L275" t="n">
        <v>0</v>
      </c>
      <c r="M275" t="n">
        <v>0</v>
      </c>
      <c r="N275" t="n">
        <v>0</v>
      </c>
      <c r="O275" t="n">
        <v>0</v>
      </c>
      <c r="P275" t="n">
        <v>0</v>
      </c>
      <c r="Q275" t="n">
        <v>0</v>
      </c>
      <c r="R275" s="2" t="inlineStr"/>
    </row>
    <row r="276" ht="15" customHeight="1">
      <c r="A276" t="inlineStr">
        <is>
          <t>A 27371-2025</t>
        </is>
      </c>
      <c r="B276" s="1" t="n">
        <v>45812</v>
      </c>
      <c r="C276" s="1" t="n">
        <v>46106</v>
      </c>
      <c r="D276" t="inlineStr">
        <is>
          <t>GOTLANDS LÄN</t>
        </is>
      </c>
      <c r="E276" t="inlineStr">
        <is>
          <t>GOTLAND</t>
        </is>
      </c>
      <c r="G276" t="n">
        <v>8</v>
      </c>
      <c r="H276" t="n">
        <v>0</v>
      </c>
      <c r="I276" t="n">
        <v>0</v>
      </c>
      <c r="J276" t="n">
        <v>0</v>
      </c>
      <c r="K276" t="n">
        <v>0</v>
      </c>
      <c r="L276" t="n">
        <v>0</v>
      </c>
      <c r="M276" t="n">
        <v>0</v>
      </c>
      <c r="N276" t="n">
        <v>0</v>
      </c>
      <c r="O276" t="n">
        <v>0</v>
      </c>
      <c r="P276" t="n">
        <v>0</v>
      </c>
      <c r="Q276" t="n">
        <v>0</v>
      </c>
      <c r="R276" s="2" t="inlineStr"/>
    </row>
    <row r="277" ht="15" customHeight="1">
      <c r="A277" t="inlineStr">
        <is>
          <t>A 20356-2022</t>
        </is>
      </c>
      <c r="B277" s="1" t="n">
        <v>44699</v>
      </c>
      <c r="C277" s="1" t="n">
        <v>46106</v>
      </c>
      <c r="D277" t="inlineStr">
        <is>
          <t>GOTLANDS LÄN</t>
        </is>
      </c>
      <c r="E277" t="inlineStr">
        <is>
          <t>GOTLAND</t>
        </is>
      </c>
      <c r="F277" t="inlineStr">
        <is>
          <t>Övriga Aktiebolag</t>
        </is>
      </c>
      <c r="G277" t="n">
        <v>4.4</v>
      </c>
      <c r="H277" t="n">
        <v>0</v>
      </c>
      <c r="I277" t="n">
        <v>0</v>
      </c>
      <c r="J277" t="n">
        <v>0</v>
      </c>
      <c r="K277" t="n">
        <v>0</v>
      </c>
      <c r="L277" t="n">
        <v>0</v>
      </c>
      <c r="M277" t="n">
        <v>0</v>
      </c>
      <c r="N277" t="n">
        <v>0</v>
      </c>
      <c r="O277" t="n">
        <v>0</v>
      </c>
      <c r="P277" t="n">
        <v>0</v>
      </c>
      <c r="Q277" t="n">
        <v>0</v>
      </c>
      <c r="R277" s="2" t="inlineStr"/>
    </row>
    <row r="278" ht="15" customHeight="1">
      <c r="A278" t="inlineStr">
        <is>
          <t>A 27694-2024</t>
        </is>
      </c>
      <c r="B278" s="1" t="n">
        <v>45475</v>
      </c>
      <c r="C278" s="1" t="n">
        <v>46106</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39764-2022</t>
        </is>
      </c>
      <c r="B279" s="1" t="n">
        <v>44819</v>
      </c>
      <c r="C279" s="1" t="n">
        <v>46106</v>
      </c>
      <c r="D279" t="inlineStr">
        <is>
          <t>GOTLANDS LÄN</t>
        </is>
      </c>
      <c r="E279" t="inlineStr">
        <is>
          <t>GOTLAND</t>
        </is>
      </c>
      <c r="F279" t="inlineStr">
        <is>
          <t>Kyrkan</t>
        </is>
      </c>
      <c r="G279" t="n">
        <v>3.7</v>
      </c>
      <c r="H279" t="n">
        <v>0</v>
      </c>
      <c r="I279" t="n">
        <v>0</v>
      </c>
      <c r="J279" t="n">
        <v>0</v>
      </c>
      <c r="K279" t="n">
        <v>0</v>
      </c>
      <c r="L279" t="n">
        <v>0</v>
      </c>
      <c r="M279" t="n">
        <v>0</v>
      </c>
      <c r="N279" t="n">
        <v>0</v>
      </c>
      <c r="O279" t="n">
        <v>0</v>
      </c>
      <c r="P279" t="n">
        <v>0</v>
      </c>
      <c r="Q279" t="n">
        <v>0</v>
      </c>
      <c r="R279" s="2" t="inlineStr"/>
    </row>
    <row r="280" ht="15" customHeight="1">
      <c r="A280" t="inlineStr">
        <is>
          <t>A 6099-2024</t>
        </is>
      </c>
      <c r="B280" s="1" t="n">
        <v>45337</v>
      </c>
      <c r="C280" s="1" t="n">
        <v>46106</v>
      </c>
      <c r="D280" t="inlineStr">
        <is>
          <t>GOTLANDS LÄN</t>
        </is>
      </c>
      <c r="E280" t="inlineStr">
        <is>
          <t>GOTLAND</t>
        </is>
      </c>
      <c r="G280" t="n">
        <v>12.6</v>
      </c>
      <c r="H280" t="n">
        <v>0</v>
      </c>
      <c r="I280" t="n">
        <v>0</v>
      </c>
      <c r="J280" t="n">
        <v>0</v>
      </c>
      <c r="K280" t="n">
        <v>0</v>
      </c>
      <c r="L280" t="n">
        <v>0</v>
      </c>
      <c r="M280" t="n">
        <v>0</v>
      </c>
      <c r="N280" t="n">
        <v>0</v>
      </c>
      <c r="O280" t="n">
        <v>0</v>
      </c>
      <c r="P280" t="n">
        <v>0</v>
      </c>
      <c r="Q280" t="n">
        <v>0</v>
      </c>
      <c r="R280" s="2" t="inlineStr"/>
    </row>
    <row r="281" ht="15" customHeight="1">
      <c r="A281" t="inlineStr">
        <is>
          <t>A 8260-2023</t>
        </is>
      </c>
      <c r="B281" s="1" t="n">
        <v>44974.61608796296</v>
      </c>
      <c r="C281" s="1" t="n">
        <v>46106</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46106</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7850-2025</t>
        </is>
      </c>
      <c r="B283" s="1" t="n">
        <v>45706</v>
      </c>
      <c r="C283" s="1" t="n">
        <v>46106</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22287-2022</t>
        </is>
      </c>
      <c r="B284" s="1" t="n">
        <v>44712</v>
      </c>
      <c r="C284" s="1" t="n">
        <v>46106</v>
      </c>
      <c r="D284" t="inlineStr">
        <is>
          <t>GOTLANDS LÄN</t>
        </is>
      </c>
      <c r="E284" t="inlineStr">
        <is>
          <t>GOTLAND</t>
        </is>
      </c>
      <c r="G284" t="n">
        <v>6.1</v>
      </c>
      <c r="H284" t="n">
        <v>0</v>
      </c>
      <c r="I284" t="n">
        <v>0</v>
      </c>
      <c r="J284" t="n">
        <v>0</v>
      </c>
      <c r="K284" t="n">
        <v>0</v>
      </c>
      <c r="L284" t="n">
        <v>0</v>
      </c>
      <c r="M284" t="n">
        <v>0</v>
      </c>
      <c r="N284" t="n">
        <v>0</v>
      </c>
      <c r="O284" t="n">
        <v>0</v>
      </c>
      <c r="P284" t="n">
        <v>0</v>
      </c>
      <c r="Q284" t="n">
        <v>0</v>
      </c>
      <c r="R284" s="2" t="inlineStr"/>
    </row>
    <row r="285" ht="15" customHeight="1">
      <c r="A285" t="inlineStr">
        <is>
          <t>A 35141-2025</t>
        </is>
      </c>
      <c r="B285" s="1" t="n">
        <v>45852.65206018519</v>
      </c>
      <c r="C285" s="1" t="n">
        <v>46106</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6739-2025</t>
        </is>
      </c>
      <c r="B286" s="1" t="n">
        <v>45700</v>
      </c>
      <c r="C286" s="1" t="n">
        <v>46106</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46106</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8444-2025</t>
        </is>
      </c>
      <c r="B288" s="1" t="n">
        <v>45709</v>
      </c>
      <c r="C288" s="1" t="n">
        <v>46106</v>
      </c>
      <c r="D288" t="inlineStr">
        <is>
          <t>GOTLANDS LÄN</t>
        </is>
      </c>
      <c r="E288" t="inlineStr">
        <is>
          <t>GOTLAND</t>
        </is>
      </c>
      <c r="G288" t="n">
        <v>5.2</v>
      </c>
      <c r="H288" t="n">
        <v>0</v>
      </c>
      <c r="I288" t="n">
        <v>0</v>
      </c>
      <c r="J288" t="n">
        <v>0</v>
      </c>
      <c r="K288" t="n">
        <v>0</v>
      </c>
      <c r="L288" t="n">
        <v>0</v>
      </c>
      <c r="M288" t="n">
        <v>0</v>
      </c>
      <c r="N288" t="n">
        <v>0</v>
      </c>
      <c r="O288" t="n">
        <v>0</v>
      </c>
      <c r="P288" t="n">
        <v>0</v>
      </c>
      <c r="Q288" t="n">
        <v>0</v>
      </c>
      <c r="R288" s="2" t="inlineStr"/>
    </row>
    <row r="289" ht="15" customHeight="1">
      <c r="A289" t="inlineStr">
        <is>
          <t>A 19905-2025</t>
        </is>
      </c>
      <c r="B289" s="1" t="n">
        <v>45771</v>
      </c>
      <c r="C289" s="1" t="n">
        <v>46106</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46106</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46106</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39814-2025</t>
        </is>
      </c>
      <c r="B292" s="1" t="n">
        <v>45891.52694444444</v>
      </c>
      <c r="C292" s="1" t="n">
        <v>46106</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39819-2025</t>
        </is>
      </c>
      <c r="B293" s="1" t="n">
        <v>45891.53418981482</v>
      </c>
      <c r="C293" s="1" t="n">
        <v>46106</v>
      </c>
      <c r="D293" t="inlineStr">
        <is>
          <t>GOTLANDS LÄN</t>
        </is>
      </c>
      <c r="E293" t="inlineStr">
        <is>
          <t>GOTLAND</t>
        </is>
      </c>
      <c r="G293" t="n">
        <v>3.1</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46106</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29196-2025</t>
        </is>
      </c>
      <c r="B295" s="1" t="n">
        <v>45822</v>
      </c>
      <c r="C295" s="1" t="n">
        <v>46106</v>
      </c>
      <c r="D295" t="inlineStr">
        <is>
          <t>GOTLANDS LÄN</t>
        </is>
      </c>
      <c r="E295" t="inlineStr">
        <is>
          <t>GOTLAND</t>
        </is>
      </c>
      <c r="G295" t="n">
        <v>0.5</v>
      </c>
      <c r="H295" t="n">
        <v>0</v>
      </c>
      <c r="I295" t="n">
        <v>0</v>
      </c>
      <c r="J295" t="n">
        <v>0</v>
      </c>
      <c r="K295" t="n">
        <v>0</v>
      </c>
      <c r="L295" t="n">
        <v>0</v>
      </c>
      <c r="M295" t="n">
        <v>0</v>
      </c>
      <c r="N295" t="n">
        <v>0</v>
      </c>
      <c r="O295" t="n">
        <v>0</v>
      </c>
      <c r="P295" t="n">
        <v>0</v>
      </c>
      <c r="Q295" t="n">
        <v>0</v>
      </c>
      <c r="R295" s="2" t="inlineStr"/>
    </row>
    <row r="296" ht="15" customHeight="1">
      <c r="A296" t="inlineStr">
        <is>
          <t>A 39752-2025</t>
        </is>
      </c>
      <c r="B296" s="1" t="n">
        <v>45891</v>
      </c>
      <c r="C296" s="1" t="n">
        <v>46106</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46106</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46106</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46106</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20855-2023</t>
        </is>
      </c>
      <c r="B300" s="1" t="n">
        <v>45058.82172453704</v>
      </c>
      <c r="C300" s="1" t="n">
        <v>46106</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40103-2025</t>
        </is>
      </c>
      <c r="B301" s="1" t="n">
        <v>45894.4880324074</v>
      </c>
      <c r="C301" s="1" t="n">
        <v>46106</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30061-2025</t>
        </is>
      </c>
      <c r="B302" s="1" t="n">
        <v>45826.61488425926</v>
      </c>
      <c r="C302" s="1" t="n">
        <v>46106</v>
      </c>
      <c r="D302" t="inlineStr">
        <is>
          <t>GOTLANDS LÄN</t>
        </is>
      </c>
      <c r="E302" t="inlineStr">
        <is>
          <t>GOTLAND</t>
        </is>
      </c>
      <c r="G302" t="n">
        <v>4.1</v>
      </c>
      <c r="H302" t="n">
        <v>0</v>
      </c>
      <c r="I302" t="n">
        <v>0</v>
      </c>
      <c r="J302" t="n">
        <v>0</v>
      </c>
      <c r="K302" t="n">
        <v>0</v>
      </c>
      <c r="L302" t="n">
        <v>0</v>
      </c>
      <c r="M302" t="n">
        <v>0</v>
      </c>
      <c r="N302" t="n">
        <v>0</v>
      </c>
      <c r="O302" t="n">
        <v>0</v>
      </c>
      <c r="P302" t="n">
        <v>0</v>
      </c>
      <c r="Q302" t="n">
        <v>0</v>
      </c>
      <c r="R302" s="2" t="inlineStr"/>
    </row>
    <row r="303" ht="15" customHeight="1">
      <c r="A303" t="inlineStr">
        <is>
          <t>A 40499-2025</t>
        </is>
      </c>
      <c r="B303" s="1" t="n">
        <v>45896.32517361111</v>
      </c>
      <c r="C303" s="1" t="n">
        <v>46106</v>
      </c>
      <c r="D303" t="inlineStr">
        <is>
          <t>GOTLANDS LÄN</t>
        </is>
      </c>
      <c r="E303" t="inlineStr">
        <is>
          <t>GOTLAND</t>
        </is>
      </c>
      <c r="G303" t="n">
        <v>2.6</v>
      </c>
      <c r="H303" t="n">
        <v>0</v>
      </c>
      <c r="I303" t="n">
        <v>0</v>
      </c>
      <c r="J303" t="n">
        <v>0</v>
      </c>
      <c r="K303" t="n">
        <v>0</v>
      </c>
      <c r="L303" t="n">
        <v>0</v>
      </c>
      <c r="M303" t="n">
        <v>0</v>
      </c>
      <c r="N303" t="n">
        <v>0</v>
      </c>
      <c r="O303" t="n">
        <v>0</v>
      </c>
      <c r="P303" t="n">
        <v>0</v>
      </c>
      <c r="Q303" t="n">
        <v>0</v>
      </c>
      <c r="R303" s="2" t="inlineStr"/>
    </row>
    <row r="304" ht="15" customHeight="1">
      <c r="A304" t="inlineStr">
        <is>
          <t>A 60709-2023</t>
        </is>
      </c>
      <c r="B304" s="1" t="n">
        <v>45260</v>
      </c>
      <c r="C304" s="1" t="n">
        <v>46106</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1000-2024</t>
        </is>
      </c>
      <c r="B305" s="1" t="n">
        <v>45301.63371527778</v>
      </c>
      <c r="C305" s="1" t="n">
        <v>46106</v>
      </c>
      <c r="D305" t="inlineStr">
        <is>
          <t>GOTLANDS LÄN</t>
        </is>
      </c>
      <c r="E305" t="inlineStr">
        <is>
          <t>GOTLAND</t>
        </is>
      </c>
      <c r="G305" t="n">
        <v>1</v>
      </c>
      <c r="H305" t="n">
        <v>0</v>
      </c>
      <c r="I305" t="n">
        <v>0</v>
      </c>
      <c r="J305" t="n">
        <v>0</v>
      </c>
      <c r="K305" t="n">
        <v>0</v>
      </c>
      <c r="L305" t="n">
        <v>0</v>
      </c>
      <c r="M305" t="n">
        <v>0</v>
      </c>
      <c r="N305" t="n">
        <v>0</v>
      </c>
      <c r="O305" t="n">
        <v>0</v>
      </c>
      <c r="P305" t="n">
        <v>0</v>
      </c>
      <c r="Q305" t="n">
        <v>0</v>
      </c>
      <c r="R305" s="2" t="inlineStr"/>
    </row>
    <row r="306" ht="15" customHeight="1">
      <c r="A306" t="inlineStr">
        <is>
          <t>A 1010-2024</t>
        </is>
      </c>
      <c r="B306" s="1" t="n">
        <v>45301</v>
      </c>
      <c r="C306" s="1" t="n">
        <v>46106</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65249-2023</t>
        </is>
      </c>
      <c r="B307" s="1" t="n">
        <v>45290</v>
      </c>
      <c r="C307" s="1" t="n">
        <v>46106</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41551-2025</t>
        </is>
      </c>
      <c r="B308" s="1" t="n">
        <v>45901.58854166666</v>
      </c>
      <c r="C308" s="1" t="n">
        <v>46106</v>
      </c>
      <c r="D308" t="inlineStr">
        <is>
          <t>GOTLANDS LÄN</t>
        </is>
      </c>
      <c r="E308" t="inlineStr">
        <is>
          <t>GOTLAND</t>
        </is>
      </c>
      <c r="G308" t="n">
        <v>5.6</v>
      </c>
      <c r="H308" t="n">
        <v>0</v>
      </c>
      <c r="I308" t="n">
        <v>0</v>
      </c>
      <c r="J308" t="n">
        <v>0</v>
      </c>
      <c r="K308" t="n">
        <v>0</v>
      </c>
      <c r="L308" t="n">
        <v>0</v>
      </c>
      <c r="M308" t="n">
        <v>0</v>
      </c>
      <c r="N308" t="n">
        <v>0</v>
      </c>
      <c r="O308" t="n">
        <v>0</v>
      </c>
      <c r="P308" t="n">
        <v>0</v>
      </c>
      <c r="Q308" t="n">
        <v>0</v>
      </c>
      <c r="R308" s="2" t="inlineStr"/>
    </row>
    <row r="309" ht="15" customHeight="1">
      <c r="A309" t="inlineStr">
        <is>
          <t>A 30956-2024</t>
        </is>
      </c>
      <c r="B309" s="1" t="n">
        <v>45499.42527777778</v>
      </c>
      <c r="C309" s="1" t="n">
        <v>46106</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46106</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12596-2023</t>
        </is>
      </c>
      <c r="B311" s="1" t="n">
        <v>45000.43310185185</v>
      </c>
      <c r="C311" s="1" t="n">
        <v>46106</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8045-2022</t>
        </is>
      </c>
      <c r="B312" s="1" t="n">
        <v>44609</v>
      </c>
      <c r="C312" s="1" t="n">
        <v>46106</v>
      </c>
      <c r="D312" t="inlineStr">
        <is>
          <t>GOTLANDS LÄN</t>
        </is>
      </c>
      <c r="E312" t="inlineStr">
        <is>
          <t>GOTLAND</t>
        </is>
      </c>
      <c r="G312" t="n">
        <v>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46106</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41435-2025</t>
        </is>
      </c>
      <c r="B314" s="1" t="n">
        <v>45901.39974537037</v>
      </c>
      <c r="C314" s="1" t="n">
        <v>46106</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999-2024</t>
        </is>
      </c>
      <c r="B315" s="1" t="n">
        <v>45301</v>
      </c>
      <c r="C315" s="1" t="n">
        <v>46106</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65901-2021</t>
        </is>
      </c>
      <c r="B316" s="1" t="n">
        <v>44516</v>
      </c>
      <c r="C316" s="1" t="n">
        <v>46106</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47762-2023</t>
        </is>
      </c>
      <c r="B317" s="1" t="n">
        <v>45203.86256944444</v>
      </c>
      <c r="C317" s="1" t="n">
        <v>46106</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46052.36697916667</v>
      </c>
      <c r="C318" s="1" t="n">
        <v>46106</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40294-2022</t>
        </is>
      </c>
      <c r="B319" s="1" t="n">
        <v>44821</v>
      </c>
      <c r="C319" s="1" t="n">
        <v>46106</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16109-2025</t>
        </is>
      </c>
      <c r="B320" s="1" t="n">
        <v>45750</v>
      </c>
      <c r="C320" s="1" t="n">
        <v>46106</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27602-2023</t>
        </is>
      </c>
      <c r="B321" s="1" t="n">
        <v>45097</v>
      </c>
      <c r="C321" s="1" t="n">
        <v>46106</v>
      </c>
      <c r="D321" t="inlineStr">
        <is>
          <t>GOTLANDS LÄN</t>
        </is>
      </c>
      <c r="E321" t="inlineStr">
        <is>
          <t>GOTLAND</t>
        </is>
      </c>
      <c r="G321" t="n">
        <v>2.7</v>
      </c>
      <c r="H321" t="n">
        <v>0</v>
      </c>
      <c r="I321" t="n">
        <v>0</v>
      </c>
      <c r="J321" t="n">
        <v>0</v>
      </c>
      <c r="K321" t="n">
        <v>0</v>
      </c>
      <c r="L321" t="n">
        <v>0</v>
      </c>
      <c r="M321" t="n">
        <v>0</v>
      </c>
      <c r="N321" t="n">
        <v>0</v>
      </c>
      <c r="O321" t="n">
        <v>0</v>
      </c>
      <c r="P321" t="n">
        <v>0</v>
      </c>
      <c r="Q321" t="n">
        <v>0</v>
      </c>
      <c r="R321" s="2" t="inlineStr"/>
    </row>
    <row r="322" ht="15" customHeight="1">
      <c r="A322" t="inlineStr">
        <is>
          <t>A 32467-2025</t>
        </is>
      </c>
      <c r="B322" s="1" t="n">
        <v>45838.42111111111</v>
      </c>
      <c r="C322" s="1" t="n">
        <v>46106</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7627-2026</t>
        </is>
      </c>
      <c r="B323" s="1" t="n">
        <v>46062.35465277778</v>
      </c>
      <c r="C323" s="1" t="n">
        <v>46106</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58780-2024</t>
        </is>
      </c>
      <c r="B324" s="1" t="n">
        <v>45635.84113425926</v>
      </c>
      <c r="C324" s="1" t="n">
        <v>46106</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12322-2025</t>
        </is>
      </c>
      <c r="B325" s="1" t="n">
        <v>45730</v>
      </c>
      <c r="C325" s="1" t="n">
        <v>46106</v>
      </c>
      <c r="D325" t="inlineStr">
        <is>
          <t>GOTLANDS LÄN</t>
        </is>
      </c>
      <c r="E325" t="inlineStr">
        <is>
          <t>GOTLAND</t>
        </is>
      </c>
      <c r="G325" t="n">
        <v>1.4</v>
      </c>
      <c r="H325" t="n">
        <v>0</v>
      </c>
      <c r="I325" t="n">
        <v>0</v>
      </c>
      <c r="J325" t="n">
        <v>0</v>
      </c>
      <c r="K325" t="n">
        <v>0</v>
      </c>
      <c r="L325" t="n">
        <v>0</v>
      </c>
      <c r="M325" t="n">
        <v>0</v>
      </c>
      <c r="N325" t="n">
        <v>0</v>
      </c>
      <c r="O325" t="n">
        <v>0</v>
      </c>
      <c r="P325" t="n">
        <v>0</v>
      </c>
      <c r="Q325" t="n">
        <v>0</v>
      </c>
      <c r="R325" s="2" t="inlineStr"/>
    </row>
    <row r="326" ht="15" customHeight="1">
      <c r="A326" t="inlineStr">
        <is>
          <t>A 42608-2025</t>
        </is>
      </c>
      <c r="B326" s="1" t="n">
        <v>45905</v>
      </c>
      <c r="C326" s="1" t="n">
        <v>46106</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63105-2025</t>
        </is>
      </c>
      <c r="B327" s="1" t="n">
        <v>46009</v>
      </c>
      <c r="C327" s="1" t="n">
        <v>46106</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14840-2026</t>
        </is>
      </c>
      <c r="B328" s="1" t="n">
        <v>46104.39498842593</v>
      </c>
      <c r="C328" s="1" t="n">
        <v>46106</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32379-2025</t>
        </is>
      </c>
      <c r="B329" s="1" t="n">
        <v>45837</v>
      </c>
      <c r="C329" s="1" t="n">
        <v>46106</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16373-2025</t>
        </is>
      </c>
      <c r="B330" s="1" t="n">
        <v>45751</v>
      </c>
      <c r="C330" s="1" t="n">
        <v>46106</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24192-2023</t>
        </is>
      </c>
      <c r="B331" s="1" t="n">
        <v>45079</v>
      </c>
      <c r="C331" s="1" t="n">
        <v>46106</v>
      </c>
      <c r="D331" t="inlineStr">
        <is>
          <t>GOTLANDS LÄN</t>
        </is>
      </c>
      <c r="E331" t="inlineStr">
        <is>
          <t>GOTLAND</t>
        </is>
      </c>
      <c r="G331" t="n">
        <v>2.1</v>
      </c>
      <c r="H331" t="n">
        <v>0</v>
      </c>
      <c r="I331" t="n">
        <v>0</v>
      </c>
      <c r="J331" t="n">
        <v>0</v>
      </c>
      <c r="K331" t="n">
        <v>0</v>
      </c>
      <c r="L331" t="n">
        <v>0</v>
      </c>
      <c r="M331" t="n">
        <v>0</v>
      </c>
      <c r="N331" t="n">
        <v>0</v>
      </c>
      <c r="O331" t="n">
        <v>0</v>
      </c>
      <c r="P331" t="n">
        <v>0</v>
      </c>
      <c r="Q331" t="n">
        <v>0</v>
      </c>
      <c r="R331" s="2" t="inlineStr"/>
    </row>
    <row r="332" ht="15" customHeight="1">
      <c r="A332" t="inlineStr">
        <is>
          <t>A 30282-2022</t>
        </is>
      </c>
      <c r="B332" s="1" t="n">
        <v>44760</v>
      </c>
      <c r="C332" s="1" t="n">
        <v>46106</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7835-2024</t>
        </is>
      </c>
      <c r="B333" s="1" t="n">
        <v>45349.83138888889</v>
      </c>
      <c r="C333" s="1" t="n">
        <v>46106</v>
      </c>
      <c r="D333" t="inlineStr">
        <is>
          <t>GOTLANDS LÄN</t>
        </is>
      </c>
      <c r="E333" t="inlineStr">
        <is>
          <t>GOTLAND</t>
        </is>
      </c>
      <c r="G333" t="n">
        <v>3.8</v>
      </c>
      <c r="H333" t="n">
        <v>0</v>
      </c>
      <c r="I333" t="n">
        <v>0</v>
      </c>
      <c r="J333" t="n">
        <v>0</v>
      </c>
      <c r="K333" t="n">
        <v>0</v>
      </c>
      <c r="L333" t="n">
        <v>0</v>
      </c>
      <c r="M333" t="n">
        <v>0</v>
      </c>
      <c r="N333" t="n">
        <v>0</v>
      </c>
      <c r="O333" t="n">
        <v>0</v>
      </c>
      <c r="P333" t="n">
        <v>0</v>
      </c>
      <c r="Q333" t="n">
        <v>0</v>
      </c>
      <c r="R333" s="2" t="inlineStr"/>
    </row>
    <row r="334" ht="15" customHeight="1">
      <c r="A334" t="inlineStr">
        <is>
          <t>A 10650-2022</t>
        </is>
      </c>
      <c r="B334" s="1" t="n">
        <v>44624.57945601852</v>
      </c>
      <c r="C334" s="1" t="n">
        <v>46106</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33007-2025</t>
        </is>
      </c>
      <c r="B335" s="1" t="n">
        <v>45840</v>
      </c>
      <c r="C335" s="1" t="n">
        <v>46106</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7625-2026</t>
        </is>
      </c>
      <c r="B336" s="1" t="n">
        <v>46062.35135416667</v>
      </c>
      <c r="C336" s="1" t="n">
        <v>46106</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26810-2021</t>
        </is>
      </c>
      <c r="B337" s="1" t="n">
        <v>44349.55087962963</v>
      </c>
      <c r="C337" s="1" t="n">
        <v>46106</v>
      </c>
      <c r="D337" t="inlineStr">
        <is>
          <t>GOTLANDS LÄN</t>
        </is>
      </c>
      <c r="E337" t="inlineStr">
        <is>
          <t>GOTLAND</t>
        </is>
      </c>
      <c r="G337" t="n">
        <v>3.5</v>
      </c>
      <c r="H337" t="n">
        <v>0</v>
      </c>
      <c r="I337" t="n">
        <v>0</v>
      </c>
      <c r="J337" t="n">
        <v>0</v>
      </c>
      <c r="K337" t="n">
        <v>0</v>
      </c>
      <c r="L337" t="n">
        <v>0</v>
      </c>
      <c r="M337" t="n">
        <v>0</v>
      </c>
      <c r="N337" t="n">
        <v>0</v>
      </c>
      <c r="O337" t="n">
        <v>0</v>
      </c>
      <c r="P337" t="n">
        <v>0</v>
      </c>
      <c r="Q337" t="n">
        <v>0</v>
      </c>
      <c r="R337" s="2" t="inlineStr"/>
    </row>
    <row r="338" ht="15" customHeight="1">
      <c r="A338" t="inlineStr">
        <is>
          <t>A 2135-2026</t>
        </is>
      </c>
      <c r="B338" s="1" t="n">
        <v>46036</v>
      </c>
      <c r="C338" s="1" t="n">
        <v>46106</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10158-2025</t>
        </is>
      </c>
      <c r="B339" s="1" t="n">
        <v>45719</v>
      </c>
      <c r="C339" s="1" t="n">
        <v>46106</v>
      </c>
      <c r="D339" t="inlineStr">
        <is>
          <t>GOTLANDS LÄN</t>
        </is>
      </c>
      <c r="E339" t="inlineStr">
        <is>
          <t>GOTLAND</t>
        </is>
      </c>
      <c r="G339" t="n">
        <v>3.5</v>
      </c>
      <c r="H339" t="n">
        <v>0</v>
      </c>
      <c r="I339" t="n">
        <v>0</v>
      </c>
      <c r="J339" t="n">
        <v>0</v>
      </c>
      <c r="K339" t="n">
        <v>0</v>
      </c>
      <c r="L339" t="n">
        <v>0</v>
      </c>
      <c r="M339" t="n">
        <v>0</v>
      </c>
      <c r="N339" t="n">
        <v>0</v>
      </c>
      <c r="O339" t="n">
        <v>0</v>
      </c>
      <c r="P339" t="n">
        <v>0</v>
      </c>
      <c r="Q339" t="n">
        <v>0</v>
      </c>
      <c r="R339" s="2" t="inlineStr"/>
    </row>
    <row r="340" ht="15" customHeight="1">
      <c r="A340" t="inlineStr">
        <is>
          <t>A 28425-2023</t>
        </is>
      </c>
      <c r="B340" s="1" t="n">
        <v>45102</v>
      </c>
      <c r="C340" s="1" t="n">
        <v>46106</v>
      </c>
      <c r="D340" t="inlineStr">
        <is>
          <t>GOTLANDS LÄN</t>
        </is>
      </c>
      <c r="E340" t="inlineStr">
        <is>
          <t>GOTLAND</t>
        </is>
      </c>
      <c r="G340" t="n">
        <v>0.5</v>
      </c>
      <c r="H340" t="n">
        <v>0</v>
      </c>
      <c r="I340" t="n">
        <v>0</v>
      </c>
      <c r="J340" t="n">
        <v>0</v>
      </c>
      <c r="K340" t="n">
        <v>0</v>
      </c>
      <c r="L340" t="n">
        <v>0</v>
      </c>
      <c r="M340" t="n">
        <v>0</v>
      </c>
      <c r="N340" t="n">
        <v>0</v>
      </c>
      <c r="O340" t="n">
        <v>0</v>
      </c>
      <c r="P340" t="n">
        <v>0</v>
      </c>
      <c r="Q340" t="n">
        <v>0</v>
      </c>
      <c r="R340" s="2" t="inlineStr"/>
    </row>
    <row r="341" ht="15" customHeight="1">
      <c r="A341" t="inlineStr">
        <is>
          <t>A 13037-2025</t>
        </is>
      </c>
      <c r="B341" s="1" t="n">
        <v>45734</v>
      </c>
      <c r="C341" s="1" t="n">
        <v>46106</v>
      </c>
      <c r="D341" t="inlineStr">
        <is>
          <t>GOTLANDS LÄN</t>
        </is>
      </c>
      <c r="E341" t="inlineStr">
        <is>
          <t>GOTLAND</t>
        </is>
      </c>
      <c r="G341" t="n">
        <v>9.5</v>
      </c>
      <c r="H341" t="n">
        <v>0</v>
      </c>
      <c r="I341" t="n">
        <v>0</v>
      </c>
      <c r="J341" t="n">
        <v>0</v>
      </c>
      <c r="K341" t="n">
        <v>0</v>
      </c>
      <c r="L341" t="n">
        <v>0</v>
      </c>
      <c r="M341" t="n">
        <v>0</v>
      </c>
      <c r="N341" t="n">
        <v>0</v>
      </c>
      <c r="O341" t="n">
        <v>0</v>
      </c>
      <c r="P341" t="n">
        <v>0</v>
      </c>
      <c r="Q341" t="n">
        <v>0</v>
      </c>
      <c r="R341" s="2" t="inlineStr"/>
    </row>
    <row r="342" ht="15" customHeight="1">
      <c r="A342" t="inlineStr">
        <is>
          <t>A 43911-2025</t>
        </is>
      </c>
      <c r="B342" s="1" t="n">
        <v>45914.3881712963</v>
      </c>
      <c r="C342" s="1" t="n">
        <v>46106</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15413-2025</t>
        </is>
      </c>
      <c r="B343" s="1" t="n">
        <v>45747.451875</v>
      </c>
      <c r="C343" s="1" t="n">
        <v>46106</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35096-2025</t>
        </is>
      </c>
      <c r="B344" s="1" t="n">
        <v>45852.54356481481</v>
      </c>
      <c r="C344" s="1" t="n">
        <v>46106</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35123-2025</t>
        </is>
      </c>
      <c r="B345" s="1" t="n">
        <v>45852.614375</v>
      </c>
      <c r="C345" s="1" t="n">
        <v>46106</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43951-2025</t>
        </is>
      </c>
      <c r="B346" s="1" t="n">
        <v>45915.38119212963</v>
      </c>
      <c r="C346" s="1" t="n">
        <v>46106</v>
      </c>
      <c r="D346" t="inlineStr">
        <is>
          <t>GOTLANDS LÄN</t>
        </is>
      </c>
      <c r="E346" t="inlineStr">
        <is>
          <t>GOTLAND</t>
        </is>
      </c>
      <c r="G346" t="n">
        <v>4.4</v>
      </c>
      <c r="H346" t="n">
        <v>0</v>
      </c>
      <c r="I346" t="n">
        <v>0</v>
      </c>
      <c r="J346" t="n">
        <v>0</v>
      </c>
      <c r="K346" t="n">
        <v>0</v>
      </c>
      <c r="L346" t="n">
        <v>0</v>
      </c>
      <c r="M346" t="n">
        <v>0</v>
      </c>
      <c r="N346" t="n">
        <v>0</v>
      </c>
      <c r="O346" t="n">
        <v>0</v>
      </c>
      <c r="P346" t="n">
        <v>0</v>
      </c>
      <c r="Q346" t="n">
        <v>0</v>
      </c>
      <c r="R346" s="2" t="inlineStr"/>
    </row>
    <row r="347" ht="15" customHeight="1">
      <c r="A347" t="inlineStr">
        <is>
          <t>A 2134-2026</t>
        </is>
      </c>
      <c r="B347" s="1" t="n">
        <v>46036</v>
      </c>
      <c r="C347" s="1" t="n">
        <v>46106</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44410-2025</t>
        </is>
      </c>
      <c r="B348" s="1" t="n">
        <v>45916.53699074074</v>
      </c>
      <c r="C348" s="1" t="n">
        <v>46106</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62836-2025</t>
        </is>
      </c>
      <c r="B349" s="1" t="n">
        <v>46008</v>
      </c>
      <c r="C349" s="1" t="n">
        <v>46106</v>
      </c>
      <c r="D349" t="inlineStr">
        <is>
          <t>GOTLANDS LÄN</t>
        </is>
      </c>
      <c r="E349" t="inlineStr">
        <is>
          <t>GOTLAND</t>
        </is>
      </c>
      <c r="G349" t="n">
        <v>6.5</v>
      </c>
      <c r="H349" t="n">
        <v>0</v>
      </c>
      <c r="I349" t="n">
        <v>0</v>
      </c>
      <c r="J349" t="n">
        <v>0</v>
      </c>
      <c r="K349" t="n">
        <v>0</v>
      </c>
      <c r="L349" t="n">
        <v>0</v>
      </c>
      <c r="M349" t="n">
        <v>0</v>
      </c>
      <c r="N349" t="n">
        <v>0</v>
      </c>
      <c r="O349" t="n">
        <v>0</v>
      </c>
      <c r="P349" t="n">
        <v>0</v>
      </c>
      <c r="Q349" t="n">
        <v>0</v>
      </c>
      <c r="R349" s="2" t="inlineStr"/>
    </row>
    <row r="350" ht="15" customHeight="1">
      <c r="A350" t="inlineStr">
        <is>
          <t>A 35290-2025</t>
        </is>
      </c>
      <c r="B350" s="1" t="n">
        <v>45854.38502314815</v>
      </c>
      <c r="C350" s="1" t="n">
        <v>46106</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10746-2025</t>
        </is>
      </c>
      <c r="B351" s="1" t="n">
        <v>45722.42766203704</v>
      </c>
      <c r="C351" s="1" t="n">
        <v>46106</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30104-2025</t>
        </is>
      </c>
      <c r="B352" s="1" t="n">
        <v>45826.68806712963</v>
      </c>
      <c r="C352" s="1" t="n">
        <v>46106</v>
      </c>
      <c r="D352" t="inlineStr">
        <is>
          <t>GOTLANDS LÄN</t>
        </is>
      </c>
      <c r="E352" t="inlineStr">
        <is>
          <t>GOTLAND</t>
        </is>
      </c>
      <c r="G352" t="n">
        <v>15.4</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46106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32669-2024</t>
        </is>
      </c>
      <c r="B354" s="1" t="n">
        <v>45514</v>
      </c>
      <c r="C354" s="1" t="n">
        <v>46106</v>
      </c>
      <c r="D354" t="inlineStr">
        <is>
          <t>GOTLANDS LÄN</t>
        </is>
      </c>
      <c r="E354" t="inlineStr">
        <is>
          <t>GOTLAND</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35537-2025</t>
        </is>
      </c>
      <c r="B355" s="1" t="n">
        <v>45856</v>
      </c>
      <c r="C355" s="1" t="n">
        <v>46106</v>
      </c>
      <c r="D355" t="inlineStr">
        <is>
          <t>GOTLANDS LÄN</t>
        </is>
      </c>
      <c r="E355" t="inlineStr">
        <is>
          <t>GOTLAND</t>
        </is>
      </c>
      <c r="G355" t="n">
        <v>16.8</v>
      </c>
      <c r="H355" t="n">
        <v>0</v>
      </c>
      <c r="I355" t="n">
        <v>0</v>
      </c>
      <c r="J355" t="n">
        <v>0</v>
      </c>
      <c r="K355" t="n">
        <v>0</v>
      </c>
      <c r="L355" t="n">
        <v>0</v>
      </c>
      <c r="M355" t="n">
        <v>0</v>
      </c>
      <c r="N355" t="n">
        <v>0</v>
      </c>
      <c r="O355" t="n">
        <v>0</v>
      </c>
      <c r="P355" t="n">
        <v>0</v>
      </c>
      <c r="Q355" t="n">
        <v>0</v>
      </c>
      <c r="R355" s="2" t="inlineStr"/>
    </row>
    <row r="356" ht="15" customHeight="1">
      <c r="A356" t="inlineStr">
        <is>
          <t>A 43229-2023</t>
        </is>
      </c>
      <c r="B356" s="1" t="n">
        <v>45183.46704861111</v>
      </c>
      <c r="C356" s="1" t="n">
        <v>46106</v>
      </c>
      <c r="D356" t="inlineStr">
        <is>
          <t>GOTLANDS LÄN</t>
        </is>
      </c>
      <c r="E356" t="inlineStr">
        <is>
          <t>GOTLAND</t>
        </is>
      </c>
      <c r="G356" t="n">
        <v>7.1</v>
      </c>
      <c r="H356" t="n">
        <v>0</v>
      </c>
      <c r="I356" t="n">
        <v>0</v>
      </c>
      <c r="J356" t="n">
        <v>0</v>
      </c>
      <c r="K356" t="n">
        <v>0</v>
      </c>
      <c r="L356" t="n">
        <v>0</v>
      </c>
      <c r="M356" t="n">
        <v>0</v>
      </c>
      <c r="N356" t="n">
        <v>0</v>
      </c>
      <c r="O356" t="n">
        <v>0</v>
      </c>
      <c r="P356" t="n">
        <v>0</v>
      </c>
      <c r="Q356" t="n">
        <v>0</v>
      </c>
      <c r="R356" s="2" t="inlineStr"/>
    </row>
    <row r="357" ht="15" customHeight="1">
      <c r="A357" t="inlineStr">
        <is>
          <t>A 30488-2025</t>
        </is>
      </c>
      <c r="B357" s="1" t="n">
        <v>45830</v>
      </c>
      <c r="C357" s="1" t="n">
        <v>46106</v>
      </c>
      <c r="D357" t="inlineStr">
        <is>
          <t>GOTLANDS LÄN</t>
        </is>
      </c>
      <c r="E357" t="inlineStr">
        <is>
          <t>GOTLAND</t>
        </is>
      </c>
      <c r="F357" t="inlineStr">
        <is>
          <t>Kyrkan</t>
        </is>
      </c>
      <c r="G357" t="n">
        <v>3.9</v>
      </c>
      <c r="H357" t="n">
        <v>0</v>
      </c>
      <c r="I357" t="n">
        <v>0</v>
      </c>
      <c r="J357" t="n">
        <v>0</v>
      </c>
      <c r="K357" t="n">
        <v>0</v>
      </c>
      <c r="L357" t="n">
        <v>0</v>
      </c>
      <c r="M357" t="n">
        <v>0</v>
      </c>
      <c r="N357" t="n">
        <v>0</v>
      </c>
      <c r="O357" t="n">
        <v>0</v>
      </c>
      <c r="P357" t="n">
        <v>0</v>
      </c>
      <c r="Q357" t="n">
        <v>0</v>
      </c>
      <c r="R357" s="2" t="inlineStr"/>
    </row>
    <row r="358" ht="15" customHeight="1">
      <c r="A358" t="inlineStr">
        <is>
          <t>A 15216-2025</t>
        </is>
      </c>
      <c r="B358" s="1" t="n">
        <v>45744</v>
      </c>
      <c r="C358" s="1" t="n">
        <v>46106</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15001-2025</t>
        </is>
      </c>
      <c r="B359" s="1" t="n">
        <v>45743</v>
      </c>
      <c r="C359" s="1" t="n">
        <v>46106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43790-2024</t>
        </is>
      </c>
      <c r="B360" s="1" t="n">
        <v>45571</v>
      </c>
      <c r="C360" s="1" t="n">
        <v>46106</v>
      </c>
      <c r="D360" t="inlineStr">
        <is>
          <t>GOTLANDS LÄN</t>
        </is>
      </c>
      <c r="E360" t="inlineStr">
        <is>
          <t>GOTLAND</t>
        </is>
      </c>
      <c r="G360" t="n">
        <v>3.5</v>
      </c>
      <c r="H360" t="n">
        <v>0</v>
      </c>
      <c r="I360" t="n">
        <v>0</v>
      </c>
      <c r="J360" t="n">
        <v>0</v>
      </c>
      <c r="K360" t="n">
        <v>0</v>
      </c>
      <c r="L360" t="n">
        <v>0</v>
      </c>
      <c r="M360" t="n">
        <v>0</v>
      </c>
      <c r="N360" t="n">
        <v>0</v>
      </c>
      <c r="O360" t="n">
        <v>0</v>
      </c>
      <c r="P360" t="n">
        <v>0</v>
      </c>
      <c r="Q360" t="n">
        <v>0</v>
      </c>
      <c r="R360" s="2" t="inlineStr"/>
    </row>
    <row r="361" ht="15" customHeight="1">
      <c r="A361" t="inlineStr">
        <is>
          <t>A 17847-2025</t>
        </is>
      </c>
      <c r="B361" s="1" t="n">
        <v>45758</v>
      </c>
      <c r="C361" s="1" t="n">
        <v>46106</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41038-2023</t>
        </is>
      </c>
      <c r="B362" s="1" t="n">
        <v>45173.60959490741</v>
      </c>
      <c r="C362" s="1" t="n">
        <v>46106</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18742-2025</t>
        </is>
      </c>
      <c r="B363" s="1" t="n">
        <v>45763</v>
      </c>
      <c r="C363" s="1" t="n">
        <v>46106</v>
      </c>
      <c r="D363" t="inlineStr">
        <is>
          <t>GOTLANDS LÄN</t>
        </is>
      </c>
      <c r="E363" t="inlineStr">
        <is>
          <t>GOTLAND</t>
        </is>
      </c>
      <c r="G363" t="n">
        <v>3.4</v>
      </c>
      <c r="H363" t="n">
        <v>0</v>
      </c>
      <c r="I363" t="n">
        <v>0</v>
      </c>
      <c r="J363" t="n">
        <v>0</v>
      </c>
      <c r="K363" t="n">
        <v>0</v>
      </c>
      <c r="L363" t="n">
        <v>0</v>
      </c>
      <c r="M363" t="n">
        <v>0</v>
      </c>
      <c r="N363" t="n">
        <v>0</v>
      </c>
      <c r="O363" t="n">
        <v>0</v>
      </c>
      <c r="P363" t="n">
        <v>0</v>
      </c>
      <c r="Q363" t="n">
        <v>0</v>
      </c>
      <c r="R363" s="2" t="inlineStr"/>
    </row>
    <row r="364" ht="15" customHeight="1">
      <c r="A364" t="inlineStr">
        <is>
          <t>A 35129-2025</t>
        </is>
      </c>
      <c r="B364" s="1" t="n">
        <v>45852.63224537037</v>
      </c>
      <c r="C364" s="1" t="n">
        <v>46106</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26391-2025</t>
        </is>
      </c>
      <c r="B365" s="1" t="n">
        <v>45806</v>
      </c>
      <c r="C365" s="1" t="n">
        <v>46106</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24966-2023</t>
        </is>
      </c>
      <c r="B366" s="1" t="n">
        <v>45085</v>
      </c>
      <c r="C366" s="1" t="n">
        <v>46106</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46106</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46836-2025</t>
        </is>
      </c>
      <c r="B368" s="1" t="n">
        <v>45928.31511574074</v>
      </c>
      <c r="C368" s="1" t="n">
        <v>46106</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46106</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46106</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46106</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46106</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7837-2024</t>
        </is>
      </c>
      <c r="B373" s="1" t="n">
        <v>45349.83787037037</v>
      </c>
      <c r="C373" s="1" t="n">
        <v>46106</v>
      </c>
      <c r="D373" t="inlineStr">
        <is>
          <t>GOTLANDS LÄN</t>
        </is>
      </c>
      <c r="E373" t="inlineStr">
        <is>
          <t>GOTLAND</t>
        </is>
      </c>
      <c r="G373" t="n">
        <v>5</v>
      </c>
      <c r="H373" t="n">
        <v>0</v>
      </c>
      <c r="I373" t="n">
        <v>0</v>
      </c>
      <c r="J373" t="n">
        <v>0</v>
      </c>
      <c r="K373" t="n">
        <v>0</v>
      </c>
      <c r="L373" t="n">
        <v>0</v>
      </c>
      <c r="M373" t="n">
        <v>0</v>
      </c>
      <c r="N373" t="n">
        <v>0</v>
      </c>
      <c r="O373" t="n">
        <v>0</v>
      </c>
      <c r="P373" t="n">
        <v>0</v>
      </c>
      <c r="Q373" t="n">
        <v>0</v>
      </c>
      <c r="R373" s="2" t="inlineStr"/>
    </row>
    <row r="374" ht="15" customHeight="1">
      <c r="A374" t="inlineStr">
        <is>
          <t>A 30489-2025</t>
        </is>
      </c>
      <c r="B374" s="1" t="n">
        <v>45830</v>
      </c>
      <c r="C374" s="1" t="n">
        <v>46106</v>
      </c>
      <c r="D374" t="inlineStr">
        <is>
          <t>GOTLANDS LÄN</t>
        </is>
      </c>
      <c r="E374" t="inlineStr">
        <is>
          <t>GOTLAND</t>
        </is>
      </c>
      <c r="G374" t="n">
        <v>4.6</v>
      </c>
      <c r="H374" t="n">
        <v>0</v>
      </c>
      <c r="I374" t="n">
        <v>0</v>
      </c>
      <c r="J374" t="n">
        <v>0</v>
      </c>
      <c r="K374" t="n">
        <v>0</v>
      </c>
      <c r="L374" t="n">
        <v>0</v>
      </c>
      <c r="M374" t="n">
        <v>0</v>
      </c>
      <c r="N374" t="n">
        <v>0</v>
      </c>
      <c r="O374" t="n">
        <v>0</v>
      </c>
      <c r="P374" t="n">
        <v>0</v>
      </c>
      <c r="Q374" t="n">
        <v>0</v>
      </c>
      <c r="R374" s="2" t="inlineStr"/>
    </row>
    <row r="375" ht="15" customHeight="1">
      <c r="A375" t="inlineStr">
        <is>
          <t>A 21142-2025</t>
        </is>
      </c>
      <c r="B375" s="1" t="n">
        <v>45779</v>
      </c>
      <c r="C375" s="1" t="n">
        <v>46106</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6108-2025</t>
        </is>
      </c>
      <c r="B376" s="1" t="n">
        <v>45698.29880787037</v>
      </c>
      <c r="C376" s="1" t="n">
        <v>46106</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32378-2025</t>
        </is>
      </c>
      <c r="B377" s="1" t="n">
        <v>45837</v>
      </c>
      <c r="C377" s="1" t="n">
        <v>46106</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17343-2025</t>
        </is>
      </c>
      <c r="B378" s="1" t="n">
        <v>45756.6687037037</v>
      </c>
      <c r="C378" s="1" t="n">
        <v>46106</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18938-2025</t>
        </is>
      </c>
      <c r="B379" s="1" t="n">
        <v>45764.49172453704</v>
      </c>
      <c r="C379" s="1" t="n">
        <v>46106</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44936.72997685185</v>
      </c>
      <c r="C380" s="1" t="n">
        <v>46106</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20307-2025</t>
        </is>
      </c>
      <c r="B381" s="1" t="n">
        <v>45774.95546296296</v>
      </c>
      <c r="C381" s="1" t="n">
        <v>46106</v>
      </c>
      <c r="D381" t="inlineStr">
        <is>
          <t>GOTLANDS LÄN</t>
        </is>
      </c>
      <c r="E381" t="inlineStr">
        <is>
          <t>GOTLAND</t>
        </is>
      </c>
      <c r="G381" t="n">
        <v>6.8</v>
      </c>
      <c r="H381" t="n">
        <v>0</v>
      </c>
      <c r="I381" t="n">
        <v>0</v>
      </c>
      <c r="J381" t="n">
        <v>0</v>
      </c>
      <c r="K381" t="n">
        <v>0</v>
      </c>
      <c r="L381" t="n">
        <v>0</v>
      </c>
      <c r="M381" t="n">
        <v>0</v>
      </c>
      <c r="N381" t="n">
        <v>0</v>
      </c>
      <c r="O381" t="n">
        <v>0</v>
      </c>
      <c r="P381" t="n">
        <v>0</v>
      </c>
      <c r="Q381" t="n">
        <v>0</v>
      </c>
      <c r="R381" s="2" t="inlineStr"/>
    </row>
    <row r="382" ht="15" customHeight="1">
      <c r="A382" t="inlineStr">
        <is>
          <t>A 2676-2023</t>
        </is>
      </c>
      <c r="B382" s="1" t="n">
        <v>44944</v>
      </c>
      <c r="C382" s="1" t="n">
        <v>46106</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4387-2023</t>
        </is>
      </c>
      <c r="B383" s="1" t="n">
        <v>44955.73359953704</v>
      </c>
      <c r="C383" s="1" t="n">
        <v>46106</v>
      </c>
      <c r="D383" t="inlineStr">
        <is>
          <t>GOTLANDS LÄN</t>
        </is>
      </c>
      <c r="E383" t="inlineStr">
        <is>
          <t>GOTLAND</t>
        </is>
      </c>
      <c r="G383" t="n">
        <v>1.9</v>
      </c>
      <c r="H383" t="n">
        <v>0</v>
      </c>
      <c r="I383" t="n">
        <v>0</v>
      </c>
      <c r="J383" t="n">
        <v>0</v>
      </c>
      <c r="K383" t="n">
        <v>0</v>
      </c>
      <c r="L383" t="n">
        <v>0</v>
      </c>
      <c r="M383" t="n">
        <v>0</v>
      </c>
      <c r="N383" t="n">
        <v>0</v>
      </c>
      <c r="O383" t="n">
        <v>0</v>
      </c>
      <c r="P383" t="n">
        <v>0</v>
      </c>
      <c r="Q383" t="n">
        <v>0</v>
      </c>
      <c r="R383" s="2" t="inlineStr"/>
    </row>
    <row r="384" ht="15" customHeight="1">
      <c r="A384" t="inlineStr">
        <is>
          <t>A 49411-2023</t>
        </is>
      </c>
      <c r="B384" s="1" t="n">
        <v>45205</v>
      </c>
      <c r="C384" s="1" t="n">
        <v>46106</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37728-2024</t>
        </is>
      </c>
      <c r="B385" s="1" t="n">
        <v>45541</v>
      </c>
      <c r="C385" s="1" t="n">
        <v>46106</v>
      </c>
      <c r="D385" t="inlineStr">
        <is>
          <t>GOTLANDS LÄN</t>
        </is>
      </c>
      <c r="E385" t="inlineStr">
        <is>
          <t>GOTLAND</t>
        </is>
      </c>
      <c r="G385" t="n">
        <v>0.4</v>
      </c>
      <c r="H385" t="n">
        <v>0</v>
      </c>
      <c r="I385" t="n">
        <v>0</v>
      </c>
      <c r="J385" t="n">
        <v>0</v>
      </c>
      <c r="K385" t="n">
        <v>0</v>
      </c>
      <c r="L385" t="n">
        <v>0</v>
      </c>
      <c r="M385" t="n">
        <v>0</v>
      </c>
      <c r="N385" t="n">
        <v>0</v>
      </c>
      <c r="O385" t="n">
        <v>0</v>
      </c>
      <c r="P385" t="n">
        <v>0</v>
      </c>
      <c r="Q385" t="n">
        <v>0</v>
      </c>
      <c r="R385" s="2" t="inlineStr"/>
    </row>
    <row r="386" ht="15" customHeight="1">
      <c r="A386" t="inlineStr">
        <is>
          <t>A 2241-2025</t>
        </is>
      </c>
      <c r="B386" s="1" t="n">
        <v>45673.48710648148</v>
      </c>
      <c r="C386" s="1" t="n">
        <v>46106</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35550-2025</t>
        </is>
      </c>
      <c r="B387" s="1" t="n">
        <v>45856.49324074074</v>
      </c>
      <c r="C387" s="1" t="n">
        <v>46106</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47578-2025</t>
        </is>
      </c>
      <c r="B388" s="1" t="n">
        <v>45931</v>
      </c>
      <c r="C388" s="1" t="n">
        <v>46106</v>
      </c>
      <c r="D388" t="inlineStr">
        <is>
          <t>GOTLANDS LÄN</t>
        </is>
      </c>
      <c r="E388" t="inlineStr">
        <is>
          <t>GOTLAND</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33011-2025</t>
        </is>
      </c>
      <c r="B389" s="1" t="n">
        <v>45840</v>
      </c>
      <c r="C389" s="1" t="n">
        <v>46106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49690-2025</t>
        </is>
      </c>
      <c r="B390" s="1" t="n">
        <v>45939.66730324074</v>
      </c>
      <c r="C390" s="1" t="n">
        <v>46106</v>
      </c>
      <c r="D390" t="inlineStr">
        <is>
          <t>GOTLANDS LÄN</t>
        </is>
      </c>
      <c r="E390" t="inlineStr">
        <is>
          <t>GOTLAND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22275-2023</t>
        </is>
      </c>
      <c r="B391" s="1" t="n">
        <v>45070.39875</v>
      </c>
      <c r="C391" s="1" t="n">
        <v>46106</v>
      </c>
      <c r="D391" t="inlineStr">
        <is>
          <t>GOTLANDS LÄN</t>
        </is>
      </c>
      <c r="E391" t="inlineStr">
        <is>
          <t>GOTLAND</t>
        </is>
      </c>
      <c r="G391" t="n">
        <v>7.2</v>
      </c>
      <c r="H391" t="n">
        <v>0</v>
      </c>
      <c r="I391" t="n">
        <v>0</v>
      </c>
      <c r="J391" t="n">
        <v>0</v>
      </c>
      <c r="K391" t="n">
        <v>0</v>
      </c>
      <c r="L391" t="n">
        <v>0</v>
      </c>
      <c r="M391" t="n">
        <v>0</v>
      </c>
      <c r="N391" t="n">
        <v>0</v>
      </c>
      <c r="O391" t="n">
        <v>0</v>
      </c>
      <c r="P391" t="n">
        <v>0</v>
      </c>
      <c r="Q391" t="n">
        <v>0</v>
      </c>
      <c r="R391" s="2" t="inlineStr"/>
    </row>
    <row r="392" ht="15" customHeight="1">
      <c r="A392" t="inlineStr">
        <is>
          <t>A 18993-2025</t>
        </is>
      </c>
      <c r="B392" s="1" t="n">
        <v>45764</v>
      </c>
      <c r="C392" s="1" t="n">
        <v>46106</v>
      </c>
      <c r="D392" t="inlineStr">
        <is>
          <t>GOTLANDS LÄN</t>
        </is>
      </c>
      <c r="E392" t="inlineStr">
        <is>
          <t>GOTLAND</t>
        </is>
      </c>
      <c r="G392" t="n">
        <v>3</v>
      </c>
      <c r="H392" t="n">
        <v>0</v>
      </c>
      <c r="I392" t="n">
        <v>0</v>
      </c>
      <c r="J392" t="n">
        <v>0</v>
      </c>
      <c r="K392" t="n">
        <v>0</v>
      </c>
      <c r="L392" t="n">
        <v>0</v>
      </c>
      <c r="M392" t="n">
        <v>0</v>
      </c>
      <c r="N392" t="n">
        <v>0</v>
      </c>
      <c r="O392" t="n">
        <v>0</v>
      </c>
      <c r="P392" t="n">
        <v>0</v>
      </c>
      <c r="Q392" t="n">
        <v>0</v>
      </c>
      <c r="R392" s="2" t="inlineStr"/>
    </row>
    <row r="393" ht="15" customHeight="1">
      <c r="A393" t="inlineStr">
        <is>
          <t>A 30135-2025</t>
        </is>
      </c>
      <c r="B393" s="1" t="n">
        <v>45826</v>
      </c>
      <c r="C393" s="1" t="n">
        <v>46106</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14635-2023</t>
        </is>
      </c>
      <c r="B394" s="1" t="n">
        <v>45013.69365740741</v>
      </c>
      <c r="C394" s="1" t="n">
        <v>46106</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63763-2023</t>
        </is>
      </c>
      <c r="B395" s="1" t="n">
        <v>45278.33944444444</v>
      </c>
      <c r="C395" s="1" t="n">
        <v>46106</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7635-2025</t>
        </is>
      </c>
      <c r="B396" s="1" t="n">
        <v>45705</v>
      </c>
      <c r="C396" s="1" t="n">
        <v>46106</v>
      </c>
      <c r="D396" t="inlineStr">
        <is>
          <t>GOTLANDS LÄN</t>
        </is>
      </c>
      <c r="E396" t="inlineStr">
        <is>
          <t>GOTLAND</t>
        </is>
      </c>
      <c r="G396" t="n">
        <v>0.9</v>
      </c>
      <c r="H396" t="n">
        <v>0</v>
      </c>
      <c r="I396" t="n">
        <v>0</v>
      </c>
      <c r="J396" t="n">
        <v>0</v>
      </c>
      <c r="K396" t="n">
        <v>0</v>
      </c>
      <c r="L396" t="n">
        <v>0</v>
      </c>
      <c r="M396" t="n">
        <v>0</v>
      </c>
      <c r="N396" t="n">
        <v>0</v>
      </c>
      <c r="O396" t="n">
        <v>0</v>
      </c>
      <c r="P396" t="n">
        <v>0</v>
      </c>
      <c r="Q396" t="n">
        <v>0</v>
      </c>
      <c r="R396" s="2" t="inlineStr"/>
    </row>
    <row r="397" ht="15" customHeight="1">
      <c r="A397" t="inlineStr">
        <is>
          <t>A 7636-2025</t>
        </is>
      </c>
      <c r="B397" s="1" t="n">
        <v>45705.7687962963</v>
      </c>
      <c r="C397" s="1" t="n">
        <v>46106</v>
      </c>
      <c r="D397" t="inlineStr">
        <is>
          <t>GOTLANDS LÄN</t>
        </is>
      </c>
      <c r="E397" t="inlineStr">
        <is>
          <t>GOTLAND</t>
        </is>
      </c>
      <c r="G397" t="n">
        <v>0.6</v>
      </c>
      <c r="H397" t="n">
        <v>0</v>
      </c>
      <c r="I397" t="n">
        <v>0</v>
      </c>
      <c r="J397" t="n">
        <v>0</v>
      </c>
      <c r="K397" t="n">
        <v>0</v>
      </c>
      <c r="L397" t="n">
        <v>0</v>
      </c>
      <c r="M397" t="n">
        <v>0</v>
      </c>
      <c r="N397" t="n">
        <v>0</v>
      </c>
      <c r="O397" t="n">
        <v>0</v>
      </c>
      <c r="P397" t="n">
        <v>0</v>
      </c>
      <c r="Q397" t="n">
        <v>0</v>
      </c>
      <c r="R397" s="2" t="inlineStr"/>
    </row>
    <row r="398" ht="15" customHeight="1">
      <c r="A398" t="inlineStr">
        <is>
          <t>A 7639-2025</t>
        </is>
      </c>
      <c r="B398" s="1" t="n">
        <v>45705.77465277778</v>
      </c>
      <c r="C398" s="1" t="n">
        <v>46106</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61682-2024</t>
        </is>
      </c>
      <c r="B399" s="1" t="n">
        <v>45647.48824074074</v>
      </c>
      <c r="C399" s="1" t="n">
        <v>46106</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15434-2024</t>
        </is>
      </c>
      <c r="B400" s="1" t="n">
        <v>45401.38836805556</v>
      </c>
      <c r="C400" s="1" t="n">
        <v>46106</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49724-2025</t>
        </is>
      </c>
      <c r="B401" s="1" t="n">
        <v>45939.83730324074</v>
      </c>
      <c r="C401" s="1" t="n">
        <v>46106</v>
      </c>
      <c r="D401" t="inlineStr">
        <is>
          <t>GOTLANDS LÄN</t>
        </is>
      </c>
      <c r="E401" t="inlineStr">
        <is>
          <t>GOTLAND</t>
        </is>
      </c>
      <c r="F401" t="inlineStr">
        <is>
          <t>Kyrkan</t>
        </is>
      </c>
      <c r="G401" t="n">
        <v>3.1</v>
      </c>
      <c r="H401" t="n">
        <v>0</v>
      </c>
      <c r="I401" t="n">
        <v>0</v>
      </c>
      <c r="J401" t="n">
        <v>0</v>
      </c>
      <c r="K401" t="n">
        <v>0</v>
      </c>
      <c r="L401" t="n">
        <v>0</v>
      </c>
      <c r="M401" t="n">
        <v>0</v>
      </c>
      <c r="N401" t="n">
        <v>0</v>
      </c>
      <c r="O401" t="n">
        <v>0</v>
      </c>
      <c r="P401" t="n">
        <v>0</v>
      </c>
      <c r="Q401" t="n">
        <v>0</v>
      </c>
      <c r="R401" s="2" t="inlineStr"/>
    </row>
    <row r="402" ht="15" customHeight="1">
      <c r="A402" t="inlineStr">
        <is>
          <t>A 49730-2025</t>
        </is>
      </c>
      <c r="B402" s="1" t="n">
        <v>45939.87613425926</v>
      </c>
      <c r="C402" s="1" t="n">
        <v>46106</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7034-2023</t>
        </is>
      </c>
      <c r="B403" s="1" t="n">
        <v>44968.32108796296</v>
      </c>
      <c r="C403" s="1" t="n">
        <v>46106</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7042-2023</t>
        </is>
      </c>
      <c r="B404" s="1" t="n">
        <v>44968</v>
      </c>
      <c r="C404" s="1" t="n">
        <v>46106</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2180-2025</t>
        </is>
      </c>
      <c r="B405" s="1" t="n">
        <v>45673</v>
      </c>
      <c r="C405" s="1" t="n">
        <v>46106</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12599-2025</t>
        </is>
      </c>
      <c r="B406" s="1" t="n">
        <v>45733.29546296296</v>
      </c>
      <c r="C406" s="1" t="n">
        <v>46106</v>
      </c>
      <c r="D406" t="inlineStr">
        <is>
          <t>GOTLANDS LÄN</t>
        </is>
      </c>
      <c r="E406" t="inlineStr">
        <is>
          <t>GOTLAND</t>
        </is>
      </c>
      <c r="G406" t="n">
        <v>4.7</v>
      </c>
      <c r="H406" t="n">
        <v>0</v>
      </c>
      <c r="I406" t="n">
        <v>0</v>
      </c>
      <c r="J406" t="n">
        <v>0</v>
      </c>
      <c r="K406" t="n">
        <v>0</v>
      </c>
      <c r="L406" t="n">
        <v>0</v>
      </c>
      <c r="M406" t="n">
        <v>0</v>
      </c>
      <c r="N406" t="n">
        <v>0</v>
      </c>
      <c r="O406" t="n">
        <v>0</v>
      </c>
      <c r="P406" t="n">
        <v>0</v>
      </c>
      <c r="Q406" t="n">
        <v>0</v>
      </c>
      <c r="R406" s="2" t="inlineStr"/>
    </row>
    <row r="407" ht="15" customHeight="1">
      <c r="A407" t="inlineStr">
        <is>
          <t>A 54074-2022</t>
        </is>
      </c>
      <c r="B407" s="1" t="n">
        <v>44881</v>
      </c>
      <c r="C407" s="1" t="n">
        <v>46106</v>
      </c>
      <c r="D407" t="inlineStr">
        <is>
          <t>GOTLANDS LÄN</t>
        </is>
      </c>
      <c r="E407" t="inlineStr">
        <is>
          <t>GOTLAND</t>
        </is>
      </c>
      <c r="G407" t="n">
        <v>0.9</v>
      </c>
      <c r="H407" t="n">
        <v>0</v>
      </c>
      <c r="I407" t="n">
        <v>0</v>
      </c>
      <c r="J407" t="n">
        <v>0</v>
      </c>
      <c r="K407" t="n">
        <v>0</v>
      </c>
      <c r="L407" t="n">
        <v>0</v>
      </c>
      <c r="M407" t="n">
        <v>0</v>
      </c>
      <c r="N407" t="n">
        <v>0</v>
      </c>
      <c r="O407" t="n">
        <v>0</v>
      </c>
      <c r="P407" t="n">
        <v>0</v>
      </c>
      <c r="Q407" t="n">
        <v>0</v>
      </c>
      <c r="R407" s="2" t="inlineStr"/>
    </row>
    <row r="408" ht="15" customHeight="1">
      <c r="A408" t="inlineStr">
        <is>
          <t>A 61694-2023</t>
        </is>
      </c>
      <c r="B408" s="1" t="n">
        <v>45264</v>
      </c>
      <c r="C408" s="1" t="n">
        <v>46106</v>
      </c>
      <c r="D408" t="inlineStr">
        <is>
          <t>GOTLANDS LÄN</t>
        </is>
      </c>
      <c r="E408" t="inlineStr">
        <is>
          <t>GOTLAND</t>
        </is>
      </c>
      <c r="G408" t="n">
        <v>4.6</v>
      </c>
      <c r="H408" t="n">
        <v>0</v>
      </c>
      <c r="I408" t="n">
        <v>0</v>
      </c>
      <c r="J408" t="n">
        <v>0</v>
      </c>
      <c r="K408" t="n">
        <v>0</v>
      </c>
      <c r="L408" t="n">
        <v>0</v>
      </c>
      <c r="M408" t="n">
        <v>0</v>
      </c>
      <c r="N408" t="n">
        <v>0</v>
      </c>
      <c r="O408" t="n">
        <v>0</v>
      </c>
      <c r="P408" t="n">
        <v>0</v>
      </c>
      <c r="Q408" t="n">
        <v>0</v>
      </c>
      <c r="R408" s="2" t="inlineStr"/>
    </row>
    <row r="409" ht="15" customHeight="1">
      <c r="A409" t="inlineStr">
        <is>
          <t>A 64208-2021</t>
        </is>
      </c>
      <c r="B409" s="1" t="n">
        <v>44510</v>
      </c>
      <c r="C409" s="1" t="n">
        <v>46106</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50421-2025</t>
        </is>
      </c>
      <c r="B410" s="1" t="n">
        <v>45944.66049768519</v>
      </c>
      <c r="C410" s="1" t="n">
        <v>46106</v>
      </c>
      <c r="D410" t="inlineStr">
        <is>
          <t>GOTLANDS LÄN</t>
        </is>
      </c>
      <c r="E410" t="inlineStr">
        <is>
          <t>GOTLAND</t>
        </is>
      </c>
      <c r="G410" t="n">
        <v>3.9</v>
      </c>
      <c r="H410" t="n">
        <v>0</v>
      </c>
      <c r="I410" t="n">
        <v>0</v>
      </c>
      <c r="J410" t="n">
        <v>0</v>
      </c>
      <c r="K410" t="n">
        <v>0</v>
      </c>
      <c r="L410" t="n">
        <v>0</v>
      </c>
      <c r="M410" t="n">
        <v>0</v>
      </c>
      <c r="N410" t="n">
        <v>0</v>
      </c>
      <c r="O410" t="n">
        <v>0</v>
      </c>
      <c r="P410" t="n">
        <v>0</v>
      </c>
      <c r="Q410" t="n">
        <v>0</v>
      </c>
      <c r="R410" s="2" t="inlineStr"/>
    </row>
    <row r="411" ht="15" customHeight="1">
      <c r="A411" t="inlineStr">
        <is>
          <t>A 54268-2022</t>
        </is>
      </c>
      <c r="B411" s="1" t="n">
        <v>44882</v>
      </c>
      <c r="C411" s="1" t="n">
        <v>46106</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1446-2025</t>
        </is>
      </c>
      <c r="B412" s="1" t="n">
        <v>45669.86035879629</v>
      </c>
      <c r="C412" s="1" t="n">
        <v>46106</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1462-2025</t>
        </is>
      </c>
      <c r="B413" s="1" t="n">
        <v>45670.36319444444</v>
      </c>
      <c r="C413" s="1" t="n">
        <v>46106</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50431-2025</t>
        </is>
      </c>
      <c r="B414" s="1" t="n">
        <v>45944.68453703704</v>
      </c>
      <c r="C414" s="1" t="n">
        <v>46106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57685-2022</t>
        </is>
      </c>
      <c r="B415" s="1" t="n">
        <v>44897.4777662037</v>
      </c>
      <c r="C415" s="1" t="n">
        <v>46106</v>
      </c>
      <c r="D415" t="inlineStr">
        <is>
          <t>GOTLANDS LÄN</t>
        </is>
      </c>
      <c r="E415" t="inlineStr">
        <is>
          <t>GOTLAND</t>
        </is>
      </c>
      <c r="G415" t="n">
        <v>3.7</v>
      </c>
      <c r="H415" t="n">
        <v>0</v>
      </c>
      <c r="I415" t="n">
        <v>0</v>
      </c>
      <c r="J415" t="n">
        <v>0</v>
      </c>
      <c r="K415" t="n">
        <v>0</v>
      </c>
      <c r="L415" t="n">
        <v>0</v>
      </c>
      <c r="M415" t="n">
        <v>0</v>
      </c>
      <c r="N415" t="n">
        <v>0</v>
      </c>
      <c r="O415" t="n">
        <v>0</v>
      </c>
      <c r="P415" t="n">
        <v>0</v>
      </c>
      <c r="Q415" t="n">
        <v>0</v>
      </c>
      <c r="R415" s="2" t="inlineStr"/>
    </row>
    <row r="416" ht="15" customHeight="1">
      <c r="A416" t="inlineStr">
        <is>
          <t>A 811-2023</t>
        </is>
      </c>
      <c r="B416" s="1" t="n">
        <v>44931</v>
      </c>
      <c r="C416" s="1" t="n">
        <v>46106</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5905-2024</t>
        </is>
      </c>
      <c r="B417" s="1" t="n">
        <v>45335.88993055555</v>
      </c>
      <c r="C417" s="1" t="n">
        <v>46106</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3431-2025</t>
        </is>
      </c>
      <c r="B418" s="1" t="n">
        <v>45680.42935185185</v>
      </c>
      <c r="C418" s="1" t="n">
        <v>46106</v>
      </c>
      <c r="D418" t="inlineStr">
        <is>
          <t>GOTLANDS LÄN</t>
        </is>
      </c>
      <c r="E418" t="inlineStr">
        <is>
          <t>GOTLAND</t>
        </is>
      </c>
      <c r="G418" t="n">
        <v>4.8</v>
      </c>
      <c r="H418" t="n">
        <v>0</v>
      </c>
      <c r="I418" t="n">
        <v>0</v>
      </c>
      <c r="J418" t="n">
        <v>0</v>
      </c>
      <c r="K418" t="n">
        <v>0</v>
      </c>
      <c r="L418" t="n">
        <v>0</v>
      </c>
      <c r="M418" t="n">
        <v>0</v>
      </c>
      <c r="N418" t="n">
        <v>0</v>
      </c>
      <c r="O418" t="n">
        <v>0</v>
      </c>
      <c r="P418" t="n">
        <v>0</v>
      </c>
      <c r="Q418" t="n">
        <v>0</v>
      </c>
      <c r="R418" s="2" t="inlineStr"/>
    </row>
    <row r="419" ht="15" customHeight="1">
      <c r="A419" t="inlineStr">
        <is>
          <t>A 34407-2023</t>
        </is>
      </c>
      <c r="B419" s="1" t="n">
        <v>45132</v>
      </c>
      <c r="C419" s="1" t="n">
        <v>46106</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30892-2024</t>
        </is>
      </c>
      <c r="B420" s="1" t="n">
        <v>45491</v>
      </c>
      <c r="C420" s="1" t="n">
        <v>46106</v>
      </c>
      <c r="D420" t="inlineStr">
        <is>
          <t>GOTLANDS LÄN</t>
        </is>
      </c>
      <c r="E420" t="inlineStr">
        <is>
          <t>GOTLAND</t>
        </is>
      </c>
      <c r="G420" t="n">
        <v>6.1</v>
      </c>
      <c r="H420" t="n">
        <v>0</v>
      </c>
      <c r="I420" t="n">
        <v>0</v>
      </c>
      <c r="J420" t="n">
        <v>0</v>
      </c>
      <c r="K420" t="n">
        <v>0</v>
      </c>
      <c r="L420" t="n">
        <v>0</v>
      </c>
      <c r="M420" t="n">
        <v>0</v>
      </c>
      <c r="N420" t="n">
        <v>0</v>
      </c>
      <c r="O420" t="n">
        <v>0</v>
      </c>
      <c r="P420" t="n">
        <v>0</v>
      </c>
      <c r="Q420" t="n">
        <v>0</v>
      </c>
      <c r="R420" s="2" t="inlineStr"/>
    </row>
    <row r="421" ht="15" customHeight="1">
      <c r="A421" t="inlineStr">
        <is>
          <t>A 50928-2025</t>
        </is>
      </c>
      <c r="B421" s="1" t="n">
        <v>45946.67896990741</v>
      </c>
      <c r="C421" s="1" t="n">
        <v>46106</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32958-2021</t>
        </is>
      </c>
      <c r="B422" s="1" t="n">
        <v>44376</v>
      </c>
      <c r="C422" s="1" t="n">
        <v>46106</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51262-2025</t>
        </is>
      </c>
      <c r="B423" s="1" t="n">
        <v>45949.49872685185</v>
      </c>
      <c r="C423" s="1" t="n">
        <v>46106</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7858-2025</t>
        </is>
      </c>
      <c r="B424" s="1" t="n">
        <v>45706.68633101852</v>
      </c>
      <c r="C424" s="1" t="n">
        <v>46106</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46545-2024</t>
        </is>
      </c>
      <c r="B425" s="1" t="n">
        <v>45582.65831018519</v>
      </c>
      <c r="C425" s="1" t="n">
        <v>46106</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999-2023</t>
        </is>
      </c>
      <c r="B426" s="1" t="n">
        <v>44935</v>
      </c>
      <c r="C426" s="1" t="n">
        <v>46106</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1364-2025</t>
        </is>
      </c>
      <c r="B427" s="1" t="n">
        <v>45667.63929398148</v>
      </c>
      <c r="C427" s="1" t="n">
        <v>46106</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2125-2025</t>
        </is>
      </c>
      <c r="B428" s="1" t="n">
        <v>45672.64940972222</v>
      </c>
      <c r="C428" s="1" t="n">
        <v>46106</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52249-2025</t>
        </is>
      </c>
      <c r="B429" s="1" t="n">
        <v>45953.48637731482</v>
      </c>
      <c r="C429" s="1" t="n">
        <v>46106</v>
      </c>
      <c r="D429" t="inlineStr">
        <is>
          <t>GOTLANDS LÄN</t>
        </is>
      </c>
      <c r="E429" t="inlineStr">
        <is>
          <t>GOTLAND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52637-2025</t>
        </is>
      </c>
      <c r="B430" s="1" t="n">
        <v>45954.75099537037</v>
      </c>
      <c r="C430" s="1" t="n">
        <v>46106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46106</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12155-2023</t>
        </is>
      </c>
      <c r="B432" s="1" t="n">
        <v>44998.49106481481</v>
      </c>
      <c r="C432" s="1" t="n">
        <v>46106</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2774-2024</t>
        </is>
      </c>
      <c r="B433" s="1" t="n">
        <v>45314.62375</v>
      </c>
      <c r="C433" s="1" t="n">
        <v>46106</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9947-2024</t>
        </is>
      </c>
      <c r="B434" s="1" t="n">
        <v>45363</v>
      </c>
      <c r="C434" s="1" t="n">
        <v>46106</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42007-2023</t>
        </is>
      </c>
      <c r="B435" s="1" t="n">
        <v>45177</v>
      </c>
      <c r="C435" s="1" t="n">
        <v>46106</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53577-2025</t>
        </is>
      </c>
      <c r="B436" s="1" t="n">
        <v>45960.42224537037</v>
      </c>
      <c r="C436" s="1" t="n">
        <v>46106</v>
      </c>
      <c r="D436" t="inlineStr">
        <is>
          <t>GOTLANDS LÄN</t>
        </is>
      </c>
      <c r="E436" t="inlineStr">
        <is>
          <t>GOTLAND</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53569-2025</t>
        </is>
      </c>
      <c r="B437" s="1" t="n">
        <v>45960.41155092593</v>
      </c>
      <c r="C437" s="1" t="n">
        <v>46106</v>
      </c>
      <c r="D437" t="inlineStr">
        <is>
          <t>GOTLANDS LÄN</t>
        </is>
      </c>
      <c r="E437" t="inlineStr">
        <is>
          <t>GOTLAND</t>
        </is>
      </c>
      <c r="F437" t="inlineStr">
        <is>
          <t>Övriga Aktiebolag</t>
        </is>
      </c>
      <c r="G437" t="n">
        <v>11.3</v>
      </c>
      <c r="H437" t="n">
        <v>0</v>
      </c>
      <c r="I437" t="n">
        <v>0</v>
      </c>
      <c r="J437" t="n">
        <v>0</v>
      </c>
      <c r="K437" t="n">
        <v>0</v>
      </c>
      <c r="L437" t="n">
        <v>0</v>
      </c>
      <c r="M437" t="n">
        <v>0</v>
      </c>
      <c r="N437" t="n">
        <v>0</v>
      </c>
      <c r="O437" t="n">
        <v>0</v>
      </c>
      <c r="P437" t="n">
        <v>0</v>
      </c>
      <c r="Q437" t="n">
        <v>0</v>
      </c>
      <c r="R437" s="2" t="inlineStr"/>
    </row>
    <row r="438" ht="15" customHeight="1">
      <c r="A438" t="inlineStr">
        <is>
          <t>A 15083-2025</t>
        </is>
      </c>
      <c r="B438" s="1" t="n">
        <v>45743</v>
      </c>
      <c r="C438" s="1" t="n">
        <v>46106</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1066-2024</t>
        </is>
      </c>
      <c r="B439" s="1" t="n">
        <v>45302.285</v>
      </c>
      <c r="C439" s="1" t="n">
        <v>46106</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37202-2024</t>
        </is>
      </c>
      <c r="B440" s="1" t="n">
        <v>45539.67310185185</v>
      </c>
      <c r="C440" s="1" t="n">
        <v>46106</v>
      </c>
      <c r="D440" t="inlineStr">
        <is>
          <t>GOTLANDS LÄN</t>
        </is>
      </c>
      <c r="E440" t="inlineStr">
        <is>
          <t>GOTLAND</t>
        </is>
      </c>
      <c r="G440" t="n">
        <v>0.3</v>
      </c>
      <c r="H440" t="n">
        <v>0</v>
      </c>
      <c r="I440" t="n">
        <v>0</v>
      </c>
      <c r="J440" t="n">
        <v>0</v>
      </c>
      <c r="K440" t="n">
        <v>0</v>
      </c>
      <c r="L440" t="n">
        <v>0</v>
      </c>
      <c r="M440" t="n">
        <v>0</v>
      </c>
      <c r="N440" t="n">
        <v>0</v>
      </c>
      <c r="O440" t="n">
        <v>0</v>
      </c>
      <c r="P440" t="n">
        <v>0</v>
      </c>
      <c r="Q440" t="n">
        <v>0</v>
      </c>
      <c r="R440" s="2" t="inlineStr"/>
    </row>
    <row r="441" ht="15" customHeight="1">
      <c r="A441" t="inlineStr">
        <is>
          <t>A 30815-2023</t>
        </is>
      </c>
      <c r="B441" s="1" t="n">
        <v>45112</v>
      </c>
      <c r="C441" s="1" t="n">
        <v>46106</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56688-2025</t>
        </is>
      </c>
      <c r="B442" s="1" t="n">
        <v>45975.84331018518</v>
      </c>
      <c r="C442" s="1" t="n">
        <v>46106</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46106</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10492-2023</t>
        </is>
      </c>
      <c r="B444" s="1" t="n">
        <v>44987</v>
      </c>
      <c r="C444" s="1" t="n">
        <v>46106</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56799-2025</t>
        </is>
      </c>
      <c r="B445" s="1" t="n">
        <v>45978.43392361111</v>
      </c>
      <c r="C445" s="1" t="n">
        <v>46106</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44919-2022</t>
        </is>
      </c>
      <c r="B446" s="1" t="n">
        <v>44841</v>
      </c>
      <c r="C446" s="1" t="n">
        <v>46106</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16501-2023</t>
        </is>
      </c>
      <c r="B447" s="1" t="n">
        <v>45029</v>
      </c>
      <c r="C447" s="1" t="n">
        <v>46106</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27095-2022</t>
        </is>
      </c>
      <c r="B448" s="1" t="n">
        <v>44741</v>
      </c>
      <c r="C448" s="1" t="n">
        <v>46106</v>
      </c>
      <c r="D448" t="inlineStr">
        <is>
          <t>GOTLANDS LÄN</t>
        </is>
      </c>
      <c r="E448" t="inlineStr">
        <is>
          <t>GOTLAND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458-2023</t>
        </is>
      </c>
      <c r="B449" s="1" t="n">
        <v>44929</v>
      </c>
      <c r="C449" s="1" t="n">
        <v>46106</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1291-2023</t>
        </is>
      </c>
      <c r="B450" s="1" t="n">
        <v>44936.47561342592</v>
      </c>
      <c r="C450" s="1" t="n">
        <v>46106</v>
      </c>
      <c r="D450" t="inlineStr">
        <is>
          <t>GOTLANDS LÄN</t>
        </is>
      </c>
      <c r="E450" t="inlineStr">
        <is>
          <t>GOTLAND</t>
        </is>
      </c>
      <c r="G450" t="n">
        <v>7.4</v>
      </c>
      <c r="H450" t="n">
        <v>0</v>
      </c>
      <c r="I450" t="n">
        <v>0</v>
      </c>
      <c r="J450" t="n">
        <v>0</v>
      </c>
      <c r="K450" t="n">
        <v>0</v>
      </c>
      <c r="L450" t="n">
        <v>0</v>
      </c>
      <c r="M450" t="n">
        <v>0</v>
      </c>
      <c r="N450" t="n">
        <v>0</v>
      </c>
      <c r="O450" t="n">
        <v>0</v>
      </c>
      <c r="P450" t="n">
        <v>0</v>
      </c>
      <c r="Q450" t="n">
        <v>0</v>
      </c>
      <c r="R450" s="2" t="inlineStr"/>
    </row>
    <row r="451" ht="15" customHeight="1">
      <c r="A451" t="inlineStr">
        <is>
          <t>A 32330-2024</t>
        </is>
      </c>
      <c r="B451" s="1" t="n">
        <v>45512</v>
      </c>
      <c r="C451" s="1" t="n">
        <v>46106</v>
      </c>
      <c r="D451" t="inlineStr">
        <is>
          <t>GOTLANDS LÄN</t>
        </is>
      </c>
      <c r="E451" t="inlineStr">
        <is>
          <t>GOTLAND</t>
        </is>
      </c>
      <c r="G451" t="n">
        <v>2.6</v>
      </c>
      <c r="H451" t="n">
        <v>0</v>
      </c>
      <c r="I451" t="n">
        <v>0</v>
      </c>
      <c r="J451" t="n">
        <v>0</v>
      </c>
      <c r="K451" t="n">
        <v>0</v>
      </c>
      <c r="L451" t="n">
        <v>0</v>
      </c>
      <c r="M451" t="n">
        <v>0</v>
      </c>
      <c r="N451" t="n">
        <v>0</v>
      </c>
      <c r="O451" t="n">
        <v>0</v>
      </c>
      <c r="P451" t="n">
        <v>0</v>
      </c>
      <c r="Q451" t="n">
        <v>0</v>
      </c>
      <c r="R451" s="2" t="inlineStr"/>
    </row>
    <row r="452" ht="15" customHeight="1">
      <c r="A452" t="inlineStr">
        <is>
          <t>A 5891-2025</t>
        </is>
      </c>
      <c r="B452" s="1" t="n">
        <v>45695.38327546296</v>
      </c>
      <c r="C452" s="1" t="n">
        <v>46106</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14804-2021</t>
        </is>
      </c>
      <c r="B453" s="1" t="n">
        <v>44280</v>
      </c>
      <c r="C453" s="1" t="n">
        <v>46106</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2719-2023</t>
        </is>
      </c>
      <c r="B454" s="1" t="n">
        <v>44944.55361111111</v>
      </c>
      <c r="C454" s="1" t="n">
        <v>46106</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17144-2025</t>
        </is>
      </c>
      <c r="B455" s="1" t="n">
        <v>45755.9499537037</v>
      </c>
      <c r="C455" s="1" t="n">
        <v>46106</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49314-2024</t>
        </is>
      </c>
      <c r="B456" s="1" t="n">
        <v>45595.55893518519</v>
      </c>
      <c r="C456" s="1" t="n">
        <v>46106</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9875-2025</t>
        </is>
      </c>
      <c r="B457" s="1" t="n">
        <v>45716</v>
      </c>
      <c r="C457" s="1" t="n">
        <v>46106</v>
      </c>
      <c r="D457" t="inlineStr">
        <is>
          <t>GOTLANDS LÄN</t>
        </is>
      </c>
      <c r="E457" t="inlineStr">
        <is>
          <t>GOTLAND</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29809-2022</t>
        </is>
      </c>
      <c r="B458" s="1" t="n">
        <v>44755.8713425926</v>
      </c>
      <c r="C458" s="1" t="n">
        <v>46106</v>
      </c>
      <c r="D458" t="inlineStr">
        <is>
          <t>GOTLANDS LÄN</t>
        </is>
      </c>
      <c r="E458" t="inlineStr">
        <is>
          <t>GOTLAND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16361-2024</t>
        </is>
      </c>
      <c r="B459" s="1" t="n">
        <v>45407</v>
      </c>
      <c r="C459" s="1" t="n">
        <v>46106</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46106</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46106</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59197-2025</t>
        </is>
      </c>
      <c r="B462" s="1" t="n">
        <v>45988.59846064815</v>
      </c>
      <c r="C462" s="1" t="n">
        <v>46106</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36319-2025</t>
        </is>
      </c>
      <c r="B463" s="1" t="n">
        <v>45868</v>
      </c>
      <c r="C463" s="1" t="n">
        <v>46106</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46106</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3150-2025</t>
        </is>
      </c>
      <c r="B465" s="1" t="n">
        <v>45679.28974537037</v>
      </c>
      <c r="C465" s="1" t="n">
        <v>46106</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42041-2024</t>
        </is>
      </c>
      <c r="B466" s="1" t="n">
        <v>45561</v>
      </c>
      <c r="C466" s="1" t="n">
        <v>46106</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15436-2025</t>
        </is>
      </c>
      <c r="B467" s="1" t="n">
        <v>45747.47462962963</v>
      </c>
      <c r="C467" s="1" t="n">
        <v>46106</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44705.38832175926</v>
      </c>
      <c r="C468" s="1" t="n">
        <v>46106</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17780-2022</t>
        </is>
      </c>
      <c r="B469" s="1" t="n">
        <v>44682.82622685185</v>
      </c>
      <c r="C469" s="1" t="n">
        <v>46106</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63516-2023</t>
        </is>
      </c>
      <c r="B470" s="1" t="n">
        <v>45274</v>
      </c>
      <c r="C470" s="1" t="n">
        <v>46106</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62066-2025</t>
        </is>
      </c>
      <c r="B471" s="1" t="n">
        <v>46006.34738425926</v>
      </c>
      <c r="C471" s="1" t="n">
        <v>46106</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62103-2025</t>
        </is>
      </c>
      <c r="B472" s="1" t="n">
        <v>46006</v>
      </c>
      <c r="C472" s="1" t="n">
        <v>46106</v>
      </c>
      <c r="D472" t="inlineStr">
        <is>
          <t>GOTLANDS LÄN</t>
        </is>
      </c>
      <c r="E472" t="inlineStr">
        <is>
          <t>GOTLAND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53935-2024</t>
        </is>
      </c>
      <c r="B473" s="1" t="n">
        <v>45615</v>
      </c>
      <c r="C473" s="1" t="n">
        <v>46106</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47147-2025</t>
        </is>
      </c>
      <c r="B474" s="1" t="n">
        <v>45929</v>
      </c>
      <c r="C474" s="1" t="n">
        <v>46106</v>
      </c>
      <c r="D474" t="inlineStr">
        <is>
          <t>GOTLANDS LÄN</t>
        </is>
      </c>
      <c r="E474" t="inlineStr">
        <is>
          <t>GOTLAND</t>
        </is>
      </c>
      <c r="G474" t="n">
        <v>2.3</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46106</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46106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46106</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23516-2023</t>
        </is>
      </c>
      <c r="B478" s="1" t="n">
        <v>45076.93391203704</v>
      </c>
      <c r="C478" s="1" t="n">
        <v>46106</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43231-2023</t>
        </is>
      </c>
      <c r="B479" s="1" t="n">
        <v>45183.47025462963</v>
      </c>
      <c r="C479" s="1" t="n">
        <v>46106</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58230-2024</t>
        </is>
      </c>
      <c r="B480" s="1" t="n">
        <v>45632.51625</v>
      </c>
      <c r="C480" s="1" t="n">
        <v>46106</v>
      </c>
      <c r="D480" t="inlineStr">
        <is>
          <t>GOTLANDS LÄN</t>
        </is>
      </c>
      <c r="E480" t="inlineStr">
        <is>
          <t>GOTLAND</t>
        </is>
      </c>
      <c r="G480" t="n">
        <v>7.3</v>
      </c>
      <c r="H480" t="n">
        <v>0</v>
      </c>
      <c r="I480" t="n">
        <v>0</v>
      </c>
      <c r="J480" t="n">
        <v>0</v>
      </c>
      <c r="K480" t="n">
        <v>0</v>
      </c>
      <c r="L480" t="n">
        <v>0</v>
      </c>
      <c r="M480" t="n">
        <v>0</v>
      </c>
      <c r="N480" t="n">
        <v>0</v>
      </c>
      <c r="O480" t="n">
        <v>0</v>
      </c>
      <c r="P480" t="n">
        <v>0</v>
      </c>
      <c r="Q480" t="n">
        <v>0</v>
      </c>
      <c r="R480" s="2" t="inlineStr"/>
    </row>
    <row r="481" ht="15" customHeight="1">
      <c r="A481" t="inlineStr">
        <is>
          <t>A 64555-2023</t>
        </is>
      </c>
      <c r="B481" s="1" t="n">
        <v>45281</v>
      </c>
      <c r="C481" s="1" t="n">
        <v>46106</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54584-2025</t>
        </is>
      </c>
      <c r="B482" s="1" t="n">
        <v>45965.71788194445</v>
      </c>
      <c r="C482" s="1" t="n">
        <v>46106</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457-2023</t>
        </is>
      </c>
      <c r="B483" s="1" t="n">
        <v>44929.87238425926</v>
      </c>
      <c r="C483" s="1" t="n">
        <v>46106</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459-2023</t>
        </is>
      </c>
      <c r="B484" s="1" t="n">
        <v>44929.87423611111</v>
      </c>
      <c r="C484" s="1" t="n">
        <v>46106</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38649-2025</t>
        </is>
      </c>
      <c r="B485" s="1" t="n">
        <v>45884</v>
      </c>
      <c r="C485" s="1" t="n">
        <v>46106</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876-2024</t>
        </is>
      </c>
      <c r="B486" s="1" t="n">
        <v>45301</v>
      </c>
      <c r="C486" s="1" t="n">
        <v>46106</v>
      </c>
      <c r="D486" t="inlineStr">
        <is>
          <t>GOTLANDS LÄN</t>
        </is>
      </c>
      <c r="E486" t="inlineStr">
        <is>
          <t>GOTLAND</t>
        </is>
      </c>
      <c r="G486" t="n">
        <v>5.3</v>
      </c>
      <c r="H486" t="n">
        <v>0</v>
      </c>
      <c r="I486" t="n">
        <v>0</v>
      </c>
      <c r="J486" t="n">
        <v>0</v>
      </c>
      <c r="K486" t="n">
        <v>0</v>
      </c>
      <c r="L486" t="n">
        <v>0</v>
      </c>
      <c r="M486" t="n">
        <v>0</v>
      </c>
      <c r="N486" t="n">
        <v>0</v>
      </c>
      <c r="O486" t="n">
        <v>0</v>
      </c>
      <c r="P486" t="n">
        <v>0</v>
      </c>
      <c r="Q486" t="n">
        <v>0</v>
      </c>
      <c r="R486" s="2" t="inlineStr"/>
    </row>
    <row r="487" ht="15" customHeight="1">
      <c r="A487" t="inlineStr">
        <is>
          <t>A 26891-2024</t>
        </is>
      </c>
      <c r="B487" s="1" t="n">
        <v>45470.65540509259</v>
      </c>
      <c r="C487" s="1" t="n">
        <v>46106</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61078-2025</t>
        </is>
      </c>
      <c r="B488" s="1" t="n">
        <v>46000</v>
      </c>
      <c r="C488" s="1" t="n">
        <v>46106</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5923-2023</t>
        </is>
      </c>
      <c r="B489" s="1" t="n">
        <v>44963.69503472222</v>
      </c>
      <c r="C489" s="1" t="n">
        <v>46106</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50482-2024</t>
        </is>
      </c>
      <c r="B490" s="1" t="n">
        <v>45601.48114583334</v>
      </c>
      <c r="C490" s="1" t="n">
        <v>46106</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5943-2024</t>
        </is>
      </c>
      <c r="B491" s="1" t="n">
        <v>45336</v>
      </c>
      <c r="C491" s="1" t="n">
        <v>46106</v>
      </c>
      <c r="D491" t="inlineStr">
        <is>
          <t>GOTLANDS LÄN</t>
        </is>
      </c>
      <c r="E491" t="inlineStr">
        <is>
          <t>GOTLAND</t>
        </is>
      </c>
      <c r="G491" t="n">
        <v>4.3</v>
      </c>
      <c r="H491" t="n">
        <v>0</v>
      </c>
      <c r="I491" t="n">
        <v>0</v>
      </c>
      <c r="J491" t="n">
        <v>0</v>
      </c>
      <c r="K491" t="n">
        <v>0</v>
      </c>
      <c r="L491" t="n">
        <v>0</v>
      </c>
      <c r="M491" t="n">
        <v>0</v>
      </c>
      <c r="N491" t="n">
        <v>0</v>
      </c>
      <c r="O491" t="n">
        <v>0</v>
      </c>
      <c r="P491" t="n">
        <v>0</v>
      </c>
      <c r="Q491" t="n">
        <v>0</v>
      </c>
      <c r="R491" s="2" t="inlineStr"/>
    </row>
    <row r="492" ht="15" customHeight="1">
      <c r="A492" t="inlineStr">
        <is>
          <t>A 36-2026</t>
        </is>
      </c>
      <c r="B492" s="1" t="n">
        <v>46024.38886574074</v>
      </c>
      <c r="C492" s="1" t="n">
        <v>46106</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38234-2023</t>
        </is>
      </c>
      <c r="B493" s="1" t="n">
        <v>45161.56663194444</v>
      </c>
      <c r="C493" s="1" t="n">
        <v>46106</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1273-2023</t>
        </is>
      </c>
      <c r="B494" s="1" t="n">
        <v>44936</v>
      </c>
      <c r="C494" s="1" t="n">
        <v>46106</v>
      </c>
      <c r="D494" t="inlineStr">
        <is>
          <t>GOTLANDS LÄN</t>
        </is>
      </c>
      <c r="E494" t="inlineStr">
        <is>
          <t>GOTLAND</t>
        </is>
      </c>
      <c r="G494" t="n">
        <v>4.5</v>
      </c>
      <c r="H494" t="n">
        <v>0</v>
      </c>
      <c r="I494" t="n">
        <v>0</v>
      </c>
      <c r="J494" t="n">
        <v>0</v>
      </c>
      <c r="K494" t="n">
        <v>0</v>
      </c>
      <c r="L494" t="n">
        <v>0</v>
      </c>
      <c r="M494" t="n">
        <v>0</v>
      </c>
      <c r="N494" t="n">
        <v>0</v>
      </c>
      <c r="O494" t="n">
        <v>0</v>
      </c>
      <c r="P494" t="n">
        <v>0</v>
      </c>
      <c r="Q494" t="n">
        <v>0</v>
      </c>
      <c r="R494" s="2" t="inlineStr"/>
    </row>
    <row r="495" ht="15" customHeight="1">
      <c r="A495" t="inlineStr">
        <is>
          <t>A 62674-2025</t>
        </is>
      </c>
      <c r="B495" s="1" t="n">
        <v>46008</v>
      </c>
      <c r="C495" s="1" t="n">
        <v>46106</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46071.62486111111</v>
      </c>
      <c r="C496" s="1" t="n">
        <v>46106</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9518-2026</t>
        </is>
      </c>
      <c r="B497" s="1" t="n">
        <v>46071.59653935185</v>
      </c>
      <c r="C497" s="1" t="n">
        <v>46106</v>
      </c>
      <c r="D497" t="inlineStr">
        <is>
          <t>GOTLANDS LÄN</t>
        </is>
      </c>
      <c r="E497" t="inlineStr">
        <is>
          <t>GOTLAND</t>
        </is>
      </c>
      <c r="G497" t="n">
        <v>6.2</v>
      </c>
      <c r="H497" t="n">
        <v>0</v>
      </c>
      <c r="I497" t="n">
        <v>0</v>
      </c>
      <c r="J497" t="n">
        <v>0</v>
      </c>
      <c r="K497" t="n">
        <v>0</v>
      </c>
      <c r="L497" t="n">
        <v>0</v>
      </c>
      <c r="M497" t="n">
        <v>0</v>
      </c>
      <c r="N497" t="n">
        <v>0</v>
      </c>
      <c r="O497" t="n">
        <v>0</v>
      </c>
      <c r="P497" t="n">
        <v>0</v>
      </c>
      <c r="Q497" t="n">
        <v>0</v>
      </c>
      <c r="R497" s="2" t="inlineStr"/>
    </row>
    <row r="498" ht="15" customHeight="1">
      <c r="A498" t="inlineStr">
        <is>
          <t>A 9524-2026</t>
        </is>
      </c>
      <c r="B498" s="1" t="n">
        <v>46071.60108796296</v>
      </c>
      <c r="C498" s="1" t="n">
        <v>46106</v>
      </c>
      <c r="D498" t="inlineStr">
        <is>
          <t>GOTLANDS LÄN</t>
        </is>
      </c>
      <c r="E498" t="inlineStr">
        <is>
          <t>GOTLAND</t>
        </is>
      </c>
      <c r="G498" t="n">
        <v>2.5</v>
      </c>
      <c r="H498" t="n">
        <v>0</v>
      </c>
      <c r="I498" t="n">
        <v>0</v>
      </c>
      <c r="J498" t="n">
        <v>0</v>
      </c>
      <c r="K498" t="n">
        <v>0</v>
      </c>
      <c r="L498" t="n">
        <v>0</v>
      </c>
      <c r="M498" t="n">
        <v>0</v>
      </c>
      <c r="N498" t="n">
        <v>0</v>
      </c>
      <c r="O498" t="n">
        <v>0</v>
      </c>
      <c r="P498" t="n">
        <v>0</v>
      </c>
      <c r="Q498" t="n">
        <v>0</v>
      </c>
      <c r="R498" s="2" t="inlineStr"/>
    </row>
    <row r="499" ht="15" customHeight="1">
      <c r="A499" t="inlineStr">
        <is>
          <t>A 63152-2025</t>
        </is>
      </c>
      <c r="B499" s="1" t="n">
        <v>46010</v>
      </c>
      <c r="C499" s="1" t="n">
        <v>46106</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17724-2024</t>
        </is>
      </c>
      <c r="B500" s="1" t="n">
        <v>45418.55096064815</v>
      </c>
      <c r="C500" s="1" t="n">
        <v>46106</v>
      </c>
      <c r="D500" t="inlineStr">
        <is>
          <t>GOTLANDS LÄN</t>
        </is>
      </c>
      <c r="E500" t="inlineStr">
        <is>
          <t>GOTLAND</t>
        </is>
      </c>
      <c r="G500" t="n">
        <v>2</v>
      </c>
      <c r="H500" t="n">
        <v>0</v>
      </c>
      <c r="I500" t="n">
        <v>0</v>
      </c>
      <c r="J500" t="n">
        <v>0</v>
      </c>
      <c r="K500" t="n">
        <v>0</v>
      </c>
      <c r="L500" t="n">
        <v>0</v>
      </c>
      <c r="M500" t="n">
        <v>0</v>
      </c>
      <c r="N500" t="n">
        <v>0</v>
      </c>
      <c r="O500" t="n">
        <v>0</v>
      </c>
      <c r="P500" t="n">
        <v>0</v>
      </c>
      <c r="Q500" t="n">
        <v>0</v>
      </c>
      <c r="R500" s="2" t="inlineStr"/>
    </row>
    <row r="501" ht="15" customHeight="1">
      <c r="A501" t="inlineStr">
        <is>
          <t>A 23978-2023</t>
        </is>
      </c>
      <c r="B501" s="1" t="n">
        <v>45078</v>
      </c>
      <c r="C501" s="1" t="n">
        <v>46106</v>
      </c>
      <c r="D501" t="inlineStr">
        <is>
          <t>GOTLANDS LÄN</t>
        </is>
      </c>
      <c r="E501" t="inlineStr">
        <is>
          <t>GOTLAND</t>
        </is>
      </c>
      <c r="F501" t="inlineStr">
        <is>
          <t>Naturvårdsverket</t>
        </is>
      </c>
      <c r="G501" t="n">
        <v>1.7</v>
      </c>
      <c r="H501" t="n">
        <v>0</v>
      </c>
      <c r="I501" t="n">
        <v>0</v>
      </c>
      <c r="J501" t="n">
        <v>0</v>
      </c>
      <c r="K501" t="n">
        <v>0</v>
      </c>
      <c r="L501" t="n">
        <v>0</v>
      </c>
      <c r="M501" t="n">
        <v>0</v>
      </c>
      <c r="N501" t="n">
        <v>0</v>
      </c>
      <c r="O501" t="n">
        <v>0</v>
      </c>
      <c r="P501" t="n">
        <v>0</v>
      </c>
      <c r="Q501" t="n">
        <v>0</v>
      </c>
      <c r="R501" s="2" t="inlineStr"/>
    </row>
    <row r="502" ht="15" customHeight="1">
      <c r="A502" t="inlineStr">
        <is>
          <t>A 49884-2023</t>
        </is>
      </c>
      <c r="B502" s="1" t="n">
        <v>45213</v>
      </c>
      <c r="C502" s="1" t="n">
        <v>46106</v>
      </c>
      <c r="D502" t="inlineStr">
        <is>
          <t>GOTLANDS LÄN</t>
        </is>
      </c>
      <c r="E502" t="inlineStr">
        <is>
          <t>GOTLAND</t>
        </is>
      </c>
      <c r="G502" t="n">
        <v>8.9</v>
      </c>
      <c r="H502" t="n">
        <v>0</v>
      </c>
      <c r="I502" t="n">
        <v>0</v>
      </c>
      <c r="J502" t="n">
        <v>0</v>
      </c>
      <c r="K502" t="n">
        <v>0</v>
      </c>
      <c r="L502" t="n">
        <v>0</v>
      </c>
      <c r="M502" t="n">
        <v>0</v>
      </c>
      <c r="N502" t="n">
        <v>0</v>
      </c>
      <c r="O502" t="n">
        <v>0</v>
      </c>
      <c r="P502" t="n">
        <v>0</v>
      </c>
      <c r="Q502" t="n">
        <v>0</v>
      </c>
      <c r="R502" s="2" t="inlineStr"/>
    </row>
    <row r="503" ht="15" customHeight="1">
      <c r="A503" t="inlineStr">
        <is>
          <t>A 9519-2026</t>
        </is>
      </c>
      <c r="B503" s="1" t="n">
        <v>46071.59820601852</v>
      </c>
      <c r="C503" s="1" t="n">
        <v>46106</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9521-2026</t>
        </is>
      </c>
      <c r="B504" s="1" t="n">
        <v>46071.59969907408</v>
      </c>
      <c r="C504" s="1" t="n">
        <v>46106</v>
      </c>
      <c r="D504" t="inlineStr">
        <is>
          <t>GOTLANDS LÄN</t>
        </is>
      </c>
      <c r="E504" t="inlineStr">
        <is>
          <t>GOTLAND</t>
        </is>
      </c>
      <c r="G504" t="n">
        <v>3.9</v>
      </c>
      <c r="H504" t="n">
        <v>0</v>
      </c>
      <c r="I504" t="n">
        <v>0</v>
      </c>
      <c r="J504" t="n">
        <v>0</v>
      </c>
      <c r="K504" t="n">
        <v>0</v>
      </c>
      <c r="L504" t="n">
        <v>0</v>
      </c>
      <c r="M504" t="n">
        <v>0</v>
      </c>
      <c r="N504" t="n">
        <v>0</v>
      </c>
      <c r="O504" t="n">
        <v>0</v>
      </c>
      <c r="P504" t="n">
        <v>0</v>
      </c>
      <c r="Q504" t="n">
        <v>0</v>
      </c>
      <c r="R504" s="2" t="inlineStr"/>
    </row>
    <row r="505" ht="15" customHeight="1">
      <c r="A505" t="inlineStr">
        <is>
          <t>A 12846-2025</t>
        </is>
      </c>
      <c r="B505" s="1" t="n">
        <v>45733.65049768519</v>
      </c>
      <c r="C505" s="1" t="n">
        <v>46106</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9504-2026</t>
        </is>
      </c>
      <c r="B506" s="1" t="n">
        <v>46071.57730324074</v>
      </c>
      <c r="C506" s="1" t="n">
        <v>46106</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9540-2026</t>
        </is>
      </c>
      <c r="B507" s="1" t="n">
        <v>46071.61961805556</v>
      </c>
      <c r="C507" s="1" t="n">
        <v>46106</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43200-2023</t>
        </is>
      </c>
      <c r="B508" s="1" t="n">
        <v>45183</v>
      </c>
      <c r="C508" s="1" t="n">
        <v>46106</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1355-2026</t>
        </is>
      </c>
      <c r="B509" s="1" t="n">
        <v>46031.59909722222</v>
      </c>
      <c r="C509" s="1" t="n">
        <v>46106</v>
      </c>
      <c r="D509" t="inlineStr">
        <is>
          <t>GOTLANDS LÄN</t>
        </is>
      </c>
      <c r="E509" t="inlineStr">
        <is>
          <t>GOTLAND</t>
        </is>
      </c>
      <c r="G509" t="n">
        <v>3.1</v>
      </c>
      <c r="H509" t="n">
        <v>0</v>
      </c>
      <c r="I509" t="n">
        <v>0</v>
      </c>
      <c r="J509" t="n">
        <v>0</v>
      </c>
      <c r="K509" t="n">
        <v>0</v>
      </c>
      <c r="L509" t="n">
        <v>0</v>
      </c>
      <c r="M509" t="n">
        <v>0</v>
      </c>
      <c r="N509" t="n">
        <v>0</v>
      </c>
      <c r="O509" t="n">
        <v>0</v>
      </c>
      <c r="P509" t="n">
        <v>0</v>
      </c>
      <c r="Q509" t="n">
        <v>0</v>
      </c>
      <c r="R509" s="2" t="inlineStr"/>
    </row>
    <row r="510" ht="15" customHeight="1">
      <c r="A510" t="inlineStr">
        <is>
          <t>A 9901-2026</t>
        </is>
      </c>
      <c r="B510" s="1" t="n">
        <v>46073.40391203704</v>
      </c>
      <c r="C510" s="1" t="n">
        <v>46106</v>
      </c>
      <c r="D510" t="inlineStr">
        <is>
          <t>GOTLANDS LÄN</t>
        </is>
      </c>
      <c r="E510" t="inlineStr">
        <is>
          <t>GOTLAND</t>
        </is>
      </c>
      <c r="F510" t="inlineStr">
        <is>
          <t>Kyrkan</t>
        </is>
      </c>
      <c r="G510" t="n">
        <v>0.9</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46106</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46106</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10486-2026</t>
        </is>
      </c>
      <c r="B513" s="1" t="n">
        <v>46077.51425925926</v>
      </c>
      <c r="C513" s="1" t="n">
        <v>46106</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1898-2026</t>
        </is>
      </c>
      <c r="B514" s="1" t="n">
        <v>46035.52024305556</v>
      </c>
      <c r="C514" s="1" t="n">
        <v>46106</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48843-2024</t>
        </is>
      </c>
      <c r="B515" s="1" t="n">
        <v>45593</v>
      </c>
      <c r="C515" s="1" t="n">
        <v>46106</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10284-2026</t>
        </is>
      </c>
      <c r="B516" s="1" t="n">
        <v>46076</v>
      </c>
      <c r="C516" s="1" t="n">
        <v>46106</v>
      </c>
      <c r="D516" t="inlineStr">
        <is>
          <t>GOTLANDS LÄN</t>
        </is>
      </c>
      <c r="E516" t="inlineStr">
        <is>
          <t>GOTLAND</t>
        </is>
      </c>
      <c r="G516" t="n">
        <v>5.2</v>
      </c>
      <c r="H516" t="n">
        <v>0</v>
      </c>
      <c r="I516" t="n">
        <v>0</v>
      </c>
      <c r="J516" t="n">
        <v>0</v>
      </c>
      <c r="K516" t="n">
        <v>0</v>
      </c>
      <c r="L516" t="n">
        <v>0</v>
      </c>
      <c r="M516" t="n">
        <v>0</v>
      </c>
      <c r="N516" t="n">
        <v>0</v>
      </c>
      <c r="O516" t="n">
        <v>0</v>
      </c>
      <c r="P516" t="n">
        <v>0</v>
      </c>
      <c r="Q516" t="n">
        <v>0</v>
      </c>
      <c r="R516" s="2" t="inlineStr"/>
    </row>
    <row r="517" ht="15" customHeight="1">
      <c r="A517" t="inlineStr">
        <is>
          <t>A 10653-2023</t>
        </is>
      </c>
      <c r="B517" s="1" t="n">
        <v>44988.48859953704</v>
      </c>
      <c r="C517" s="1" t="n">
        <v>46106</v>
      </c>
      <c r="D517" t="inlineStr">
        <is>
          <t>GOTLANDS LÄN</t>
        </is>
      </c>
      <c r="E517" t="inlineStr">
        <is>
          <t>GOTLAND</t>
        </is>
      </c>
      <c r="F517" t="inlineStr">
        <is>
          <t>Kyrkan</t>
        </is>
      </c>
      <c r="G517" t="n">
        <v>3</v>
      </c>
      <c r="H517" t="n">
        <v>0</v>
      </c>
      <c r="I517" t="n">
        <v>0</v>
      </c>
      <c r="J517" t="n">
        <v>0</v>
      </c>
      <c r="K517" t="n">
        <v>0</v>
      </c>
      <c r="L517" t="n">
        <v>0</v>
      </c>
      <c r="M517" t="n">
        <v>0</v>
      </c>
      <c r="N517" t="n">
        <v>0</v>
      </c>
      <c r="O517" t="n">
        <v>0</v>
      </c>
      <c r="P517" t="n">
        <v>0</v>
      </c>
      <c r="Q517" t="n">
        <v>0</v>
      </c>
      <c r="R517" s="2" t="inlineStr"/>
    </row>
    <row r="518" ht="15" customHeight="1">
      <c r="A518" t="inlineStr">
        <is>
          <t>A 2415-2026</t>
        </is>
      </c>
      <c r="B518" s="1" t="n">
        <v>46036.76203703704</v>
      </c>
      <c r="C518" s="1" t="n">
        <v>46106</v>
      </c>
      <c r="D518" t="inlineStr">
        <is>
          <t>GOTLANDS LÄN</t>
        </is>
      </c>
      <c r="E518" t="inlineStr">
        <is>
          <t>GOTLAND</t>
        </is>
      </c>
      <c r="G518" t="n">
        <v>6.9</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46106</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46106</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46106</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3253-2026</t>
        </is>
      </c>
      <c r="B522" s="1" t="n">
        <v>46041.58902777778</v>
      </c>
      <c r="C522" s="1" t="n">
        <v>46106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11414-2026</t>
        </is>
      </c>
      <c r="B523" s="1" t="n">
        <v>46083.46336805556</v>
      </c>
      <c r="C523" s="1" t="n">
        <v>46106</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46106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64831-2023</t>
        </is>
      </c>
      <c r="B525" s="1" t="n">
        <v>45282.44924768519</v>
      </c>
      <c r="C525" s="1" t="n">
        <v>46106</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46106</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11424-2026</t>
        </is>
      </c>
      <c r="B527" s="1" t="n">
        <v>46083.48068287037</v>
      </c>
      <c r="C527" s="1" t="n">
        <v>46106</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46375-2024</t>
        </is>
      </c>
      <c r="B528" s="1" t="n">
        <v>45582</v>
      </c>
      <c r="C528" s="1" t="n">
        <v>46106</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62915-2021</t>
        </is>
      </c>
      <c r="B529" s="1" t="n">
        <v>44504</v>
      </c>
      <c r="C529" s="1" t="n">
        <v>46106</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46106</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53587-2025</t>
        </is>
      </c>
      <c r="B531" s="1" t="n">
        <v>45960.43681712963</v>
      </c>
      <c r="C531" s="1" t="n">
        <v>46106</v>
      </c>
      <c r="D531" t="inlineStr">
        <is>
          <t>GOTLANDS LÄN</t>
        </is>
      </c>
      <c r="E531" t="inlineStr">
        <is>
          <t>GOTLAND</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4377-2023</t>
        </is>
      </c>
      <c r="B532" s="1" t="n">
        <v>44955.5502662037</v>
      </c>
      <c r="C532" s="1" t="n">
        <v>46106</v>
      </c>
      <c r="D532" t="inlineStr">
        <is>
          <t>GOTLANDS LÄN</t>
        </is>
      </c>
      <c r="E532" t="inlineStr">
        <is>
          <t>GOTLAND</t>
        </is>
      </c>
      <c r="F532" t="inlineStr">
        <is>
          <t>Kyrkan</t>
        </is>
      </c>
      <c r="G532" t="n">
        <v>0.6</v>
      </c>
      <c r="H532" t="n">
        <v>0</v>
      </c>
      <c r="I532" t="n">
        <v>0</v>
      </c>
      <c r="J532" t="n">
        <v>0</v>
      </c>
      <c r="K532" t="n">
        <v>0</v>
      </c>
      <c r="L532" t="n">
        <v>0</v>
      </c>
      <c r="M532" t="n">
        <v>0</v>
      </c>
      <c r="N532" t="n">
        <v>0</v>
      </c>
      <c r="O532" t="n">
        <v>0</v>
      </c>
      <c r="P532" t="n">
        <v>0</v>
      </c>
      <c r="Q532" t="n">
        <v>0</v>
      </c>
      <c r="R532" s="2" t="inlineStr"/>
    </row>
    <row r="533" ht="15" customHeight="1">
      <c r="A533" t="inlineStr">
        <is>
          <t>A 11982-2026</t>
        </is>
      </c>
      <c r="B533" s="1" t="n">
        <v>46085.6434375</v>
      </c>
      <c r="C533" s="1" t="n">
        <v>46106</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53561-2025</t>
        </is>
      </c>
      <c r="B534" s="1" t="n">
        <v>45960.4059375</v>
      </c>
      <c r="C534" s="1" t="n">
        <v>46106</v>
      </c>
      <c r="D534" t="inlineStr">
        <is>
          <t>GOTLANDS LÄN</t>
        </is>
      </c>
      <c r="E534" t="inlineStr">
        <is>
          <t>GOTLAND</t>
        </is>
      </c>
      <c r="F534" t="inlineStr">
        <is>
          <t>Övriga Aktiebolag</t>
        </is>
      </c>
      <c r="G534" t="n">
        <v>2.4</v>
      </c>
      <c r="H534" t="n">
        <v>0</v>
      </c>
      <c r="I534" t="n">
        <v>0</v>
      </c>
      <c r="J534" t="n">
        <v>0</v>
      </c>
      <c r="K534" t="n">
        <v>0</v>
      </c>
      <c r="L534" t="n">
        <v>0</v>
      </c>
      <c r="M534" t="n">
        <v>0</v>
      </c>
      <c r="N534" t="n">
        <v>0</v>
      </c>
      <c r="O534" t="n">
        <v>0</v>
      </c>
      <c r="P534" t="n">
        <v>0</v>
      </c>
      <c r="Q534" t="n">
        <v>0</v>
      </c>
      <c r="R534" s="2" t="inlineStr"/>
    </row>
    <row r="535" ht="15" customHeight="1">
      <c r="A535" t="inlineStr">
        <is>
          <t>A 12135-2026</t>
        </is>
      </c>
      <c r="B535" s="1" t="n">
        <v>46086</v>
      </c>
      <c r="C535" s="1" t="n">
        <v>46106</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43901-2023</t>
        </is>
      </c>
      <c r="B536" s="1" t="n">
        <v>45187</v>
      </c>
      <c r="C536" s="1" t="n">
        <v>46106</v>
      </c>
      <c r="D536" t="inlineStr">
        <is>
          <t>GOTLANDS LÄN</t>
        </is>
      </c>
      <c r="E536" t="inlineStr">
        <is>
          <t>GOTLAND</t>
        </is>
      </c>
      <c r="G536" t="n">
        <v>5.4</v>
      </c>
      <c r="H536" t="n">
        <v>0</v>
      </c>
      <c r="I536" t="n">
        <v>0</v>
      </c>
      <c r="J536" t="n">
        <v>0</v>
      </c>
      <c r="K536" t="n">
        <v>0</v>
      </c>
      <c r="L536" t="n">
        <v>0</v>
      </c>
      <c r="M536" t="n">
        <v>0</v>
      </c>
      <c r="N536" t="n">
        <v>0</v>
      </c>
      <c r="O536" t="n">
        <v>0</v>
      </c>
      <c r="P536" t="n">
        <v>0</v>
      </c>
      <c r="Q536" t="n">
        <v>0</v>
      </c>
      <c r="R536" s="2" t="inlineStr"/>
    </row>
    <row r="537" ht="15" customHeight="1">
      <c r="A537" t="inlineStr">
        <is>
          <t>A 17532-2024</t>
        </is>
      </c>
      <c r="B537" s="1" t="n">
        <v>45415</v>
      </c>
      <c r="C537" s="1" t="n">
        <v>46106</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45692-2023</t>
        </is>
      </c>
      <c r="B538" s="1" t="n">
        <v>45195</v>
      </c>
      <c r="C538" s="1" t="n">
        <v>46106</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60384-2025</t>
        </is>
      </c>
      <c r="B539" s="1" t="n">
        <v>45995</v>
      </c>
      <c r="C539" s="1" t="n">
        <v>46106</v>
      </c>
      <c r="D539" t="inlineStr">
        <is>
          <t>GOTLANDS LÄN</t>
        </is>
      </c>
      <c r="E539" t="inlineStr">
        <is>
          <t>GOTLAND</t>
        </is>
      </c>
      <c r="G539" t="n">
        <v>2.5</v>
      </c>
      <c r="H539" t="n">
        <v>0</v>
      </c>
      <c r="I539" t="n">
        <v>0</v>
      </c>
      <c r="J539" t="n">
        <v>0</v>
      </c>
      <c r="K539" t="n">
        <v>0</v>
      </c>
      <c r="L539" t="n">
        <v>0</v>
      </c>
      <c r="M539" t="n">
        <v>0</v>
      </c>
      <c r="N539" t="n">
        <v>0</v>
      </c>
      <c r="O539" t="n">
        <v>0</v>
      </c>
      <c r="P539" t="n">
        <v>0</v>
      </c>
      <c r="Q539" t="n">
        <v>0</v>
      </c>
      <c r="R539" s="2" t="inlineStr"/>
    </row>
    <row r="540" ht="15" customHeight="1">
      <c r="A540" t="inlineStr">
        <is>
          <t>A 37222-2021</t>
        </is>
      </c>
      <c r="B540" s="1" t="n">
        <v>44396</v>
      </c>
      <c r="C540" s="1" t="n">
        <v>46106</v>
      </c>
      <c r="D540" t="inlineStr">
        <is>
          <t>GOTLANDS LÄN</t>
        </is>
      </c>
      <c r="E540" t="inlineStr">
        <is>
          <t>GOTLAND</t>
        </is>
      </c>
      <c r="G540" t="n">
        <v>3</v>
      </c>
      <c r="H540" t="n">
        <v>0</v>
      </c>
      <c r="I540" t="n">
        <v>0</v>
      </c>
      <c r="J540" t="n">
        <v>0</v>
      </c>
      <c r="K540" t="n">
        <v>0</v>
      </c>
      <c r="L540" t="n">
        <v>0</v>
      </c>
      <c r="M540" t="n">
        <v>0</v>
      </c>
      <c r="N540" t="n">
        <v>0</v>
      </c>
      <c r="O540" t="n">
        <v>0</v>
      </c>
      <c r="P540" t="n">
        <v>0</v>
      </c>
      <c r="Q540" t="n">
        <v>0</v>
      </c>
      <c r="R540" s="2" t="inlineStr"/>
    </row>
    <row r="541" ht="15" customHeight="1">
      <c r="A541" t="inlineStr">
        <is>
          <t>A 46396-2023</t>
        </is>
      </c>
      <c r="B541" s="1" t="n">
        <v>45197</v>
      </c>
      <c r="C541" s="1" t="n">
        <v>46106</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58388-2022</t>
        </is>
      </c>
      <c r="B542" s="1" t="n">
        <v>44894</v>
      </c>
      <c r="C542" s="1" t="n">
        <v>46106</v>
      </c>
      <c r="D542" t="inlineStr">
        <is>
          <t>GOTLANDS LÄN</t>
        </is>
      </c>
      <c r="E542" t="inlineStr">
        <is>
          <t>GOTLAND</t>
        </is>
      </c>
      <c r="F542" t="inlineStr">
        <is>
          <t>Övriga statliga verk och myndigheter</t>
        </is>
      </c>
      <c r="G542" t="n">
        <v>3.1</v>
      </c>
      <c r="H542" t="n">
        <v>0</v>
      </c>
      <c r="I542" t="n">
        <v>0</v>
      </c>
      <c r="J542" t="n">
        <v>0</v>
      </c>
      <c r="K542" t="n">
        <v>0</v>
      </c>
      <c r="L542" t="n">
        <v>0</v>
      </c>
      <c r="M542" t="n">
        <v>0</v>
      </c>
      <c r="N542" t="n">
        <v>0</v>
      </c>
      <c r="O542" t="n">
        <v>0</v>
      </c>
      <c r="P542" t="n">
        <v>0</v>
      </c>
      <c r="Q542" t="n">
        <v>0</v>
      </c>
      <c r="R542" s="2" t="inlineStr"/>
    </row>
    <row r="543" ht="15" customHeight="1">
      <c r="A543" t="inlineStr">
        <is>
          <t>A 1839-2026</t>
        </is>
      </c>
      <c r="B543" s="1" t="n">
        <v>46035.3942824074</v>
      </c>
      <c r="C543" s="1" t="n">
        <v>46106</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4639-2026</t>
        </is>
      </c>
      <c r="B544" s="1" t="n">
        <v>46048.39880787037</v>
      </c>
      <c r="C544" s="1" t="n">
        <v>46106</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4662-2026</t>
        </is>
      </c>
      <c r="B545" s="1" t="n">
        <v>46048.40949074074</v>
      </c>
      <c r="C545" s="1" t="n">
        <v>46106</v>
      </c>
      <c r="D545" t="inlineStr">
        <is>
          <t>GOTLANDS LÄN</t>
        </is>
      </c>
      <c r="E545" t="inlineStr">
        <is>
          <t>GOTLAND</t>
        </is>
      </c>
      <c r="G545" t="n">
        <v>7.6</v>
      </c>
      <c r="H545" t="n">
        <v>0</v>
      </c>
      <c r="I545" t="n">
        <v>0</v>
      </c>
      <c r="J545" t="n">
        <v>0</v>
      </c>
      <c r="K545" t="n">
        <v>0</v>
      </c>
      <c r="L545" t="n">
        <v>0</v>
      </c>
      <c r="M545" t="n">
        <v>0</v>
      </c>
      <c r="N545" t="n">
        <v>0</v>
      </c>
      <c r="O545" t="n">
        <v>0</v>
      </c>
      <c r="P545" t="n">
        <v>0</v>
      </c>
      <c r="Q545" t="n">
        <v>0</v>
      </c>
      <c r="R545" s="2" t="inlineStr"/>
    </row>
    <row r="546" ht="15" customHeight="1">
      <c r="A546" t="inlineStr">
        <is>
          <t>A 63000-2025</t>
        </is>
      </c>
      <c r="B546" s="1" t="n">
        <v>46009</v>
      </c>
      <c r="C546" s="1" t="n">
        <v>46106</v>
      </c>
      <c r="D546" t="inlineStr">
        <is>
          <t>GOTLANDS LÄN</t>
        </is>
      </c>
      <c r="E546" t="inlineStr">
        <is>
          <t>GOTLAND</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4646-2026</t>
        </is>
      </c>
      <c r="B547" s="1" t="n">
        <v>46048.40357638889</v>
      </c>
      <c r="C547" s="1" t="n">
        <v>46106</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4634-2026</t>
        </is>
      </c>
      <c r="B548" s="1" t="n">
        <v>46048.39304398148</v>
      </c>
      <c r="C548" s="1" t="n">
        <v>46106</v>
      </c>
      <c r="D548" t="inlineStr">
        <is>
          <t>GOTLANDS LÄN</t>
        </is>
      </c>
      <c r="E548" t="inlineStr">
        <is>
          <t>GOTLAND</t>
        </is>
      </c>
      <c r="G548" t="n">
        <v>7.8</v>
      </c>
      <c r="H548" t="n">
        <v>0</v>
      </c>
      <c r="I548" t="n">
        <v>0</v>
      </c>
      <c r="J548" t="n">
        <v>0</v>
      </c>
      <c r="K548" t="n">
        <v>0</v>
      </c>
      <c r="L548" t="n">
        <v>0</v>
      </c>
      <c r="M548" t="n">
        <v>0</v>
      </c>
      <c r="N548" t="n">
        <v>0</v>
      </c>
      <c r="O548" t="n">
        <v>0</v>
      </c>
      <c r="P548" t="n">
        <v>0</v>
      </c>
      <c r="Q548" t="n">
        <v>0</v>
      </c>
      <c r="R548" s="2" t="inlineStr"/>
    </row>
    <row r="549" ht="15" customHeight="1">
      <c r="A549" t="inlineStr">
        <is>
          <t>A 4670-2026</t>
        </is>
      </c>
      <c r="B549" s="1" t="n">
        <v>46048.41733796296</v>
      </c>
      <c r="C549" s="1" t="n">
        <v>46106</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62754-2025</t>
        </is>
      </c>
      <c r="B550" s="1" t="n">
        <v>46008</v>
      </c>
      <c r="C550" s="1" t="n">
        <v>46106</v>
      </c>
      <c r="D550" t="inlineStr">
        <is>
          <t>GOTLANDS LÄN</t>
        </is>
      </c>
      <c r="E550" t="inlineStr">
        <is>
          <t>GOTLAND</t>
        </is>
      </c>
      <c r="F550" t="inlineStr">
        <is>
          <t>Övriga Aktiebolag</t>
        </is>
      </c>
      <c r="G550" t="n">
        <v>2.9</v>
      </c>
      <c r="H550" t="n">
        <v>0</v>
      </c>
      <c r="I550" t="n">
        <v>0</v>
      </c>
      <c r="J550" t="n">
        <v>0</v>
      </c>
      <c r="K550" t="n">
        <v>0</v>
      </c>
      <c r="L550" t="n">
        <v>0</v>
      </c>
      <c r="M550" t="n">
        <v>0</v>
      </c>
      <c r="N550" t="n">
        <v>0</v>
      </c>
      <c r="O550" t="n">
        <v>0</v>
      </c>
      <c r="P550" t="n">
        <v>0</v>
      </c>
      <c r="Q550" t="n">
        <v>0</v>
      </c>
      <c r="R550" s="2" t="inlineStr"/>
    </row>
    <row r="551" ht="15" customHeight="1">
      <c r="A551" t="inlineStr">
        <is>
          <t>A 62751-2025</t>
        </is>
      </c>
      <c r="B551" s="1" t="n">
        <v>46008</v>
      </c>
      <c r="C551" s="1" t="n">
        <v>46106</v>
      </c>
      <c r="D551" t="inlineStr">
        <is>
          <t>GOTLANDS LÄN</t>
        </is>
      </c>
      <c r="E551" t="inlineStr">
        <is>
          <t>GOTLAND</t>
        </is>
      </c>
      <c r="F551" t="inlineStr">
        <is>
          <t>Övriga Aktiebolag</t>
        </is>
      </c>
      <c r="G551" t="n">
        <v>7.8</v>
      </c>
      <c r="H551" t="n">
        <v>0</v>
      </c>
      <c r="I551" t="n">
        <v>0</v>
      </c>
      <c r="J551" t="n">
        <v>0</v>
      </c>
      <c r="K551" t="n">
        <v>0</v>
      </c>
      <c r="L551" t="n">
        <v>0</v>
      </c>
      <c r="M551" t="n">
        <v>0</v>
      </c>
      <c r="N551" t="n">
        <v>0</v>
      </c>
      <c r="O551" t="n">
        <v>0</v>
      </c>
      <c r="P551" t="n">
        <v>0</v>
      </c>
      <c r="Q551" t="n">
        <v>0</v>
      </c>
      <c r="R551" s="2" t="inlineStr"/>
    </row>
    <row r="552" ht="15" customHeight="1">
      <c r="A552" t="inlineStr">
        <is>
          <t>A 53934-2024</t>
        </is>
      </c>
      <c r="B552" s="1" t="n">
        <v>45615</v>
      </c>
      <c r="C552" s="1" t="n">
        <v>46106</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58132-2023</t>
        </is>
      </c>
      <c r="B553" s="1" t="n">
        <v>45250</v>
      </c>
      <c r="C553" s="1" t="n">
        <v>46106</v>
      </c>
      <c r="D553" t="inlineStr">
        <is>
          <t>GOTLANDS LÄN</t>
        </is>
      </c>
      <c r="E553" t="inlineStr">
        <is>
          <t>GOTLAND</t>
        </is>
      </c>
      <c r="G553" t="n">
        <v>3.1</v>
      </c>
      <c r="H553" t="n">
        <v>0</v>
      </c>
      <c r="I553" t="n">
        <v>0</v>
      </c>
      <c r="J553" t="n">
        <v>0</v>
      </c>
      <c r="K553" t="n">
        <v>0</v>
      </c>
      <c r="L553" t="n">
        <v>0</v>
      </c>
      <c r="M553" t="n">
        <v>0</v>
      </c>
      <c r="N553" t="n">
        <v>0</v>
      </c>
      <c r="O553" t="n">
        <v>0</v>
      </c>
      <c r="P553" t="n">
        <v>0</v>
      </c>
      <c r="Q553" t="n">
        <v>0</v>
      </c>
      <c r="R553" s="2" t="inlineStr"/>
    </row>
    <row r="554" ht="15" customHeight="1">
      <c r="A554" t="inlineStr">
        <is>
          <t>A 22899-2023</t>
        </is>
      </c>
      <c r="B554" s="1" t="n">
        <v>45072</v>
      </c>
      <c r="C554" s="1" t="n">
        <v>46106</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28285-2024</t>
        </is>
      </c>
      <c r="B555" s="1" t="n">
        <v>45477</v>
      </c>
      <c r="C555" s="1" t="n">
        <v>46106</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51963-2024</t>
        </is>
      </c>
      <c r="B556" s="1" t="n">
        <v>45607.64833333333</v>
      </c>
      <c r="C556" s="1" t="n">
        <v>46106</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1854-2026</t>
        </is>
      </c>
      <c r="B557" s="1" t="n">
        <v>46035.4171875</v>
      </c>
      <c r="C557" s="1" t="n">
        <v>46106</v>
      </c>
      <c r="D557" t="inlineStr">
        <is>
          <t>GOTLANDS LÄN</t>
        </is>
      </c>
      <c r="E557" t="inlineStr">
        <is>
          <t>GOTLAND</t>
        </is>
      </c>
      <c r="G557" t="n">
        <v>3</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46106</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46106</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13482-2026</t>
        </is>
      </c>
      <c r="B560" s="1" t="n">
        <v>46094</v>
      </c>
      <c r="C560" s="1" t="n">
        <v>46106</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2674-2023</t>
        </is>
      </c>
      <c r="B561" s="1" t="n">
        <v>44944</v>
      </c>
      <c r="C561" s="1" t="n">
        <v>46106</v>
      </c>
      <c r="D561" t="inlineStr">
        <is>
          <t>GOTLANDS LÄN</t>
        </is>
      </c>
      <c r="E561" t="inlineStr">
        <is>
          <t>GOTLAND</t>
        </is>
      </c>
      <c r="G561" t="n">
        <v>2.5</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46106</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13486-2026</t>
        </is>
      </c>
      <c r="B563" s="1" t="n">
        <v>46094</v>
      </c>
      <c r="C563" s="1" t="n">
        <v>46106</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46106</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10655-2023</t>
        </is>
      </c>
      <c r="B565" s="1" t="n">
        <v>44988.49543981482</v>
      </c>
      <c r="C565" s="1" t="n">
        <v>46106</v>
      </c>
      <c r="D565" t="inlineStr">
        <is>
          <t>GOTLANDS LÄN</t>
        </is>
      </c>
      <c r="E565" t="inlineStr">
        <is>
          <t>GOTLAND</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6207-2026</t>
        </is>
      </c>
      <c r="B566" s="1" t="n">
        <v>46055.42083333333</v>
      </c>
      <c r="C566" s="1" t="n">
        <v>46106</v>
      </c>
      <c r="D566" t="inlineStr">
        <is>
          <t>GOTLANDS LÄN</t>
        </is>
      </c>
      <c r="E566" t="inlineStr">
        <is>
          <t>GOTLAND</t>
        </is>
      </c>
      <c r="G566" t="n">
        <v>7.6</v>
      </c>
      <c r="H566" t="n">
        <v>0</v>
      </c>
      <c r="I566" t="n">
        <v>0</v>
      </c>
      <c r="J566" t="n">
        <v>0</v>
      </c>
      <c r="K566" t="n">
        <v>0</v>
      </c>
      <c r="L566" t="n">
        <v>0</v>
      </c>
      <c r="M566" t="n">
        <v>0</v>
      </c>
      <c r="N566" t="n">
        <v>0</v>
      </c>
      <c r="O566" t="n">
        <v>0</v>
      </c>
      <c r="P566" t="n">
        <v>0</v>
      </c>
      <c r="Q566" t="n">
        <v>0</v>
      </c>
      <c r="R566" s="2" t="inlineStr"/>
    </row>
    <row r="567" ht="15" customHeight="1">
      <c r="A567" t="inlineStr">
        <is>
          <t>A 6218-2026</t>
        </is>
      </c>
      <c r="B567" s="1" t="n">
        <v>46055.42859953704</v>
      </c>
      <c r="C567" s="1" t="n">
        <v>46106</v>
      </c>
      <c r="D567" t="inlineStr">
        <is>
          <t>GOTLANDS LÄN</t>
        </is>
      </c>
      <c r="E567" t="inlineStr">
        <is>
          <t>GOTLAND</t>
        </is>
      </c>
      <c r="G567" t="n">
        <v>4.3</v>
      </c>
      <c r="H567" t="n">
        <v>0</v>
      </c>
      <c r="I567" t="n">
        <v>0</v>
      </c>
      <c r="J567" t="n">
        <v>0</v>
      </c>
      <c r="K567" t="n">
        <v>0</v>
      </c>
      <c r="L567" t="n">
        <v>0</v>
      </c>
      <c r="M567" t="n">
        <v>0</v>
      </c>
      <c r="N567" t="n">
        <v>0</v>
      </c>
      <c r="O567" t="n">
        <v>0</v>
      </c>
      <c r="P567" t="n">
        <v>0</v>
      </c>
      <c r="Q567" t="n">
        <v>0</v>
      </c>
      <c r="R567" s="2" t="inlineStr"/>
    </row>
    <row r="568" ht="15" customHeight="1">
      <c r="A568" t="inlineStr">
        <is>
          <t>A 44649-2021</t>
        </is>
      </c>
      <c r="B568" s="1" t="n">
        <v>44437</v>
      </c>
      <c r="C568" s="1" t="n">
        <v>46106</v>
      </c>
      <c r="D568" t="inlineStr">
        <is>
          <t>GOTLANDS LÄN</t>
        </is>
      </c>
      <c r="E568" t="inlineStr">
        <is>
          <t>GOTLAND</t>
        </is>
      </c>
      <c r="G568" t="n">
        <v>8.1</v>
      </c>
      <c r="H568" t="n">
        <v>0</v>
      </c>
      <c r="I568" t="n">
        <v>0</v>
      </c>
      <c r="J568" t="n">
        <v>0</v>
      </c>
      <c r="K568" t="n">
        <v>0</v>
      </c>
      <c r="L568" t="n">
        <v>0</v>
      </c>
      <c r="M568" t="n">
        <v>0</v>
      </c>
      <c r="N568" t="n">
        <v>0</v>
      </c>
      <c r="O568" t="n">
        <v>0</v>
      </c>
      <c r="P568" t="n">
        <v>0</v>
      </c>
      <c r="Q568" t="n">
        <v>0</v>
      </c>
      <c r="R568" s="2" t="inlineStr"/>
    </row>
    <row r="569" ht="15" customHeight="1">
      <c r="A569" t="inlineStr">
        <is>
          <t>A 8484-2025</t>
        </is>
      </c>
      <c r="B569" s="1" t="n">
        <v>45709</v>
      </c>
      <c r="C569" s="1" t="n">
        <v>46106</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6959-2026</t>
        </is>
      </c>
      <c r="B570" s="1" t="n">
        <v>46057.580625</v>
      </c>
      <c r="C570" s="1" t="n">
        <v>46106</v>
      </c>
      <c r="D570" t="inlineStr">
        <is>
          <t>GOTLANDS LÄN</t>
        </is>
      </c>
      <c r="E570" t="inlineStr">
        <is>
          <t>GOTLAND</t>
        </is>
      </c>
      <c r="F570" t="inlineStr">
        <is>
          <t>Kyrkan</t>
        </is>
      </c>
      <c r="G570" t="n">
        <v>1.2</v>
      </c>
      <c r="H570" t="n">
        <v>0</v>
      </c>
      <c r="I570" t="n">
        <v>0</v>
      </c>
      <c r="J570" t="n">
        <v>0</v>
      </c>
      <c r="K570" t="n">
        <v>0</v>
      </c>
      <c r="L570" t="n">
        <v>0</v>
      </c>
      <c r="M570" t="n">
        <v>0</v>
      </c>
      <c r="N570" t="n">
        <v>0</v>
      </c>
      <c r="O570" t="n">
        <v>0</v>
      </c>
      <c r="P570" t="n">
        <v>0</v>
      </c>
      <c r="Q570" t="n">
        <v>0</v>
      </c>
      <c r="R570" s="2" t="inlineStr"/>
    </row>
    <row r="571" ht="15" customHeight="1">
      <c r="A571" t="inlineStr">
        <is>
          <t>A 3067-2026</t>
        </is>
      </c>
      <c r="B571" s="1" t="n">
        <v>46040.59025462963</v>
      </c>
      <c r="C571" s="1" t="n">
        <v>46106</v>
      </c>
      <c r="D571" t="inlineStr">
        <is>
          <t>GOTLANDS LÄN</t>
        </is>
      </c>
      <c r="E571" t="inlineStr">
        <is>
          <t>GOTLAND</t>
        </is>
      </c>
      <c r="G571" t="n">
        <v>7.8</v>
      </c>
      <c r="H571" t="n">
        <v>0</v>
      </c>
      <c r="I571" t="n">
        <v>0</v>
      </c>
      <c r="J571" t="n">
        <v>0</v>
      </c>
      <c r="K571" t="n">
        <v>0</v>
      </c>
      <c r="L571" t="n">
        <v>0</v>
      </c>
      <c r="M571" t="n">
        <v>0</v>
      </c>
      <c r="N571" t="n">
        <v>0</v>
      </c>
      <c r="O571" t="n">
        <v>0</v>
      </c>
      <c r="P571" t="n">
        <v>0</v>
      </c>
      <c r="Q571" t="n">
        <v>0</v>
      </c>
      <c r="R571" s="2" t="inlineStr"/>
    </row>
    <row r="572" ht="15" customHeight="1">
      <c r="A572" t="inlineStr">
        <is>
          <t>A 49962-2023</t>
        </is>
      </c>
      <c r="B572" s="1" t="n">
        <v>45215.38775462963</v>
      </c>
      <c r="C572" s="1" t="n">
        <v>46106</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50744-2024</t>
        </is>
      </c>
      <c r="B573" s="1" t="n">
        <v>45602.4187037037</v>
      </c>
      <c r="C573" s="1" t="n">
        <v>46106</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45244-2024</t>
        </is>
      </c>
      <c r="B574" s="1" t="n">
        <v>45576</v>
      </c>
      <c r="C574" s="1" t="n">
        <v>46106</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38787-2023</t>
        </is>
      </c>
      <c r="B575" s="1" t="n">
        <v>45163</v>
      </c>
      <c r="C575" s="1" t="n">
        <v>46106</v>
      </c>
      <c r="D575" t="inlineStr">
        <is>
          <t>GOTLANDS LÄN</t>
        </is>
      </c>
      <c r="E575" t="inlineStr">
        <is>
          <t>GOTLAND</t>
        </is>
      </c>
      <c r="G575" t="n">
        <v>0.4</v>
      </c>
      <c r="H575" t="n">
        <v>0</v>
      </c>
      <c r="I575" t="n">
        <v>0</v>
      </c>
      <c r="J575" t="n">
        <v>0</v>
      </c>
      <c r="K575" t="n">
        <v>0</v>
      </c>
      <c r="L575" t="n">
        <v>0</v>
      </c>
      <c r="M575" t="n">
        <v>0</v>
      </c>
      <c r="N575" t="n">
        <v>0</v>
      </c>
      <c r="O575" t="n">
        <v>0</v>
      </c>
      <c r="P575" t="n">
        <v>0</v>
      </c>
      <c r="Q575" t="n">
        <v>0</v>
      </c>
      <c r="R575" s="2" t="inlineStr"/>
    </row>
    <row r="576" ht="15" customHeight="1">
      <c r="A576" t="inlineStr">
        <is>
          <t>A 2714-2023</t>
        </is>
      </c>
      <c r="B576" s="1" t="n">
        <v>44944.54896990741</v>
      </c>
      <c r="C576" s="1" t="n">
        <v>46106</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22897-2023</t>
        </is>
      </c>
      <c r="B577" s="1" t="n">
        <v>45072.55239583334</v>
      </c>
      <c r="C577" s="1" t="n">
        <v>46106</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4568-2025</t>
        </is>
      </c>
      <c r="B578" s="1" t="n">
        <v>45687</v>
      </c>
      <c r="C578" s="1" t="n">
        <v>46106</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44938.39715277778</v>
      </c>
      <c r="C579" s="1" t="n">
        <v>46106</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42338-2023</t>
        </is>
      </c>
      <c r="B580" s="1" t="n">
        <v>45180</v>
      </c>
      <c r="C580" s="1" t="n">
        <v>46106</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18918-2025</t>
        </is>
      </c>
      <c r="B581" s="1" t="n">
        <v>45764</v>
      </c>
      <c r="C581" s="1" t="n">
        <v>46106</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11013-2024</t>
        </is>
      </c>
      <c r="B582" s="1" t="n">
        <v>45370</v>
      </c>
      <c r="C582" s="1" t="n">
        <v>46106</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45084-2024</t>
        </is>
      </c>
      <c r="B583" s="1" t="n">
        <v>45575</v>
      </c>
      <c r="C583" s="1" t="n">
        <v>46106</v>
      </c>
      <c r="D583" t="inlineStr">
        <is>
          <t>GOTLANDS LÄN</t>
        </is>
      </c>
      <c r="E583" t="inlineStr">
        <is>
          <t>GOTLAND</t>
        </is>
      </c>
      <c r="G583" t="n">
        <v>6.8</v>
      </c>
      <c r="H583" t="n">
        <v>0</v>
      </c>
      <c r="I583" t="n">
        <v>0</v>
      </c>
      <c r="J583" t="n">
        <v>0</v>
      </c>
      <c r="K583" t="n">
        <v>0</v>
      </c>
      <c r="L583" t="n">
        <v>0</v>
      </c>
      <c r="M583" t="n">
        <v>0</v>
      </c>
      <c r="N583" t="n">
        <v>0</v>
      </c>
      <c r="O583" t="n">
        <v>0</v>
      </c>
      <c r="P583" t="n">
        <v>0</v>
      </c>
      <c r="Q583" t="n">
        <v>0</v>
      </c>
      <c r="R583" s="2" t="inlineStr"/>
    </row>
    <row r="584" ht="15" customHeight="1">
      <c r="A584" t="inlineStr">
        <is>
          <t>A 20356-2022</t>
        </is>
      </c>
      <c r="B584" s="1" t="n">
        <v>44699</v>
      </c>
      <c r="C584" s="1" t="n">
        <v>46106</v>
      </c>
      <c r="D584" t="inlineStr">
        <is>
          <t>GOTLANDS LÄN</t>
        </is>
      </c>
      <c r="E584" t="inlineStr">
        <is>
          <t>GOTLAND</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4868-2024</t>
        </is>
      </c>
      <c r="B585" s="1" t="n">
        <v>45329</v>
      </c>
      <c r="C585" s="1" t="n">
        <v>46106</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9613-2025</t>
        </is>
      </c>
      <c r="B586" s="1" t="n">
        <v>45715</v>
      </c>
      <c r="C586" s="1" t="n">
        <v>46106</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5386-2023</t>
        </is>
      </c>
      <c r="B587" s="1" t="n">
        <v>44959</v>
      </c>
      <c r="C587" s="1" t="n">
        <v>46106</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58211-2024</t>
        </is>
      </c>
      <c r="B588" s="1" t="n">
        <v>45632.49292824074</v>
      </c>
      <c r="C588" s="1" t="n">
        <v>46106</v>
      </c>
      <c r="D588" t="inlineStr">
        <is>
          <t>GOTLANDS LÄN</t>
        </is>
      </c>
      <c r="E588" t="inlineStr">
        <is>
          <t>GOTLAND</t>
        </is>
      </c>
      <c r="G588" t="n">
        <v>5.4</v>
      </c>
      <c r="H588" t="n">
        <v>0</v>
      </c>
      <c r="I588" t="n">
        <v>0</v>
      </c>
      <c r="J588" t="n">
        <v>0</v>
      </c>
      <c r="K588" t="n">
        <v>0</v>
      </c>
      <c r="L588" t="n">
        <v>0</v>
      </c>
      <c r="M588" t="n">
        <v>0</v>
      </c>
      <c r="N588" t="n">
        <v>0</v>
      </c>
      <c r="O588" t="n">
        <v>0</v>
      </c>
      <c r="P588" t="n">
        <v>0</v>
      </c>
      <c r="Q588" t="n">
        <v>0</v>
      </c>
      <c r="R588" s="2" t="inlineStr"/>
    </row>
    <row r="589" ht="15" customHeight="1">
      <c r="A589" t="inlineStr">
        <is>
          <t>A 11634-2024</t>
        </is>
      </c>
      <c r="B589" s="1" t="n">
        <v>45373</v>
      </c>
      <c r="C589" s="1" t="n">
        <v>46106</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5884-2025</t>
        </is>
      </c>
      <c r="B590" s="1" t="n">
        <v>45695.37482638889</v>
      </c>
      <c r="C590" s="1" t="n">
        <v>46106</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5897-2025</t>
        </is>
      </c>
      <c r="B591" s="1" t="n">
        <v>45695.39273148148</v>
      </c>
      <c r="C591" s="1" t="n">
        <v>46106</v>
      </c>
      <c r="D591" t="inlineStr">
        <is>
          <t>GOTLANDS LÄN</t>
        </is>
      </c>
      <c r="E591" t="inlineStr">
        <is>
          <t>GOTLAND</t>
        </is>
      </c>
      <c r="G591" t="n">
        <v>3.7</v>
      </c>
      <c r="H591" t="n">
        <v>0</v>
      </c>
      <c r="I591" t="n">
        <v>0</v>
      </c>
      <c r="J591" t="n">
        <v>0</v>
      </c>
      <c r="K591" t="n">
        <v>0</v>
      </c>
      <c r="L591" t="n">
        <v>0</v>
      </c>
      <c r="M591" t="n">
        <v>0</v>
      </c>
      <c r="N591" t="n">
        <v>0</v>
      </c>
      <c r="O591" t="n">
        <v>0</v>
      </c>
      <c r="P591" t="n">
        <v>0</v>
      </c>
      <c r="Q591" t="n">
        <v>0</v>
      </c>
      <c r="R591" s="2" t="inlineStr"/>
    </row>
    <row r="592" ht="15" customHeight="1">
      <c r="A592" t="inlineStr">
        <is>
          <t>A 5909-2025</t>
        </is>
      </c>
      <c r="B592" s="1" t="n">
        <v>45695.40634259259</v>
      </c>
      <c r="C592" s="1" t="n">
        <v>46106</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60086-2022</t>
        </is>
      </c>
      <c r="B593" s="1" t="n">
        <v>44909</v>
      </c>
      <c r="C593" s="1" t="n">
        <v>46106</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22704-2023</t>
        </is>
      </c>
      <c r="B594" s="1" t="n">
        <v>45071</v>
      </c>
      <c r="C594" s="1" t="n">
        <v>46106</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25866-2022</t>
        </is>
      </c>
      <c r="B595" s="1" t="n">
        <v>44733</v>
      </c>
      <c r="C595" s="1" t="n">
        <v>46106</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9887-2025</t>
        </is>
      </c>
      <c r="B596" s="1" t="n">
        <v>45716</v>
      </c>
      <c r="C596" s="1" t="n">
        <v>46106</v>
      </c>
      <c r="D596" t="inlineStr">
        <is>
          <t>GOTLANDS LÄN</t>
        </is>
      </c>
      <c r="E596" t="inlineStr">
        <is>
          <t>GOTLAND</t>
        </is>
      </c>
      <c r="G596" t="n">
        <v>7.5</v>
      </c>
      <c r="H596" t="n">
        <v>0</v>
      </c>
      <c r="I596" t="n">
        <v>0</v>
      </c>
      <c r="J596" t="n">
        <v>0</v>
      </c>
      <c r="K596" t="n">
        <v>0</v>
      </c>
      <c r="L596" t="n">
        <v>0</v>
      </c>
      <c r="M596" t="n">
        <v>0</v>
      </c>
      <c r="N596" t="n">
        <v>0</v>
      </c>
      <c r="O596" t="n">
        <v>0</v>
      </c>
      <c r="P596" t="n">
        <v>0</v>
      </c>
      <c r="Q596" t="n">
        <v>0</v>
      </c>
      <c r="R596" s="2" t="inlineStr"/>
    </row>
    <row r="597" ht="15" customHeight="1">
      <c r="A597" t="inlineStr">
        <is>
          <t>A 12209-2024</t>
        </is>
      </c>
      <c r="B597" s="1" t="n">
        <v>45378</v>
      </c>
      <c r="C597" s="1" t="n">
        <v>46106</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12210-2024</t>
        </is>
      </c>
      <c r="B598" s="1" t="n">
        <v>45378</v>
      </c>
      <c r="C598" s="1" t="n">
        <v>46106</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46106</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31802-2024</t>
        </is>
      </c>
      <c r="B600" s="1" t="n">
        <v>45509</v>
      </c>
      <c r="C600" s="1" t="n">
        <v>46106</v>
      </c>
      <c r="D600" t="inlineStr">
        <is>
          <t>GOTLANDS LÄN</t>
        </is>
      </c>
      <c r="E600" t="inlineStr">
        <is>
          <t>GOTLAND</t>
        </is>
      </c>
      <c r="G600" t="n">
        <v>2.8</v>
      </c>
      <c r="H600" t="n">
        <v>0</v>
      </c>
      <c r="I600" t="n">
        <v>0</v>
      </c>
      <c r="J600" t="n">
        <v>0</v>
      </c>
      <c r="K600" t="n">
        <v>0</v>
      </c>
      <c r="L600" t="n">
        <v>0</v>
      </c>
      <c r="M600" t="n">
        <v>0</v>
      </c>
      <c r="N600" t="n">
        <v>0</v>
      </c>
      <c r="O600" t="n">
        <v>0</v>
      </c>
      <c r="P600" t="n">
        <v>0</v>
      </c>
      <c r="Q600" t="n">
        <v>0</v>
      </c>
      <c r="R600" s="2" t="inlineStr"/>
    </row>
    <row r="601" ht="15" customHeight="1">
      <c r="A601" t="inlineStr">
        <is>
          <t>A 20993-2023</t>
        </is>
      </c>
      <c r="B601" s="1" t="n">
        <v>45056</v>
      </c>
      <c r="C601" s="1" t="n">
        <v>46106</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15042-2025</t>
        </is>
      </c>
      <c r="B602" s="1" t="n">
        <v>45743</v>
      </c>
      <c r="C602" s="1" t="n">
        <v>46106</v>
      </c>
      <c r="D602" t="inlineStr">
        <is>
          <t>GOTLANDS LÄN</t>
        </is>
      </c>
      <c r="E602" t="inlineStr">
        <is>
          <t>GOTLAND</t>
        </is>
      </c>
      <c r="G602" t="n">
        <v>8.5</v>
      </c>
      <c r="H602" t="n">
        <v>0</v>
      </c>
      <c r="I602" t="n">
        <v>0</v>
      </c>
      <c r="J602" t="n">
        <v>0</v>
      </c>
      <c r="K602" t="n">
        <v>0</v>
      </c>
      <c r="L602" t="n">
        <v>0</v>
      </c>
      <c r="M602" t="n">
        <v>0</v>
      </c>
      <c r="N602" t="n">
        <v>0</v>
      </c>
      <c r="O602" t="n">
        <v>0</v>
      </c>
      <c r="P602" t="n">
        <v>0</v>
      </c>
      <c r="Q602" t="n">
        <v>0</v>
      </c>
      <c r="R602" s="2" t="inlineStr"/>
    </row>
    <row r="603" ht="15" customHeight="1">
      <c r="A603" t="inlineStr">
        <is>
          <t>A 12327-2025</t>
        </is>
      </c>
      <c r="B603" s="1" t="n">
        <v>45730</v>
      </c>
      <c r="C603" s="1" t="n">
        <v>46106</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4420-2025</t>
        </is>
      </c>
      <c r="B604" s="1" t="n">
        <v>45686.47157407407</v>
      </c>
      <c r="C604" s="1" t="n">
        <v>46106</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14427-2024</t>
        </is>
      </c>
      <c r="B605" s="1" t="n">
        <v>45394</v>
      </c>
      <c r="C605" s="1" t="n">
        <v>46106</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49257-2024</t>
        </is>
      </c>
      <c r="B606" s="1" t="n">
        <v>45595.47627314815</v>
      </c>
      <c r="C606" s="1" t="n">
        <v>46106</v>
      </c>
      <c r="D606" t="inlineStr">
        <is>
          <t>GOTLANDS LÄN</t>
        </is>
      </c>
      <c r="E606" t="inlineStr">
        <is>
          <t>GOTLAND</t>
        </is>
      </c>
      <c r="G606" t="n">
        <v>6.3</v>
      </c>
      <c r="H606" t="n">
        <v>0</v>
      </c>
      <c r="I606" t="n">
        <v>0</v>
      </c>
      <c r="J606" t="n">
        <v>0</v>
      </c>
      <c r="K606" t="n">
        <v>0</v>
      </c>
      <c r="L606" t="n">
        <v>0</v>
      </c>
      <c r="M606" t="n">
        <v>0</v>
      </c>
      <c r="N606" t="n">
        <v>0</v>
      </c>
      <c r="O606" t="n">
        <v>0</v>
      </c>
      <c r="P606" t="n">
        <v>0</v>
      </c>
      <c r="Q606" t="n">
        <v>0</v>
      </c>
      <c r="R606" s="2" t="inlineStr"/>
    </row>
    <row r="607" ht="15" customHeight="1">
      <c r="A607" t="inlineStr">
        <is>
          <t>A 49315-2024</t>
        </is>
      </c>
      <c r="B607" s="1" t="n">
        <v>45595</v>
      </c>
      <c r="C607" s="1" t="n">
        <v>46106</v>
      </c>
      <c r="D607" t="inlineStr">
        <is>
          <t>GOTLANDS LÄN</t>
        </is>
      </c>
      <c r="E607" t="inlineStr">
        <is>
          <t>GOTLAND</t>
        </is>
      </c>
      <c r="G607" t="n">
        <v>1.5</v>
      </c>
      <c r="H607" t="n">
        <v>0</v>
      </c>
      <c r="I607" t="n">
        <v>0</v>
      </c>
      <c r="J607" t="n">
        <v>0</v>
      </c>
      <c r="K607" t="n">
        <v>0</v>
      </c>
      <c r="L607" t="n">
        <v>0</v>
      </c>
      <c r="M607" t="n">
        <v>0</v>
      </c>
      <c r="N607" t="n">
        <v>0</v>
      </c>
      <c r="O607" t="n">
        <v>0</v>
      </c>
      <c r="P607" t="n">
        <v>0</v>
      </c>
      <c r="Q607" t="n">
        <v>0</v>
      </c>
      <c r="R607" s="2" t="inlineStr"/>
    </row>
    <row r="608" ht="15" customHeight="1">
      <c r="A608" t="inlineStr">
        <is>
          <t>A 27596-2023</t>
        </is>
      </c>
      <c r="B608" s="1" t="n">
        <v>45097</v>
      </c>
      <c r="C608" s="1" t="n">
        <v>46106</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56115-2023</t>
        </is>
      </c>
      <c r="B609" s="1" t="n">
        <v>45236</v>
      </c>
      <c r="C609" s="1" t="n">
        <v>46106</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64969-2023</t>
        </is>
      </c>
      <c r="B610" s="1" t="n">
        <v>45284.54009259259</v>
      </c>
      <c r="C610" s="1" t="n">
        <v>46106</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33853-2024</t>
        </is>
      </c>
      <c r="B611" s="1" t="n">
        <v>45520.64298611111</v>
      </c>
      <c r="C611" s="1" t="n">
        <v>46106</v>
      </c>
      <c r="D611" t="inlineStr">
        <is>
          <t>GOTLANDS LÄN</t>
        </is>
      </c>
      <c r="E611" t="inlineStr">
        <is>
          <t>GOTLAND</t>
        </is>
      </c>
      <c r="G611" t="n">
        <v>3.9</v>
      </c>
      <c r="H611" t="n">
        <v>0</v>
      </c>
      <c r="I611" t="n">
        <v>0</v>
      </c>
      <c r="J611" t="n">
        <v>0</v>
      </c>
      <c r="K611" t="n">
        <v>0</v>
      </c>
      <c r="L611" t="n">
        <v>0</v>
      </c>
      <c r="M611" t="n">
        <v>0</v>
      </c>
      <c r="N611" t="n">
        <v>0</v>
      </c>
      <c r="O611" t="n">
        <v>0</v>
      </c>
      <c r="P611" t="n">
        <v>0</v>
      </c>
      <c r="Q611" t="n">
        <v>0</v>
      </c>
      <c r="R611" s="2" t="inlineStr"/>
    </row>
    <row r="612" ht="15" customHeight="1">
      <c r="A612" t="inlineStr">
        <is>
          <t>A 18223-2025</t>
        </is>
      </c>
      <c r="B612" s="1" t="n">
        <v>45761</v>
      </c>
      <c r="C612" s="1" t="n">
        <v>46106</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46949-2024</t>
        </is>
      </c>
      <c r="B613" s="1" t="n">
        <v>45585</v>
      </c>
      <c r="C613" s="1" t="n">
        <v>46106</v>
      </c>
      <c r="D613" t="inlineStr">
        <is>
          <t>GOTLANDS LÄN</t>
        </is>
      </c>
      <c r="E613" t="inlineStr">
        <is>
          <t>GOTLAND</t>
        </is>
      </c>
      <c r="G613" t="n">
        <v>0.6</v>
      </c>
      <c r="H613" t="n">
        <v>0</v>
      </c>
      <c r="I613" t="n">
        <v>0</v>
      </c>
      <c r="J613" t="n">
        <v>0</v>
      </c>
      <c r="K613" t="n">
        <v>0</v>
      </c>
      <c r="L613" t="n">
        <v>0</v>
      </c>
      <c r="M613" t="n">
        <v>0</v>
      </c>
      <c r="N613" t="n">
        <v>0</v>
      </c>
      <c r="O613" t="n">
        <v>0</v>
      </c>
      <c r="P613" t="n">
        <v>0</v>
      </c>
      <c r="Q613" t="n">
        <v>0</v>
      </c>
      <c r="R613" s="2" t="inlineStr"/>
    </row>
    <row r="614" ht="15" customHeight="1">
      <c r="A614" t="inlineStr">
        <is>
          <t>A 24001-2021</t>
        </is>
      </c>
      <c r="B614" s="1" t="n">
        <v>44335</v>
      </c>
      <c r="C614" s="1" t="n">
        <v>46106</v>
      </c>
      <c r="D614" t="inlineStr">
        <is>
          <t>GOTLANDS LÄN</t>
        </is>
      </c>
      <c r="E614" t="inlineStr">
        <is>
          <t>GOTLAND</t>
        </is>
      </c>
      <c r="G614" t="n">
        <v>3.4</v>
      </c>
      <c r="H614" t="n">
        <v>0</v>
      </c>
      <c r="I614" t="n">
        <v>0</v>
      </c>
      <c r="J614" t="n">
        <v>0</v>
      </c>
      <c r="K614" t="n">
        <v>0</v>
      </c>
      <c r="L614" t="n">
        <v>0</v>
      </c>
      <c r="M614" t="n">
        <v>0</v>
      </c>
      <c r="N614" t="n">
        <v>0</v>
      </c>
      <c r="O614" t="n">
        <v>0</v>
      </c>
      <c r="P614" t="n">
        <v>0</v>
      </c>
      <c r="Q614" t="n">
        <v>0</v>
      </c>
      <c r="R614" s="2" t="inlineStr"/>
    </row>
    <row r="615" ht="15" customHeight="1">
      <c r="A615" t="inlineStr">
        <is>
          <t>A 39479-2022</t>
        </is>
      </c>
      <c r="B615" s="1" t="n">
        <v>44818</v>
      </c>
      <c r="C615" s="1" t="n">
        <v>46106</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39496-2022</t>
        </is>
      </c>
      <c r="B616" s="1" t="n">
        <v>44818</v>
      </c>
      <c r="C616" s="1" t="n">
        <v>46106</v>
      </c>
      <c r="D616" t="inlineStr">
        <is>
          <t>GOTLANDS LÄN</t>
        </is>
      </c>
      <c r="E616" t="inlineStr">
        <is>
          <t>GOTLAND</t>
        </is>
      </c>
      <c r="G616" t="n">
        <v>2.4</v>
      </c>
      <c r="H616" t="n">
        <v>0</v>
      </c>
      <c r="I616" t="n">
        <v>0</v>
      </c>
      <c r="J616" t="n">
        <v>0</v>
      </c>
      <c r="K616" t="n">
        <v>0</v>
      </c>
      <c r="L616" t="n">
        <v>0</v>
      </c>
      <c r="M616" t="n">
        <v>0</v>
      </c>
      <c r="N616" t="n">
        <v>0</v>
      </c>
      <c r="O616" t="n">
        <v>0</v>
      </c>
      <c r="P616" t="n">
        <v>0</v>
      </c>
      <c r="Q616" t="n">
        <v>0</v>
      </c>
      <c r="R616" s="2" t="inlineStr"/>
    </row>
    <row r="617" ht="15" customHeight="1">
      <c r="A617" t="inlineStr">
        <is>
          <t>A 46389-2021</t>
        </is>
      </c>
      <c r="B617" s="1" t="n">
        <v>44443</v>
      </c>
      <c r="C617" s="1" t="n">
        <v>46106</v>
      </c>
      <c r="D617" t="inlineStr">
        <is>
          <t>GOTLANDS LÄN</t>
        </is>
      </c>
      <c r="E617" t="inlineStr">
        <is>
          <t>GOTLAND</t>
        </is>
      </c>
      <c r="F617" t="inlineStr">
        <is>
          <t>Kyrkan</t>
        </is>
      </c>
      <c r="G617" t="n">
        <v>2.1</v>
      </c>
      <c r="H617" t="n">
        <v>0</v>
      </c>
      <c r="I617" t="n">
        <v>0</v>
      </c>
      <c r="J617" t="n">
        <v>0</v>
      </c>
      <c r="K617" t="n">
        <v>0</v>
      </c>
      <c r="L617" t="n">
        <v>0</v>
      </c>
      <c r="M617" t="n">
        <v>0</v>
      </c>
      <c r="N617" t="n">
        <v>0</v>
      </c>
      <c r="O617" t="n">
        <v>0</v>
      </c>
      <c r="P617" t="n">
        <v>0</v>
      </c>
      <c r="Q617" t="n">
        <v>0</v>
      </c>
      <c r="R617" s="2" t="inlineStr"/>
    </row>
    <row r="618" ht="15" customHeight="1">
      <c r="A618" t="inlineStr">
        <is>
          <t>A 44949-2023</t>
        </is>
      </c>
      <c r="B618" s="1" t="n">
        <v>45190.69520833333</v>
      </c>
      <c r="C618" s="1" t="n">
        <v>46106</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17682-2024</t>
        </is>
      </c>
      <c r="B619" s="1" t="n">
        <v>45418.42966435185</v>
      </c>
      <c r="C619" s="1" t="n">
        <v>46106</v>
      </c>
      <c r="D619" t="inlineStr">
        <is>
          <t>GOTLANDS LÄN</t>
        </is>
      </c>
      <c r="E619" t="inlineStr">
        <is>
          <t>GOTLAND</t>
        </is>
      </c>
      <c r="G619" t="n">
        <v>2.9</v>
      </c>
      <c r="H619" t="n">
        <v>0</v>
      </c>
      <c r="I619" t="n">
        <v>0</v>
      </c>
      <c r="J619" t="n">
        <v>0</v>
      </c>
      <c r="K619" t="n">
        <v>0</v>
      </c>
      <c r="L619" t="n">
        <v>0</v>
      </c>
      <c r="M619" t="n">
        <v>0</v>
      </c>
      <c r="N619" t="n">
        <v>0</v>
      </c>
      <c r="O619" t="n">
        <v>0</v>
      </c>
      <c r="P619" t="n">
        <v>0</v>
      </c>
      <c r="Q619" t="n">
        <v>0</v>
      </c>
      <c r="R619" s="2" t="inlineStr"/>
    </row>
    <row r="620" ht="15" customHeight="1">
      <c r="A620" t="inlineStr">
        <is>
          <t>A 61897-2024</t>
        </is>
      </c>
      <c r="B620" s="1" t="n">
        <v>45652.75685185185</v>
      </c>
      <c r="C620" s="1" t="n">
        <v>46106</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12032-2025</t>
        </is>
      </c>
      <c r="B621" s="1" t="n">
        <v>45728.64472222222</v>
      </c>
      <c r="C621" s="1" t="n">
        <v>46106</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15595-2024</t>
        </is>
      </c>
      <c r="B622" s="1" t="n">
        <v>45401.81480324074</v>
      </c>
      <c r="C622" s="1" t="n">
        <v>46106</v>
      </c>
      <c r="D622" t="inlineStr">
        <is>
          <t>GOTLANDS LÄN</t>
        </is>
      </c>
      <c r="E622" t="inlineStr">
        <is>
          <t>GOTLAND</t>
        </is>
      </c>
      <c r="G622" t="n">
        <v>6.4</v>
      </c>
      <c r="H622" t="n">
        <v>0</v>
      </c>
      <c r="I622" t="n">
        <v>0</v>
      </c>
      <c r="J622" t="n">
        <v>0</v>
      </c>
      <c r="K622" t="n">
        <v>0</v>
      </c>
      <c r="L622" t="n">
        <v>0</v>
      </c>
      <c r="M622" t="n">
        <v>0</v>
      </c>
      <c r="N622" t="n">
        <v>0</v>
      </c>
      <c r="O622" t="n">
        <v>0</v>
      </c>
      <c r="P622" t="n">
        <v>0</v>
      </c>
      <c r="Q622" t="n">
        <v>0</v>
      </c>
      <c r="R622" s="2" t="inlineStr"/>
    </row>
    <row r="623" ht="15" customHeight="1">
      <c r="A623" t="inlineStr">
        <is>
          <t>A 21164-2024</t>
        </is>
      </c>
      <c r="B623" s="1" t="n">
        <v>45440</v>
      </c>
      <c r="C623" s="1" t="n">
        <v>46106</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17541-2024</t>
        </is>
      </c>
      <c r="B624" s="1" t="n">
        <v>45415</v>
      </c>
      <c r="C624" s="1" t="n">
        <v>46106</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883-2025</t>
        </is>
      </c>
      <c r="B625" s="1" t="n">
        <v>45665</v>
      </c>
      <c r="C625" s="1" t="n">
        <v>46106</v>
      </c>
      <c r="D625" t="inlineStr">
        <is>
          <t>GOTLANDS LÄN</t>
        </is>
      </c>
      <c r="E625" t="inlineStr">
        <is>
          <t>GOTLAND</t>
        </is>
      </c>
      <c r="G625" t="n">
        <v>1.3</v>
      </c>
      <c r="H625" t="n">
        <v>0</v>
      </c>
      <c r="I625" t="n">
        <v>0</v>
      </c>
      <c r="J625" t="n">
        <v>0</v>
      </c>
      <c r="K625" t="n">
        <v>0</v>
      </c>
      <c r="L625" t="n">
        <v>0</v>
      </c>
      <c r="M625" t="n">
        <v>0</v>
      </c>
      <c r="N625" t="n">
        <v>0</v>
      </c>
      <c r="O625" t="n">
        <v>0</v>
      </c>
      <c r="P625" t="n">
        <v>0</v>
      </c>
      <c r="Q625" t="n">
        <v>0</v>
      </c>
      <c r="R625" s="2" t="inlineStr"/>
    </row>
    <row r="626" ht="15" customHeight="1">
      <c r="A626" t="inlineStr">
        <is>
          <t>A 13910-2025</t>
        </is>
      </c>
      <c r="B626" s="1" t="n">
        <v>45737</v>
      </c>
      <c r="C626" s="1" t="n">
        <v>46106</v>
      </c>
      <c r="D626" t="inlineStr">
        <is>
          <t>GOTLANDS LÄN</t>
        </is>
      </c>
      <c r="E626" t="inlineStr">
        <is>
          <t>GOTLAND</t>
        </is>
      </c>
      <c r="F626" t="inlineStr">
        <is>
          <t>Kommuner</t>
        </is>
      </c>
      <c r="G626" t="n">
        <v>3.2</v>
      </c>
      <c r="H626" t="n">
        <v>0</v>
      </c>
      <c r="I626" t="n">
        <v>0</v>
      </c>
      <c r="J626" t="n">
        <v>0</v>
      </c>
      <c r="K626" t="n">
        <v>0</v>
      </c>
      <c r="L626" t="n">
        <v>0</v>
      </c>
      <c r="M626" t="n">
        <v>0</v>
      </c>
      <c r="N626" t="n">
        <v>0</v>
      </c>
      <c r="O626" t="n">
        <v>0</v>
      </c>
      <c r="P626" t="n">
        <v>0</v>
      </c>
      <c r="Q626" t="n">
        <v>0</v>
      </c>
      <c r="R626" s="2" t="inlineStr"/>
    </row>
    <row r="627" ht="15" customHeight="1">
      <c r="A627" t="inlineStr">
        <is>
          <t>A 20794-2025</t>
        </is>
      </c>
      <c r="B627" s="1" t="n">
        <v>45776</v>
      </c>
      <c r="C627" s="1" t="n">
        <v>46106</v>
      </c>
      <c r="D627" t="inlineStr">
        <is>
          <t>GOTLANDS LÄN</t>
        </is>
      </c>
      <c r="E627" t="inlineStr">
        <is>
          <t>GOTLAND</t>
        </is>
      </c>
      <c r="G627" t="n">
        <v>6</v>
      </c>
      <c r="H627" t="n">
        <v>0</v>
      </c>
      <c r="I627" t="n">
        <v>0</v>
      </c>
      <c r="J627" t="n">
        <v>0</v>
      </c>
      <c r="K627" t="n">
        <v>0</v>
      </c>
      <c r="L627" t="n">
        <v>0</v>
      </c>
      <c r="M627" t="n">
        <v>0</v>
      </c>
      <c r="N627" t="n">
        <v>0</v>
      </c>
      <c r="O627" t="n">
        <v>0</v>
      </c>
      <c r="P627" t="n">
        <v>0</v>
      </c>
      <c r="Q627" t="n">
        <v>0</v>
      </c>
      <c r="R627" s="2" t="inlineStr"/>
    </row>
    <row r="628" ht="15" customHeight="1">
      <c r="A628" t="inlineStr">
        <is>
          <t>A 20805-2025</t>
        </is>
      </c>
      <c r="B628" s="1" t="n">
        <v>45776</v>
      </c>
      <c r="C628" s="1" t="n">
        <v>46106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21389-2025</t>
        </is>
      </c>
      <c r="B629" s="1" t="n">
        <v>45782</v>
      </c>
      <c r="C629" s="1" t="n">
        <v>46106</v>
      </c>
      <c r="D629" t="inlineStr">
        <is>
          <t>GOTLANDS LÄN</t>
        </is>
      </c>
      <c r="E629" t="inlineStr">
        <is>
          <t>GOTLAND</t>
        </is>
      </c>
      <c r="G629" t="n">
        <v>4.1</v>
      </c>
      <c r="H629" t="n">
        <v>0</v>
      </c>
      <c r="I629" t="n">
        <v>0</v>
      </c>
      <c r="J629" t="n">
        <v>0</v>
      </c>
      <c r="K629" t="n">
        <v>0</v>
      </c>
      <c r="L629" t="n">
        <v>0</v>
      </c>
      <c r="M629" t="n">
        <v>0</v>
      </c>
      <c r="N629" t="n">
        <v>0</v>
      </c>
      <c r="O629" t="n">
        <v>0</v>
      </c>
      <c r="P629" t="n">
        <v>0</v>
      </c>
      <c r="Q629" t="n">
        <v>0</v>
      </c>
      <c r="R629" s="2" t="inlineStr"/>
    </row>
    <row r="630" ht="15" customHeight="1">
      <c r="A630" t="inlineStr">
        <is>
          <t>A 21651-2025</t>
        </is>
      </c>
      <c r="B630" s="1" t="n">
        <v>45783</v>
      </c>
      <c r="C630" s="1" t="n">
        <v>46106</v>
      </c>
      <c r="D630" t="inlineStr">
        <is>
          <t>GOTLANDS LÄN</t>
        </is>
      </c>
      <c r="E630" t="inlineStr">
        <is>
          <t>GOTLAND</t>
        </is>
      </c>
      <c r="G630" t="n">
        <v>4.2</v>
      </c>
      <c r="H630" t="n">
        <v>0</v>
      </c>
      <c r="I630" t="n">
        <v>0</v>
      </c>
      <c r="J630" t="n">
        <v>0</v>
      </c>
      <c r="K630" t="n">
        <v>0</v>
      </c>
      <c r="L630" t="n">
        <v>0</v>
      </c>
      <c r="M630" t="n">
        <v>0</v>
      </c>
      <c r="N630" t="n">
        <v>0</v>
      </c>
      <c r="O630" t="n">
        <v>0</v>
      </c>
      <c r="P630" t="n">
        <v>0</v>
      </c>
      <c r="Q630" t="n">
        <v>0</v>
      </c>
      <c r="R630" s="2" t="inlineStr"/>
    </row>
    <row r="631" ht="15" customHeight="1">
      <c r="A631" t="inlineStr">
        <is>
          <t>A 21420-2024</t>
        </is>
      </c>
      <c r="B631" s="1" t="n">
        <v>45441.38293981482</v>
      </c>
      <c r="C631" s="1" t="n">
        <v>46106</v>
      </c>
      <c r="D631" t="inlineStr">
        <is>
          <t>GOTLANDS LÄN</t>
        </is>
      </c>
      <c r="E631" t="inlineStr">
        <is>
          <t>GOTLAND</t>
        </is>
      </c>
      <c r="G631" t="n">
        <v>4.1</v>
      </c>
      <c r="H631" t="n">
        <v>0</v>
      </c>
      <c r="I631" t="n">
        <v>0</v>
      </c>
      <c r="J631" t="n">
        <v>0</v>
      </c>
      <c r="K631" t="n">
        <v>0</v>
      </c>
      <c r="L631" t="n">
        <v>0</v>
      </c>
      <c r="M631" t="n">
        <v>0</v>
      </c>
      <c r="N631" t="n">
        <v>0</v>
      </c>
      <c r="O631" t="n">
        <v>0</v>
      </c>
      <c r="P631" t="n">
        <v>0</v>
      </c>
      <c r="Q631" t="n">
        <v>0</v>
      </c>
      <c r="R631" s="2" t="inlineStr"/>
    </row>
    <row r="632" ht="15" customHeight="1">
      <c r="A632" t="inlineStr">
        <is>
          <t>A 10656-2024</t>
        </is>
      </c>
      <c r="B632" s="1" t="n">
        <v>45368</v>
      </c>
      <c r="C632" s="1" t="n">
        <v>46106</v>
      </c>
      <c r="D632" t="inlineStr">
        <is>
          <t>GOTLANDS LÄN</t>
        </is>
      </c>
      <c r="E632" t="inlineStr">
        <is>
          <t>GOTLAND</t>
        </is>
      </c>
      <c r="G632" t="n">
        <v>1.5</v>
      </c>
      <c r="H632" t="n">
        <v>0</v>
      </c>
      <c r="I632" t="n">
        <v>0</v>
      </c>
      <c r="J632" t="n">
        <v>0</v>
      </c>
      <c r="K632" t="n">
        <v>0</v>
      </c>
      <c r="L632" t="n">
        <v>0</v>
      </c>
      <c r="M632" t="n">
        <v>0</v>
      </c>
      <c r="N632" t="n">
        <v>0</v>
      </c>
      <c r="O632" t="n">
        <v>0</v>
      </c>
      <c r="P632" t="n">
        <v>0</v>
      </c>
      <c r="Q632" t="n">
        <v>0</v>
      </c>
      <c r="R632" s="2" t="inlineStr"/>
    </row>
    <row r="633" ht="15" customHeight="1">
      <c r="A633" t="inlineStr">
        <is>
          <t>A 57356-2023</t>
        </is>
      </c>
      <c r="B633" s="1" t="n">
        <v>45240</v>
      </c>
      <c r="C633" s="1" t="n">
        <v>46106</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28506-2023</t>
        </is>
      </c>
      <c r="B634" s="1" t="n">
        <v>45103</v>
      </c>
      <c r="C634" s="1" t="n">
        <v>46106</v>
      </c>
      <c r="D634" t="inlineStr">
        <is>
          <t>GOTLANDS LÄN</t>
        </is>
      </c>
      <c r="E634" t="inlineStr">
        <is>
          <t>GOTLAND</t>
        </is>
      </c>
      <c r="G634" t="n">
        <v>3.2</v>
      </c>
      <c r="H634" t="n">
        <v>0</v>
      </c>
      <c r="I634" t="n">
        <v>0</v>
      </c>
      <c r="J634" t="n">
        <v>0</v>
      </c>
      <c r="K634" t="n">
        <v>0</v>
      </c>
      <c r="L634" t="n">
        <v>0</v>
      </c>
      <c r="M634" t="n">
        <v>0</v>
      </c>
      <c r="N634" t="n">
        <v>0</v>
      </c>
      <c r="O634" t="n">
        <v>0</v>
      </c>
      <c r="P634" t="n">
        <v>0</v>
      </c>
      <c r="Q634" t="n">
        <v>0</v>
      </c>
      <c r="R634" s="2" t="inlineStr"/>
    </row>
    <row r="635" ht="15" customHeight="1">
      <c r="A635" t="inlineStr">
        <is>
          <t>A 23188-2025</t>
        </is>
      </c>
      <c r="B635" s="1" t="n">
        <v>45791</v>
      </c>
      <c r="C635" s="1" t="n">
        <v>46106</v>
      </c>
      <c r="D635" t="inlineStr">
        <is>
          <t>GOTLANDS LÄN</t>
        </is>
      </c>
      <c r="E635" t="inlineStr">
        <is>
          <t>GOTLAND</t>
        </is>
      </c>
      <c r="G635" t="n">
        <v>6.2</v>
      </c>
      <c r="H635" t="n">
        <v>0</v>
      </c>
      <c r="I635" t="n">
        <v>0</v>
      </c>
      <c r="J635" t="n">
        <v>0</v>
      </c>
      <c r="K635" t="n">
        <v>0</v>
      </c>
      <c r="L635" t="n">
        <v>0</v>
      </c>
      <c r="M635" t="n">
        <v>0</v>
      </c>
      <c r="N635" t="n">
        <v>0</v>
      </c>
      <c r="O635" t="n">
        <v>0</v>
      </c>
      <c r="P635" t="n">
        <v>0</v>
      </c>
      <c r="Q635" t="n">
        <v>0</v>
      </c>
      <c r="R635" s="2" t="inlineStr"/>
    </row>
    <row r="636" ht="15" customHeight="1">
      <c r="A636" t="inlineStr">
        <is>
          <t>A 23856-2025</t>
        </is>
      </c>
      <c r="B636" s="1" t="n">
        <v>45793</v>
      </c>
      <c r="C636" s="1" t="n">
        <v>46106</v>
      </c>
      <c r="D636" t="inlineStr">
        <is>
          <t>GOTLANDS LÄN</t>
        </is>
      </c>
      <c r="E636" t="inlineStr">
        <is>
          <t>GOTLAND</t>
        </is>
      </c>
      <c r="G636" t="n">
        <v>4.4</v>
      </c>
      <c r="H636" t="n">
        <v>0</v>
      </c>
      <c r="I636" t="n">
        <v>0</v>
      </c>
      <c r="J636" t="n">
        <v>0</v>
      </c>
      <c r="K636" t="n">
        <v>0</v>
      </c>
      <c r="L636" t="n">
        <v>0</v>
      </c>
      <c r="M636" t="n">
        <v>0</v>
      </c>
      <c r="N636" t="n">
        <v>0</v>
      </c>
      <c r="O636" t="n">
        <v>0</v>
      </c>
      <c r="P636" t="n">
        <v>0</v>
      </c>
      <c r="Q636" t="n">
        <v>0</v>
      </c>
      <c r="R636" s="2" t="inlineStr"/>
    </row>
    <row r="637" ht="15" customHeight="1">
      <c r="A637" t="inlineStr">
        <is>
          <t>A 23473-2025</t>
        </is>
      </c>
      <c r="B637" s="1" t="n">
        <v>45792</v>
      </c>
      <c r="C637" s="1" t="n">
        <v>46106</v>
      </c>
      <c r="D637" t="inlineStr">
        <is>
          <t>GOTLANDS LÄN</t>
        </is>
      </c>
      <c r="E637" t="inlineStr">
        <is>
          <t>GOTLAND</t>
        </is>
      </c>
      <c r="G637" t="n">
        <v>3.6</v>
      </c>
      <c r="H637" t="n">
        <v>0</v>
      </c>
      <c r="I637" t="n">
        <v>0</v>
      </c>
      <c r="J637" t="n">
        <v>0</v>
      </c>
      <c r="K637" t="n">
        <v>0</v>
      </c>
      <c r="L637" t="n">
        <v>0</v>
      </c>
      <c r="M637" t="n">
        <v>0</v>
      </c>
      <c r="N637" t="n">
        <v>0</v>
      </c>
      <c r="O637" t="n">
        <v>0</v>
      </c>
      <c r="P637" t="n">
        <v>0</v>
      </c>
      <c r="Q637" t="n">
        <v>0</v>
      </c>
      <c r="R637" s="2" t="inlineStr"/>
    </row>
    <row r="638" ht="15" customHeight="1">
      <c r="A638" t="inlineStr">
        <is>
          <t>A 23698-2025</t>
        </is>
      </c>
      <c r="B638" s="1" t="n">
        <v>45793</v>
      </c>
      <c r="C638" s="1" t="n">
        <v>46106</v>
      </c>
      <c r="D638" t="inlineStr">
        <is>
          <t>GOTLANDS LÄN</t>
        </is>
      </c>
      <c r="E638" t="inlineStr">
        <is>
          <t>GOTLAND</t>
        </is>
      </c>
      <c r="G638" t="n">
        <v>0.8</v>
      </c>
      <c r="H638" t="n">
        <v>0</v>
      </c>
      <c r="I638" t="n">
        <v>0</v>
      </c>
      <c r="J638" t="n">
        <v>0</v>
      </c>
      <c r="K638" t="n">
        <v>0</v>
      </c>
      <c r="L638" t="n">
        <v>0</v>
      </c>
      <c r="M638" t="n">
        <v>0</v>
      </c>
      <c r="N638" t="n">
        <v>0</v>
      </c>
      <c r="O638" t="n">
        <v>0</v>
      </c>
      <c r="P638" t="n">
        <v>0</v>
      </c>
      <c r="Q638" t="n">
        <v>0</v>
      </c>
      <c r="R638" s="2" t="inlineStr"/>
    </row>
    <row r="639" ht="15" customHeight="1">
      <c r="A639" t="inlineStr">
        <is>
          <t>A 15073-2025</t>
        </is>
      </c>
      <c r="B639" s="1" t="n">
        <v>45743</v>
      </c>
      <c r="C639" s="1" t="n">
        <v>46106</v>
      </c>
      <c r="D639" t="inlineStr">
        <is>
          <t>GOTLANDS LÄN</t>
        </is>
      </c>
      <c r="E639" t="inlineStr">
        <is>
          <t>GOTLAND</t>
        </is>
      </c>
      <c r="G639" t="n">
        <v>12.1</v>
      </c>
      <c r="H639" t="n">
        <v>0</v>
      </c>
      <c r="I639" t="n">
        <v>0</v>
      </c>
      <c r="J639" t="n">
        <v>0</v>
      </c>
      <c r="K639" t="n">
        <v>0</v>
      </c>
      <c r="L639" t="n">
        <v>0</v>
      </c>
      <c r="M639" t="n">
        <v>0</v>
      </c>
      <c r="N639" t="n">
        <v>0</v>
      </c>
      <c r="O639" t="n">
        <v>0</v>
      </c>
      <c r="P639" t="n">
        <v>0</v>
      </c>
      <c r="Q639" t="n">
        <v>0</v>
      </c>
      <c r="R639" s="2" t="inlineStr"/>
    </row>
    <row r="640" ht="15" customHeight="1">
      <c r="A640" t="inlineStr">
        <is>
          <t>A 6749-2025</t>
        </is>
      </c>
      <c r="B640" s="1" t="n">
        <v>45700</v>
      </c>
      <c r="C640" s="1" t="n">
        <v>46106</v>
      </c>
      <c r="D640" t="inlineStr">
        <is>
          <t>GOTLANDS LÄN</t>
        </is>
      </c>
      <c r="E640" t="inlineStr">
        <is>
          <t>GOTLAND</t>
        </is>
      </c>
      <c r="G640" t="n">
        <v>4.5</v>
      </c>
      <c r="H640" t="n">
        <v>0</v>
      </c>
      <c r="I640" t="n">
        <v>0</v>
      </c>
      <c r="J640" t="n">
        <v>0</v>
      </c>
      <c r="K640" t="n">
        <v>0</v>
      </c>
      <c r="L640" t="n">
        <v>0</v>
      </c>
      <c r="M640" t="n">
        <v>0</v>
      </c>
      <c r="N640" t="n">
        <v>0</v>
      </c>
      <c r="O640" t="n">
        <v>0</v>
      </c>
      <c r="P640" t="n">
        <v>0</v>
      </c>
      <c r="Q640" t="n">
        <v>0</v>
      </c>
      <c r="R640" s="2" t="inlineStr"/>
    </row>
    <row r="641" ht="15" customHeight="1">
      <c r="A641" t="inlineStr">
        <is>
          <t>A 5462-2025</t>
        </is>
      </c>
      <c r="B641" s="1" t="n">
        <v>45693.29331018519</v>
      </c>
      <c r="C641" s="1" t="n">
        <v>46106</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25796-2025</t>
        </is>
      </c>
      <c r="B642" s="1" t="n">
        <v>45804.39543981481</v>
      </c>
      <c r="C642" s="1" t="n">
        <v>46106</v>
      </c>
      <c r="D642" t="inlineStr">
        <is>
          <t>GOTLANDS LÄN</t>
        </is>
      </c>
      <c r="E642" t="inlineStr">
        <is>
          <t>GOTLAND</t>
        </is>
      </c>
      <c r="G642" t="n">
        <v>2</v>
      </c>
      <c r="H642" t="n">
        <v>0</v>
      </c>
      <c r="I642" t="n">
        <v>0</v>
      </c>
      <c r="J642" t="n">
        <v>0</v>
      </c>
      <c r="K642" t="n">
        <v>0</v>
      </c>
      <c r="L642" t="n">
        <v>0</v>
      </c>
      <c r="M642" t="n">
        <v>0</v>
      </c>
      <c r="N642" t="n">
        <v>0</v>
      </c>
      <c r="O642" t="n">
        <v>0</v>
      </c>
      <c r="P642" t="n">
        <v>0</v>
      </c>
      <c r="Q642" t="n">
        <v>0</v>
      </c>
      <c r="R642" s="2" t="inlineStr"/>
    </row>
    <row r="643" ht="15" customHeight="1">
      <c r="A643" t="inlineStr">
        <is>
          <t>A 26465-2025</t>
        </is>
      </c>
      <c r="B643" s="1" t="n">
        <v>45807.44377314814</v>
      </c>
      <c r="C643" s="1" t="n">
        <v>46106</v>
      </c>
      <c r="D643" t="inlineStr">
        <is>
          <t>GOTLANDS LÄN</t>
        </is>
      </c>
      <c r="E643" t="inlineStr">
        <is>
          <t>GOTLAND</t>
        </is>
      </c>
      <c r="G643" t="n">
        <v>4.5</v>
      </c>
      <c r="H643" t="n">
        <v>0</v>
      </c>
      <c r="I643" t="n">
        <v>0</v>
      </c>
      <c r="J643" t="n">
        <v>0</v>
      </c>
      <c r="K643" t="n">
        <v>0</v>
      </c>
      <c r="L643" t="n">
        <v>0</v>
      </c>
      <c r="M643" t="n">
        <v>0</v>
      </c>
      <c r="N643" t="n">
        <v>0</v>
      </c>
      <c r="O643" t="n">
        <v>0</v>
      </c>
      <c r="P643" t="n">
        <v>0</v>
      </c>
      <c r="Q643" t="n">
        <v>0</v>
      </c>
      <c r="R643" s="2" t="inlineStr"/>
    </row>
    <row r="644" ht="15" customHeight="1">
      <c r="A644" t="inlineStr">
        <is>
          <t>A 26457-2025</t>
        </is>
      </c>
      <c r="B644" s="1" t="n">
        <v>45807.42773148148</v>
      </c>
      <c r="C644" s="1" t="n">
        <v>46106</v>
      </c>
      <c r="D644" t="inlineStr">
        <is>
          <t>GOTLANDS LÄN</t>
        </is>
      </c>
      <c r="E644" t="inlineStr">
        <is>
          <t>GOTLAND</t>
        </is>
      </c>
      <c r="G644" t="n">
        <v>5.7</v>
      </c>
      <c r="H644" t="n">
        <v>0</v>
      </c>
      <c r="I644" t="n">
        <v>0</v>
      </c>
      <c r="J644" t="n">
        <v>0</v>
      </c>
      <c r="K644" t="n">
        <v>0</v>
      </c>
      <c r="L644" t="n">
        <v>0</v>
      </c>
      <c r="M644" t="n">
        <v>0</v>
      </c>
      <c r="N644" t="n">
        <v>0</v>
      </c>
      <c r="O644" t="n">
        <v>0</v>
      </c>
      <c r="P644" t="n">
        <v>0</v>
      </c>
      <c r="Q644" t="n">
        <v>0</v>
      </c>
      <c r="R644" s="2" t="inlineStr"/>
    </row>
    <row r="645" ht="15" customHeight="1">
      <c r="A645" t="inlineStr">
        <is>
          <t>A 26467-2025</t>
        </is>
      </c>
      <c r="B645" s="1" t="n">
        <v>45807.44640046296</v>
      </c>
      <c r="C645" s="1" t="n">
        <v>46106</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c r="A646" t="inlineStr">
        <is>
          <t>A 26660-2025</t>
        </is>
      </c>
      <c r="B646" s="1" t="n">
        <v>45810.39737268518</v>
      </c>
      <c r="C646" s="1" t="n">
        <v>46106</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2026-03-25T11:36:36Z</dcterms:created>
  <dcterms:modified xmlns:dcterms="http://purl.org/dc/terms/" xmlns:xsi="http://www.w3.org/2001/XMLSchema-instance" xsi:type="dcterms:W3CDTF">2026-03-25T11:36:37Z</dcterms:modified>
</cp:coreProperties>
</file>