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46119</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46119</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46119</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46119</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46119</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46119</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46119</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46119</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46119</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46119</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46119</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46119</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46119</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46119</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46119</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46119</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46119</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46119</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46119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46119</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46119</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46119</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46119</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46119</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46119</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46119</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46119</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46119</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46119</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46119</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46119</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46119</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46119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46119</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46119</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46119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46119</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46119</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46119</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46119</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46119</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46119</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46119</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46119</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46119</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46119</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46119</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20833-2024</t>
        </is>
      </c>
      <c r="B90" s="1" t="n">
        <v>45439</v>
      </c>
      <c r="C90" s="1" t="n">
        <v>46119</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40099-2025</t>
        </is>
      </c>
      <c r="B91" s="1" t="n">
        <v>45894.48462962963</v>
      </c>
      <c r="C91" s="1" t="n">
        <v>46119</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5904-2024</t>
        </is>
      </c>
      <c r="B92" s="1" t="n">
        <v>45335</v>
      </c>
      <c r="C92" s="1" t="n">
        <v>46119</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46119</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46119</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46119</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46119</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46119</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46119</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46119</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46119</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46119</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46119</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46119</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46119</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46119</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46119</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46119</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46119</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46119</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46119</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46119</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46119</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46119</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46119</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46119</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46119</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46119</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46119</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46119</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46119</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16997-2026</t>
        </is>
      </c>
      <c r="B139" s="1" t="n">
        <v>46114.42539351852</v>
      </c>
      <c r="C139" s="1" t="n">
        <v>46119</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21879-2025</t>
        </is>
      </c>
      <c r="B140" s="1" t="n">
        <v>45784.40533564815</v>
      </c>
      <c r="C140" s="1" t="n">
        <v>46119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46119</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46119</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46119</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46119</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46119</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46119</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46119</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46119</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46119</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39812-2025</t>
        </is>
      </c>
      <c r="B151" s="1" t="n">
        <v>45891</v>
      </c>
      <c r="C151" s="1" t="n">
        <v>46119</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65927-2021</t>
        </is>
      </c>
      <c r="B152" s="1" t="n">
        <v>44516</v>
      </c>
      <c r="C152" s="1" t="n">
        <v>46119</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12924-2025</t>
        </is>
      </c>
      <c r="B153" s="1" t="n">
        <v>45734</v>
      </c>
      <c r="C153" s="1" t="n">
        <v>46119</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947-2023</t>
        </is>
      </c>
      <c r="B154" s="1" t="n">
        <v>44934</v>
      </c>
      <c r="C154" s="1" t="n">
        <v>46119</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61561-2023</t>
        </is>
      </c>
      <c r="B155" s="1" t="n">
        <v>45265</v>
      </c>
      <c r="C155" s="1" t="n">
        <v>46119</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35467-2021</t>
        </is>
      </c>
      <c r="B156" s="1" t="n">
        <v>44385</v>
      </c>
      <c r="C156" s="1" t="n">
        <v>46119</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46119</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12324-2025</t>
        </is>
      </c>
      <c r="B158" s="1" t="n">
        <v>45730</v>
      </c>
      <c r="C158" s="1" t="n">
        <v>46119</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49726-2025</t>
        </is>
      </c>
      <c r="B159" s="1" t="n">
        <v>45939.84466435185</v>
      </c>
      <c r="C159" s="1" t="n">
        <v>46119</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2476-2025</t>
        </is>
      </c>
      <c r="B160" s="1" t="n">
        <v>45673</v>
      </c>
      <c r="C160" s="1" t="n">
        <v>46119</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46119</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46119</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34809-2024</t>
        </is>
      </c>
      <c r="B163" s="1" t="n">
        <v>45526</v>
      </c>
      <c r="C163" s="1" t="n">
        <v>46119</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49304-2024</t>
        </is>
      </c>
      <c r="B164" s="1" t="n">
        <v>45595.54996527778</v>
      </c>
      <c r="C164" s="1" t="n">
        <v>46119</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22782-2023</t>
        </is>
      </c>
      <c r="B165" s="1" t="n">
        <v>45072</v>
      </c>
      <c r="C165" s="1" t="n">
        <v>46119</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44088-2022</t>
        </is>
      </c>
      <c r="B166" s="1" t="n">
        <v>44839</v>
      </c>
      <c r="C166" s="1" t="n">
        <v>46119</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1477-2024</t>
        </is>
      </c>
      <c r="B167" s="1" t="n">
        <v>45305.37987268518</v>
      </c>
      <c r="C167" s="1" t="n">
        <v>46119</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63149-2025</t>
        </is>
      </c>
      <c r="B168" s="1" t="n">
        <v>46010</v>
      </c>
      <c r="C168" s="1" t="n">
        <v>46119</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11708-2026</t>
        </is>
      </c>
      <c r="B169" s="1" t="n">
        <v>46084</v>
      </c>
      <c r="C169" s="1" t="n">
        <v>46119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7637-2025</t>
        </is>
      </c>
      <c r="B170" s="1" t="n">
        <v>45705.77181712963</v>
      </c>
      <c r="C170" s="1" t="n">
        <v>46119</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61796-2022</t>
        </is>
      </c>
      <c r="B171" s="1" t="n">
        <v>44917</v>
      </c>
      <c r="C171" s="1" t="n">
        <v>46119</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13482-2026</t>
        </is>
      </c>
      <c r="B172" s="1" t="n">
        <v>46094</v>
      </c>
      <c r="C172" s="1" t="n">
        <v>46119</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10218-2025</t>
        </is>
      </c>
      <c r="B173" s="1" t="n">
        <v>45720</v>
      </c>
      <c r="C173" s="1" t="n">
        <v>46119</v>
      </c>
      <c r="D173" t="inlineStr">
        <is>
          <t>GOTLANDS LÄN</t>
        </is>
      </c>
      <c r="E173" t="inlineStr">
        <is>
          <t>GOTLAND</t>
        </is>
      </c>
      <c r="G173" t="n">
        <v>8.1</v>
      </c>
      <c r="H173" t="n">
        <v>0</v>
      </c>
      <c r="I173" t="n">
        <v>1</v>
      </c>
      <c r="J173" t="n">
        <v>0</v>
      </c>
      <c r="K173" t="n">
        <v>0</v>
      </c>
      <c r="L173" t="n">
        <v>0</v>
      </c>
      <c r="M173" t="n">
        <v>0</v>
      </c>
      <c r="N173" t="n">
        <v>0</v>
      </c>
      <c r="O173" t="n">
        <v>0</v>
      </c>
      <c r="P173" t="n">
        <v>0</v>
      </c>
      <c r="Q173" t="n">
        <v>1</v>
      </c>
      <c r="R173" s="2" t="inlineStr">
        <is>
          <t>Kalktallört</t>
        </is>
      </c>
      <c r="S173">
        <f>HYPERLINK("https://klasma.github.io/Logging_0980/artfynd/A 10218-2025 artfynd.xlsx", "A 10218-2025")</f>
        <v/>
      </c>
      <c r="T173">
        <f>HYPERLINK("https://klasma.github.io/Logging_0980/kartor/A 10218-2025 karta.png", "A 10218-2025")</f>
        <v/>
      </c>
      <c r="V173">
        <f>HYPERLINK("https://klasma.github.io/Logging_0980/klagomål/A 10218-2025 FSC-klagomål.docx", "A 10218-2025")</f>
        <v/>
      </c>
      <c r="W173">
        <f>HYPERLINK("https://klasma.github.io/Logging_0980/klagomålsmail/A 10218-2025 FSC-klagomål mail.docx", "A 10218-2025")</f>
        <v/>
      </c>
      <c r="X173">
        <f>HYPERLINK("https://klasma.github.io/Logging_0980/tillsyn/A 10218-2025 tillsynsbegäran.docx", "A 10218-2025")</f>
        <v/>
      </c>
      <c r="Y173">
        <f>HYPERLINK("https://klasma.github.io/Logging_0980/tillsynsmail/A 10218-2025 tillsynsbegäran mail.docx", "A 10218-2025")</f>
        <v/>
      </c>
    </row>
    <row r="174" ht="15" customHeight="1">
      <c r="A174" t="inlineStr">
        <is>
          <t>A 12379-2024</t>
        </is>
      </c>
      <c r="B174" s="1" t="n">
        <v>45379.28155092592</v>
      </c>
      <c r="C174" s="1" t="n">
        <v>46119</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46119</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46119</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46119</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46119</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10013-2026</t>
        </is>
      </c>
      <c r="B179" s="1" t="n">
        <v>46073</v>
      </c>
      <c r="C179" s="1" t="n">
        <v>46119</v>
      </c>
      <c r="D179" t="inlineStr">
        <is>
          <t>GOTLANDS LÄN</t>
        </is>
      </c>
      <c r="E179" t="inlineStr">
        <is>
          <t>GOTLAND</t>
        </is>
      </c>
      <c r="G179" t="n">
        <v>10.5</v>
      </c>
      <c r="H179" t="n">
        <v>0</v>
      </c>
      <c r="I179" t="n">
        <v>0</v>
      </c>
      <c r="J179" t="n">
        <v>0</v>
      </c>
      <c r="K179" t="n">
        <v>1</v>
      </c>
      <c r="L179" t="n">
        <v>0</v>
      </c>
      <c r="M179" t="n">
        <v>0</v>
      </c>
      <c r="N179" t="n">
        <v>0</v>
      </c>
      <c r="O179" t="n">
        <v>1</v>
      </c>
      <c r="P179" t="n">
        <v>1</v>
      </c>
      <c r="Q179" t="n">
        <v>1</v>
      </c>
      <c r="R179" s="2" t="inlineStr">
        <is>
          <t>Skogskorn</t>
        </is>
      </c>
      <c r="S179">
        <f>HYPERLINK("https://klasma.github.io/Logging_0980/artfynd/A 10013-2026 artfynd.xlsx", "A 10013-2026")</f>
        <v/>
      </c>
      <c r="T179">
        <f>HYPERLINK("https://klasma.github.io/Logging_0980/kartor/A 10013-2026 karta.png", "A 10013-2026")</f>
        <v/>
      </c>
      <c r="V179">
        <f>HYPERLINK("https://klasma.github.io/Logging_0980/klagomål/A 10013-2026 FSC-klagomål.docx", "A 10013-2026")</f>
        <v/>
      </c>
      <c r="W179">
        <f>HYPERLINK("https://klasma.github.io/Logging_0980/klagomålsmail/A 10013-2026 FSC-klagomål mail.docx", "A 10013-2026")</f>
        <v/>
      </c>
      <c r="X179">
        <f>HYPERLINK("https://klasma.github.io/Logging_0980/tillsyn/A 10013-2026 tillsynsbegäran.docx", "A 10013-2026")</f>
        <v/>
      </c>
      <c r="Y179">
        <f>HYPERLINK("https://klasma.github.io/Logging_0980/tillsynsmail/A 10013-2026 tillsynsbegäran mail.docx", "A 10013-2026")</f>
        <v/>
      </c>
    </row>
    <row r="180" ht="15" customHeight="1">
      <c r="A180" t="inlineStr">
        <is>
          <t>A 49847-2023</t>
        </is>
      </c>
      <c r="B180" s="1" t="n">
        <v>45212</v>
      </c>
      <c r="C180" s="1" t="n">
        <v>46119</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46119</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46119</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46119</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46119</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46119</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9862-2024</t>
        </is>
      </c>
      <c r="B186" s="1" t="n">
        <v>45363</v>
      </c>
      <c r="C186" s="1" t="n">
        <v>46119</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34141-2024</t>
        </is>
      </c>
      <c r="B187" s="1" t="n">
        <v>45524.36229166666</v>
      </c>
      <c r="C187" s="1" t="n">
        <v>46119</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19901-2021</t>
        </is>
      </c>
      <c r="B188" s="1" t="n">
        <v>44312</v>
      </c>
      <c r="C188" s="1" t="n">
        <v>46119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46119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46119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46119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46119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46119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46119</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46119</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46119</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46119</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46119</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46119</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39909-2021</t>
        </is>
      </c>
      <c r="B201" s="1" t="n">
        <v>44417.82444444444</v>
      </c>
      <c r="C201" s="1" t="n">
        <v>46119</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46119</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17920-2021</t>
        </is>
      </c>
      <c r="B203" s="1" t="n">
        <v>44301</v>
      </c>
      <c r="C203" s="1" t="n">
        <v>46119</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46119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46119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46119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46119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46119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46119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46119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46119</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46119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46119</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46119</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46119</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46119</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46119</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46119</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46119</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46119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46119</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46119</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46119</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46119</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46119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46119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46119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46119</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46119</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456-2023</t>
        </is>
      </c>
      <c r="B231" s="1" t="n">
        <v>44929.87122685185</v>
      </c>
      <c r="C231" s="1" t="n">
        <v>46119</v>
      </c>
      <c r="D231" t="inlineStr">
        <is>
          <t>GOTLANDS LÄN</t>
        </is>
      </c>
      <c r="E231" t="inlineStr">
        <is>
          <t>GOTLAND</t>
        </is>
      </c>
      <c r="G231" t="n">
        <v>3.2</v>
      </c>
      <c r="H231" t="n">
        <v>0</v>
      </c>
      <c r="I231" t="n">
        <v>0</v>
      </c>
      <c r="J231" t="n">
        <v>0</v>
      </c>
      <c r="K231" t="n">
        <v>0</v>
      </c>
      <c r="L231" t="n">
        <v>0</v>
      </c>
      <c r="M231" t="n">
        <v>0</v>
      </c>
      <c r="N231" t="n">
        <v>0</v>
      </c>
      <c r="O231" t="n">
        <v>0</v>
      </c>
      <c r="P231" t="n">
        <v>0</v>
      </c>
      <c r="Q231" t="n">
        <v>0</v>
      </c>
      <c r="R231" s="2" t="inlineStr"/>
    </row>
    <row r="232" ht="15" customHeight="1">
      <c r="A232" t="inlineStr">
        <is>
          <t>A 58476-2022</t>
        </is>
      </c>
      <c r="B232" s="1" t="n">
        <v>44902</v>
      </c>
      <c r="C232" s="1" t="n">
        <v>46119</v>
      </c>
      <c r="D232" t="inlineStr">
        <is>
          <t>GOTLANDS LÄN</t>
        </is>
      </c>
      <c r="E232" t="inlineStr">
        <is>
          <t>GOTLAND</t>
        </is>
      </c>
      <c r="G232" t="n">
        <v>0.9</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46119</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63229-2021</t>
        </is>
      </c>
      <c r="B234" s="1" t="n">
        <v>44508.34518518519</v>
      </c>
      <c r="C234" s="1" t="n">
        <v>46119</v>
      </c>
      <c r="D234" t="inlineStr">
        <is>
          <t>GOTLANDS LÄN</t>
        </is>
      </c>
      <c r="E234" t="inlineStr">
        <is>
          <t>GOTLAND</t>
        </is>
      </c>
      <c r="F234" t="inlineStr">
        <is>
          <t>Kyrkan</t>
        </is>
      </c>
      <c r="G234" t="n">
        <v>3.8</v>
      </c>
      <c r="H234" t="n">
        <v>0</v>
      </c>
      <c r="I234" t="n">
        <v>0</v>
      </c>
      <c r="J234" t="n">
        <v>0</v>
      </c>
      <c r="K234" t="n">
        <v>0</v>
      </c>
      <c r="L234" t="n">
        <v>0</v>
      </c>
      <c r="M234" t="n">
        <v>0</v>
      </c>
      <c r="N234" t="n">
        <v>0</v>
      </c>
      <c r="O234" t="n">
        <v>0</v>
      </c>
      <c r="P234" t="n">
        <v>0</v>
      </c>
      <c r="Q234" t="n">
        <v>0</v>
      </c>
      <c r="R234" s="2" t="inlineStr"/>
    </row>
    <row r="235" ht="15" customHeight="1">
      <c r="A235" t="inlineStr">
        <is>
          <t>A 873-2024</t>
        </is>
      </c>
      <c r="B235" s="1" t="n">
        <v>45301</v>
      </c>
      <c r="C235" s="1" t="n">
        <v>46119</v>
      </c>
      <c r="D235" t="inlineStr">
        <is>
          <t>GOTLANDS LÄN</t>
        </is>
      </c>
      <c r="E235" t="inlineStr">
        <is>
          <t>GOTLAND</t>
        </is>
      </c>
      <c r="G235" t="n">
        <v>2.7</v>
      </c>
      <c r="H235" t="n">
        <v>0</v>
      </c>
      <c r="I235" t="n">
        <v>0</v>
      </c>
      <c r="J235" t="n">
        <v>0</v>
      </c>
      <c r="K235" t="n">
        <v>0</v>
      </c>
      <c r="L235" t="n">
        <v>0</v>
      </c>
      <c r="M235" t="n">
        <v>0</v>
      </c>
      <c r="N235" t="n">
        <v>0</v>
      </c>
      <c r="O235" t="n">
        <v>0</v>
      </c>
      <c r="P235" t="n">
        <v>0</v>
      </c>
      <c r="Q235" t="n">
        <v>0</v>
      </c>
      <c r="R235" s="2" t="inlineStr"/>
    </row>
    <row r="236" ht="15" customHeight="1">
      <c r="A236" t="inlineStr">
        <is>
          <t>A 44228-2022</t>
        </is>
      </c>
      <c r="B236" s="1" t="n">
        <v>44839.51599537037</v>
      </c>
      <c r="C236" s="1" t="n">
        <v>46119</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46119</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25129-2023</t>
        </is>
      </c>
      <c r="B238" s="1" t="n">
        <v>45086.44261574074</v>
      </c>
      <c r="C238" s="1" t="n">
        <v>46119</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46119</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45106-2024</t>
        </is>
      </c>
      <c r="B240" s="1" t="n">
        <v>45575</v>
      </c>
      <c r="C240" s="1" t="n">
        <v>46119</v>
      </c>
      <c r="D240" t="inlineStr">
        <is>
          <t>GOTLANDS LÄN</t>
        </is>
      </c>
      <c r="E240" t="inlineStr">
        <is>
          <t>GOTLAND</t>
        </is>
      </c>
      <c r="G240" t="n">
        <v>10</v>
      </c>
      <c r="H240" t="n">
        <v>0</v>
      </c>
      <c r="I240" t="n">
        <v>0</v>
      </c>
      <c r="J240" t="n">
        <v>0</v>
      </c>
      <c r="K240" t="n">
        <v>0</v>
      </c>
      <c r="L240" t="n">
        <v>0</v>
      </c>
      <c r="M240" t="n">
        <v>0</v>
      </c>
      <c r="N240" t="n">
        <v>0</v>
      </c>
      <c r="O240" t="n">
        <v>0</v>
      </c>
      <c r="P240" t="n">
        <v>0</v>
      </c>
      <c r="Q240" t="n">
        <v>0</v>
      </c>
      <c r="R240" s="2" t="inlineStr"/>
    </row>
    <row r="241" ht="15" customHeight="1">
      <c r="A241" t="inlineStr">
        <is>
          <t>A 45112-2024</t>
        </is>
      </c>
      <c r="B241" s="1" t="n">
        <v>45575</v>
      </c>
      <c r="C241" s="1" t="n">
        <v>46119</v>
      </c>
      <c r="D241" t="inlineStr">
        <is>
          <t>GOTLANDS LÄN</t>
        </is>
      </c>
      <c r="E241" t="inlineStr">
        <is>
          <t>GOTLAND</t>
        </is>
      </c>
      <c r="G241" t="n">
        <v>5.1</v>
      </c>
      <c r="H241" t="n">
        <v>0</v>
      </c>
      <c r="I241" t="n">
        <v>0</v>
      </c>
      <c r="J241" t="n">
        <v>0</v>
      </c>
      <c r="K241" t="n">
        <v>0</v>
      </c>
      <c r="L241" t="n">
        <v>0</v>
      </c>
      <c r="M241" t="n">
        <v>0</v>
      </c>
      <c r="N241" t="n">
        <v>0</v>
      </c>
      <c r="O241" t="n">
        <v>0</v>
      </c>
      <c r="P241" t="n">
        <v>0</v>
      </c>
      <c r="Q241" t="n">
        <v>0</v>
      </c>
      <c r="R241" s="2" t="inlineStr"/>
    </row>
    <row r="242" ht="15" customHeight="1">
      <c r="A242" t="inlineStr">
        <is>
          <t>A 3964-2024</t>
        </is>
      </c>
      <c r="B242" s="1" t="n">
        <v>45322</v>
      </c>
      <c r="C242" s="1" t="n">
        <v>46119</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7026-2023</t>
        </is>
      </c>
      <c r="B243" s="1" t="n">
        <v>44968.30340277778</v>
      </c>
      <c r="C243" s="1" t="n">
        <v>46119</v>
      </c>
      <c r="D243" t="inlineStr">
        <is>
          <t>GOTLANDS LÄN</t>
        </is>
      </c>
      <c r="E243" t="inlineStr">
        <is>
          <t>GOTLAND</t>
        </is>
      </c>
      <c r="G243" t="n">
        <v>2.9</v>
      </c>
      <c r="H243" t="n">
        <v>0</v>
      </c>
      <c r="I243" t="n">
        <v>0</v>
      </c>
      <c r="J243" t="n">
        <v>0</v>
      </c>
      <c r="K243" t="n">
        <v>0</v>
      </c>
      <c r="L243" t="n">
        <v>0</v>
      </c>
      <c r="M243" t="n">
        <v>0</v>
      </c>
      <c r="N243" t="n">
        <v>0</v>
      </c>
      <c r="O243" t="n">
        <v>0</v>
      </c>
      <c r="P243" t="n">
        <v>0</v>
      </c>
      <c r="Q243" t="n">
        <v>0</v>
      </c>
      <c r="R243" s="2" t="inlineStr"/>
    </row>
    <row r="244" ht="15" customHeight="1">
      <c r="A244" t="inlineStr">
        <is>
          <t>A 49874-2024</t>
        </is>
      </c>
      <c r="B244" s="1" t="n">
        <v>45597.49274305555</v>
      </c>
      <c r="C244" s="1" t="n">
        <v>46119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52892-2021</t>
        </is>
      </c>
      <c r="B245" s="1" t="n">
        <v>44467.49048611111</v>
      </c>
      <c r="C245" s="1" t="n">
        <v>46119</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1351-2025</t>
        </is>
      </c>
      <c r="B246" s="1" t="n">
        <v>45667.62246527777</v>
      </c>
      <c r="C246" s="1" t="n">
        <v>46119</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60675-2021</t>
        </is>
      </c>
      <c r="B247" s="1" t="n">
        <v>44496.64855324074</v>
      </c>
      <c r="C247" s="1" t="n">
        <v>46119</v>
      </c>
      <c r="D247" t="inlineStr">
        <is>
          <t>GOTLANDS LÄN</t>
        </is>
      </c>
      <c r="E247" t="inlineStr">
        <is>
          <t>GOTLAND</t>
        </is>
      </c>
      <c r="G247" t="n">
        <v>4.6</v>
      </c>
      <c r="H247" t="n">
        <v>0</v>
      </c>
      <c r="I247" t="n">
        <v>0</v>
      </c>
      <c r="J247" t="n">
        <v>0</v>
      </c>
      <c r="K247" t="n">
        <v>0</v>
      </c>
      <c r="L247" t="n">
        <v>0</v>
      </c>
      <c r="M247" t="n">
        <v>0</v>
      </c>
      <c r="N247" t="n">
        <v>0</v>
      </c>
      <c r="O247" t="n">
        <v>0</v>
      </c>
      <c r="P247" t="n">
        <v>0</v>
      </c>
      <c r="Q247" t="n">
        <v>0</v>
      </c>
      <c r="R247" s="2" t="inlineStr"/>
    </row>
    <row r="248" ht="15" customHeight="1">
      <c r="A248" t="inlineStr">
        <is>
          <t>A 5217-2023</t>
        </is>
      </c>
      <c r="B248" s="1" t="n">
        <v>44959.39582175926</v>
      </c>
      <c r="C248" s="1" t="n">
        <v>46119</v>
      </c>
      <c r="D248" t="inlineStr">
        <is>
          <t>GOTLANDS LÄN</t>
        </is>
      </c>
      <c r="E248" t="inlineStr">
        <is>
          <t>GOTLAND</t>
        </is>
      </c>
      <c r="G248" t="n">
        <v>1.9</v>
      </c>
      <c r="H248" t="n">
        <v>0</v>
      </c>
      <c r="I248" t="n">
        <v>0</v>
      </c>
      <c r="J248" t="n">
        <v>0</v>
      </c>
      <c r="K248" t="n">
        <v>0</v>
      </c>
      <c r="L248" t="n">
        <v>0</v>
      </c>
      <c r="M248" t="n">
        <v>0</v>
      </c>
      <c r="N248" t="n">
        <v>0</v>
      </c>
      <c r="O248" t="n">
        <v>0</v>
      </c>
      <c r="P248" t="n">
        <v>0</v>
      </c>
      <c r="Q248" t="n">
        <v>0</v>
      </c>
      <c r="R248" s="2" t="inlineStr"/>
    </row>
    <row r="249" ht="15" customHeight="1">
      <c r="A249" t="inlineStr">
        <is>
          <t>A 51782-2023</t>
        </is>
      </c>
      <c r="B249" s="1" t="n">
        <v>45222.80952546297</v>
      </c>
      <c r="C249" s="1" t="n">
        <v>46119</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14638-2025</t>
        </is>
      </c>
      <c r="B250" s="1" t="n">
        <v>45742</v>
      </c>
      <c r="C250" s="1" t="n">
        <v>46119</v>
      </c>
      <c r="D250" t="inlineStr">
        <is>
          <t>GOTLANDS LÄN</t>
        </is>
      </c>
      <c r="E250" t="inlineStr">
        <is>
          <t>GOTLAND</t>
        </is>
      </c>
      <c r="G250" t="n">
        <v>13.4</v>
      </c>
      <c r="H250" t="n">
        <v>0</v>
      </c>
      <c r="I250" t="n">
        <v>0</v>
      </c>
      <c r="J250" t="n">
        <v>0</v>
      </c>
      <c r="K250" t="n">
        <v>0</v>
      </c>
      <c r="L250" t="n">
        <v>0</v>
      </c>
      <c r="M250" t="n">
        <v>0</v>
      </c>
      <c r="N250" t="n">
        <v>0</v>
      </c>
      <c r="O250" t="n">
        <v>0</v>
      </c>
      <c r="P250" t="n">
        <v>0</v>
      </c>
      <c r="Q250" t="n">
        <v>0</v>
      </c>
      <c r="R250" s="2" t="inlineStr"/>
    </row>
    <row r="251" ht="15" customHeight="1">
      <c r="A251" t="inlineStr">
        <is>
          <t>A 4421-2024</t>
        </is>
      </c>
      <c r="B251" s="1" t="n">
        <v>45327.45173611111</v>
      </c>
      <c r="C251" s="1" t="n">
        <v>46119</v>
      </c>
      <c r="D251" t="inlineStr">
        <is>
          <t>GOTLANDS LÄN</t>
        </is>
      </c>
      <c r="E251" t="inlineStr">
        <is>
          <t>GOTLAND</t>
        </is>
      </c>
      <c r="G251" t="n">
        <v>5.1</v>
      </c>
      <c r="H251" t="n">
        <v>0</v>
      </c>
      <c r="I251" t="n">
        <v>0</v>
      </c>
      <c r="J251" t="n">
        <v>0</v>
      </c>
      <c r="K251" t="n">
        <v>0</v>
      </c>
      <c r="L251" t="n">
        <v>0</v>
      </c>
      <c r="M251" t="n">
        <v>0</v>
      </c>
      <c r="N251" t="n">
        <v>0</v>
      </c>
      <c r="O251" t="n">
        <v>0</v>
      </c>
      <c r="P251" t="n">
        <v>0</v>
      </c>
      <c r="Q251" t="n">
        <v>0</v>
      </c>
      <c r="R251" s="2" t="inlineStr"/>
    </row>
    <row r="252" ht="15" customHeight="1">
      <c r="A252" t="inlineStr">
        <is>
          <t>A 31264-2021</t>
        </is>
      </c>
      <c r="B252" s="1" t="n">
        <v>44368</v>
      </c>
      <c r="C252" s="1" t="n">
        <v>46119</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20165-2022</t>
        </is>
      </c>
      <c r="B253" s="1" t="n">
        <v>44698.49854166667</v>
      </c>
      <c r="C253" s="1" t="n">
        <v>46119</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56009-2024</t>
        </is>
      </c>
      <c r="B254" s="1" t="n">
        <v>45623.80864583333</v>
      </c>
      <c r="C254" s="1" t="n">
        <v>46119</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33876-2024</t>
        </is>
      </c>
      <c r="B255" s="1" t="n">
        <v>45521.87988425926</v>
      </c>
      <c r="C255" s="1" t="n">
        <v>46119</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54073-2022</t>
        </is>
      </c>
      <c r="B256" s="1" t="n">
        <v>44881.50380787037</v>
      </c>
      <c r="C256" s="1" t="n">
        <v>46119</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61962-2024</t>
        </is>
      </c>
      <c r="B257" s="1" t="n">
        <v>45653.54340277778</v>
      </c>
      <c r="C257" s="1" t="n">
        <v>46119</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46119</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43223-2023</t>
        </is>
      </c>
      <c r="B259" s="1" t="n">
        <v>45183.45642361111</v>
      </c>
      <c r="C259" s="1" t="n">
        <v>46119</v>
      </c>
      <c r="D259" t="inlineStr">
        <is>
          <t>GOTLANDS LÄN</t>
        </is>
      </c>
      <c r="E259" t="inlineStr">
        <is>
          <t>GOTLAND</t>
        </is>
      </c>
      <c r="G259" t="n">
        <v>1.8</v>
      </c>
      <c r="H259" t="n">
        <v>0</v>
      </c>
      <c r="I259" t="n">
        <v>0</v>
      </c>
      <c r="J259" t="n">
        <v>0</v>
      </c>
      <c r="K259" t="n">
        <v>0</v>
      </c>
      <c r="L259" t="n">
        <v>0</v>
      </c>
      <c r="M259" t="n">
        <v>0</v>
      </c>
      <c r="N259" t="n">
        <v>0</v>
      </c>
      <c r="O259" t="n">
        <v>0</v>
      </c>
      <c r="P259" t="n">
        <v>0</v>
      </c>
      <c r="Q259" t="n">
        <v>0</v>
      </c>
      <c r="R259" s="2" t="inlineStr"/>
    </row>
    <row r="260" ht="15" customHeight="1">
      <c r="A260" t="inlineStr">
        <is>
          <t>A 4990-2025</t>
        </is>
      </c>
      <c r="B260" s="1" t="n">
        <v>45691</v>
      </c>
      <c r="C260" s="1" t="n">
        <v>46119</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6696-2023</t>
        </is>
      </c>
      <c r="B261" s="1" t="n">
        <v>44966.66425925926</v>
      </c>
      <c r="C261" s="1" t="n">
        <v>46119</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27930-2021</t>
        </is>
      </c>
      <c r="B262" s="1" t="n">
        <v>44354</v>
      </c>
      <c r="C262" s="1" t="n">
        <v>46119</v>
      </c>
      <c r="D262" t="inlineStr">
        <is>
          <t>GOTLANDS LÄN</t>
        </is>
      </c>
      <c r="E262" t="inlineStr">
        <is>
          <t>GOTLAND</t>
        </is>
      </c>
      <c r="G262" t="n">
        <v>2.5</v>
      </c>
      <c r="H262" t="n">
        <v>0</v>
      </c>
      <c r="I262" t="n">
        <v>0</v>
      </c>
      <c r="J262" t="n">
        <v>0</v>
      </c>
      <c r="K262" t="n">
        <v>0</v>
      </c>
      <c r="L262" t="n">
        <v>0</v>
      </c>
      <c r="M262" t="n">
        <v>0</v>
      </c>
      <c r="N262" t="n">
        <v>0</v>
      </c>
      <c r="O262" t="n">
        <v>0</v>
      </c>
      <c r="P262" t="n">
        <v>0</v>
      </c>
      <c r="Q262" t="n">
        <v>0</v>
      </c>
      <c r="R262" s="2" t="inlineStr"/>
    </row>
    <row r="263" ht="15" customHeight="1">
      <c r="A263" t="inlineStr">
        <is>
          <t>A 28480-2023</t>
        </is>
      </c>
      <c r="B263" s="1" t="n">
        <v>45103</v>
      </c>
      <c r="C263" s="1" t="n">
        <v>46119</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28485-2023</t>
        </is>
      </c>
      <c r="B264" s="1" t="n">
        <v>45103.43731481482</v>
      </c>
      <c r="C264" s="1" t="n">
        <v>46119</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59469-2024</t>
        </is>
      </c>
      <c r="B265" s="1" t="n">
        <v>45638</v>
      </c>
      <c r="C265" s="1" t="n">
        <v>46119</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38165-2023</t>
        </is>
      </c>
      <c r="B266" s="1" t="n">
        <v>45161</v>
      </c>
      <c r="C266" s="1" t="n">
        <v>46119</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49693-2023</t>
        </is>
      </c>
      <c r="B267" s="1" t="n">
        <v>45212.38138888889</v>
      </c>
      <c r="C267" s="1" t="n">
        <v>46119</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49697-2023</t>
        </is>
      </c>
      <c r="B268" s="1" t="n">
        <v>45212.38909722222</v>
      </c>
      <c r="C268" s="1" t="n">
        <v>46119</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34312-2024</t>
        </is>
      </c>
      <c r="B269" s="1" t="n">
        <v>45524.69703703704</v>
      </c>
      <c r="C269" s="1" t="n">
        <v>46119</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48503-2023</t>
        </is>
      </c>
      <c r="B270" s="1" t="n">
        <v>45207</v>
      </c>
      <c r="C270" s="1" t="n">
        <v>46119</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24825-2024</t>
        </is>
      </c>
      <c r="B271" s="1" t="n">
        <v>45461</v>
      </c>
      <c r="C271" s="1" t="n">
        <v>46119</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45443.60075231481</v>
      </c>
      <c r="C272" s="1" t="n">
        <v>46119</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17688-2024</t>
        </is>
      </c>
      <c r="B273" s="1" t="n">
        <v>45418.43575231481</v>
      </c>
      <c r="C273" s="1" t="n">
        <v>46119</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27694-2024</t>
        </is>
      </c>
      <c r="B274" s="1" t="n">
        <v>45475</v>
      </c>
      <c r="C274" s="1" t="n">
        <v>46119</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46119</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39764-2022</t>
        </is>
      </c>
      <c r="B276" s="1" t="n">
        <v>44819</v>
      </c>
      <c r="C276" s="1" t="n">
        <v>46119</v>
      </c>
      <c r="D276" t="inlineStr">
        <is>
          <t>GOTLANDS LÄN</t>
        </is>
      </c>
      <c r="E276" t="inlineStr">
        <is>
          <t>GOTLAND</t>
        </is>
      </c>
      <c r="F276" t="inlineStr">
        <is>
          <t>Kyrkan</t>
        </is>
      </c>
      <c r="G276" t="n">
        <v>3.7</v>
      </c>
      <c r="H276" t="n">
        <v>0</v>
      </c>
      <c r="I276" t="n">
        <v>0</v>
      </c>
      <c r="J276" t="n">
        <v>0</v>
      </c>
      <c r="K276" t="n">
        <v>0</v>
      </c>
      <c r="L276" t="n">
        <v>0</v>
      </c>
      <c r="M276" t="n">
        <v>0</v>
      </c>
      <c r="N276" t="n">
        <v>0</v>
      </c>
      <c r="O276" t="n">
        <v>0</v>
      </c>
      <c r="P276" t="n">
        <v>0</v>
      </c>
      <c r="Q276" t="n">
        <v>0</v>
      </c>
      <c r="R276" s="2" t="inlineStr"/>
    </row>
    <row r="277" ht="15" customHeight="1">
      <c r="A277" t="inlineStr">
        <is>
          <t>A 8260-2023</t>
        </is>
      </c>
      <c r="B277" s="1" t="n">
        <v>44974.61608796296</v>
      </c>
      <c r="C277" s="1" t="n">
        <v>46119</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6099-2024</t>
        </is>
      </c>
      <c r="B278" s="1" t="n">
        <v>45337</v>
      </c>
      <c r="C278" s="1" t="n">
        <v>46119</v>
      </c>
      <c r="D278" t="inlineStr">
        <is>
          <t>GOTLANDS LÄN</t>
        </is>
      </c>
      <c r="E278" t="inlineStr">
        <is>
          <t>GOTLAND</t>
        </is>
      </c>
      <c r="G278" t="n">
        <v>12.6</v>
      </c>
      <c r="H278" t="n">
        <v>0</v>
      </c>
      <c r="I278" t="n">
        <v>0</v>
      </c>
      <c r="J278" t="n">
        <v>0</v>
      </c>
      <c r="K278" t="n">
        <v>0</v>
      </c>
      <c r="L278" t="n">
        <v>0</v>
      </c>
      <c r="M278" t="n">
        <v>0</v>
      </c>
      <c r="N278" t="n">
        <v>0</v>
      </c>
      <c r="O278" t="n">
        <v>0</v>
      </c>
      <c r="P278" t="n">
        <v>0</v>
      </c>
      <c r="Q278" t="n">
        <v>0</v>
      </c>
      <c r="R278" s="2" t="inlineStr"/>
    </row>
    <row r="279" ht="15" customHeight="1">
      <c r="A279" t="inlineStr">
        <is>
          <t>A 57534-2022</t>
        </is>
      </c>
      <c r="B279" s="1" t="n">
        <v>44896</v>
      </c>
      <c r="C279" s="1" t="n">
        <v>46119</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64660-2023</t>
        </is>
      </c>
      <c r="B280" s="1" t="n">
        <v>45281.60122685185</v>
      </c>
      <c r="C280" s="1" t="n">
        <v>46119</v>
      </c>
      <c r="D280" t="inlineStr">
        <is>
          <t>GOTLANDS LÄN</t>
        </is>
      </c>
      <c r="E280" t="inlineStr">
        <is>
          <t>GOTLAND</t>
        </is>
      </c>
      <c r="G280" t="n">
        <v>6.3</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46119</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20356-2022</t>
        </is>
      </c>
      <c r="B282" s="1" t="n">
        <v>44699</v>
      </c>
      <c r="C282" s="1" t="n">
        <v>46119</v>
      </c>
      <c r="D282" t="inlineStr">
        <is>
          <t>GOTLANDS LÄN</t>
        </is>
      </c>
      <c r="E282" t="inlineStr">
        <is>
          <t>GOTLAND</t>
        </is>
      </c>
      <c r="F282" t="inlineStr">
        <is>
          <t>Övriga Aktiebolag</t>
        </is>
      </c>
      <c r="G282" t="n">
        <v>4.4</v>
      </c>
      <c r="H282" t="n">
        <v>0</v>
      </c>
      <c r="I282" t="n">
        <v>0</v>
      </c>
      <c r="J282" t="n">
        <v>0</v>
      </c>
      <c r="K282" t="n">
        <v>0</v>
      </c>
      <c r="L282" t="n">
        <v>0</v>
      </c>
      <c r="M282" t="n">
        <v>0</v>
      </c>
      <c r="N282" t="n">
        <v>0</v>
      </c>
      <c r="O282" t="n">
        <v>0</v>
      </c>
      <c r="P282" t="n">
        <v>0</v>
      </c>
      <c r="Q282" t="n">
        <v>0</v>
      </c>
      <c r="R282" s="2" t="inlineStr"/>
    </row>
    <row r="283" ht="15" customHeight="1">
      <c r="A283" t="inlineStr">
        <is>
          <t>A 15413-2025</t>
        </is>
      </c>
      <c r="B283" s="1" t="n">
        <v>45747.451875</v>
      </c>
      <c r="C283" s="1" t="n">
        <v>46119</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60709-2023</t>
        </is>
      </c>
      <c r="B284" s="1" t="n">
        <v>45260</v>
      </c>
      <c r="C284" s="1" t="n">
        <v>46119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35096-2025</t>
        </is>
      </c>
      <c r="B285" s="1" t="n">
        <v>45852.54356481481</v>
      </c>
      <c r="C285" s="1" t="n">
        <v>46119</v>
      </c>
      <c r="D285" t="inlineStr">
        <is>
          <t>GOTLANDS LÄN</t>
        </is>
      </c>
      <c r="E285" t="inlineStr">
        <is>
          <t>GOTLAND</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1000-2024</t>
        </is>
      </c>
      <c r="B286" s="1" t="n">
        <v>45301.63371527778</v>
      </c>
      <c r="C286" s="1" t="n">
        <v>46119</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1010-2024</t>
        </is>
      </c>
      <c r="B287" s="1" t="n">
        <v>45301</v>
      </c>
      <c r="C287" s="1" t="n">
        <v>46119</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65249-2023</t>
        </is>
      </c>
      <c r="B288" s="1" t="n">
        <v>45290</v>
      </c>
      <c r="C288" s="1" t="n">
        <v>46119</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35123-2025</t>
        </is>
      </c>
      <c r="B289" s="1" t="n">
        <v>45852.614375</v>
      </c>
      <c r="C289" s="1" t="n">
        <v>46119</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30956-2024</t>
        </is>
      </c>
      <c r="B290" s="1" t="n">
        <v>45499.42527777778</v>
      </c>
      <c r="C290" s="1" t="n">
        <v>46119</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35290-2025</t>
        </is>
      </c>
      <c r="B291" s="1" t="n">
        <v>45854.38502314815</v>
      </c>
      <c r="C291" s="1" t="n">
        <v>46119</v>
      </c>
      <c r="D291" t="inlineStr">
        <is>
          <t>GOTLANDS LÄN</t>
        </is>
      </c>
      <c r="E291" t="inlineStr">
        <is>
          <t>GOTLAND</t>
        </is>
      </c>
      <c r="G291" t="n">
        <v>5.4</v>
      </c>
      <c r="H291" t="n">
        <v>0</v>
      </c>
      <c r="I291" t="n">
        <v>0</v>
      </c>
      <c r="J291" t="n">
        <v>0</v>
      </c>
      <c r="K291" t="n">
        <v>0</v>
      </c>
      <c r="L291" t="n">
        <v>0</v>
      </c>
      <c r="M291" t="n">
        <v>0</v>
      </c>
      <c r="N291" t="n">
        <v>0</v>
      </c>
      <c r="O291" t="n">
        <v>0</v>
      </c>
      <c r="P291" t="n">
        <v>0</v>
      </c>
      <c r="Q291" t="n">
        <v>0</v>
      </c>
      <c r="R291" s="2" t="inlineStr"/>
    </row>
    <row r="292" ht="15" customHeight="1">
      <c r="A292" t="inlineStr">
        <is>
          <t>A 30104-2025</t>
        </is>
      </c>
      <c r="B292" s="1" t="n">
        <v>45826.68806712963</v>
      </c>
      <c r="C292" s="1" t="n">
        <v>46119</v>
      </c>
      <c r="D292" t="inlineStr">
        <is>
          <t>GOTLANDS LÄN</t>
        </is>
      </c>
      <c r="E292" t="inlineStr">
        <is>
          <t>GOTLAND</t>
        </is>
      </c>
      <c r="G292" t="n">
        <v>15.4</v>
      </c>
      <c r="H292" t="n">
        <v>0</v>
      </c>
      <c r="I292" t="n">
        <v>0</v>
      </c>
      <c r="J292" t="n">
        <v>0</v>
      </c>
      <c r="K292" t="n">
        <v>0</v>
      </c>
      <c r="L292" t="n">
        <v>0</v>
      </c>
      <c r="M292" t="n">
        <v>0</v>
      </c>
      <c r="N292" t="n">
        <v>0</v>
      </c>
      <c r="O292" t="n">
        <v>0</v>
      </c>
      <c r="P292" t="n">
        <v>0</v>
      </c>
      <c r="Q292" t="n">
        <v>0</v>
      </c>
      <c r="R292" s="2" t="inlineStr"/>
    </row>
    <row r="293" ht="15" customHeight="1">
      <c r="A293" t="inlineStr">
        <is>
          <t>A 12596-2023</t>
        </is>
      </c>
      <c r="B293" s="1" t="n">
        <v>45000.43310185185</v>
      </c>
      <c r="C293" s="1" t="n">
        <v>46119</v>
      </c>
      <c r="D293" t="inlineStr">
        <is>
          <t>GOTLANDS LÄN</t>
        </is>
      </c>
      <c r="E293" t="inlineStr">
        <is>
          <t>GOTLAND</t>
        </is>
      </c>
      <c r="G293" t="n">
        <v>4.1</v>
      </c>
      <c r="H293" t="n">
        <v>0</v>
      </c>
      <c r="I293" t="n">
        <v>0</v>
      </c>
      <c r="J293" t="n">
        <v>0</v>
      </c>
      <c r="K293" t="n">
        <v>0</v>
      </c>
      <c r="L293" t="n">
        <v>0</v>
      </c>
      <c r="M293" t="n">
        <v>0</v>
      </c>
      <c r="N293" t="n">
        <v>0</v>
      </c>
      <c r="O293" t="n">
        <v>0</v>
      </c>
      <c r="P293" t="n">
        <v>0</v>
      </c>
      <c r="Q293" t="n">
        <v>0</v>
      </c>
      <c r="R293" s="2" t="inlineStr"/>
    </row>
    <row r="294" ht="15" customHeight="1">
      <c r="A294" t="inlineStr">
        <is>
          <t>A 32669-2024</t>
        </is>
      </c>
      <c r="B294" s="1" t="n">
        <v>45514</v>
      </c>
      <c r="C294" s="1" t="n">
        <v>46119</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46119</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35142-2025</t>
        </is>
      </c>
      <c r="B296" s="1" t="n">
        <v>45852.65532407408</v>
      </c>
      <c r="C296" s="1" t="n">
        <v>46119</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35537-2025</t>
        </is>
      </c>
      <c r="B297" s="1" t="n">
        <v>45856</v>
      </c>
      <c r="C297" s="1" t="n">
        <v>46119</v>
      </c>
      <c r="D297" t="inlineStr">
        <is>
          <t>GOTLANDS LÄN</t>
        </is>
      </c>
      <c r="E297" t="inlineStr">
        <is>
          <t>GOTLAND</t>
        </is>
      </c>
      <c r="G297" t="n">
        <v>16.8</v>
      </c>
      <c r="H297" t="n">
        <v>0</v>
      </c>
      <c r="I297" t="n">
        <v>0</v>
      </c>
      <c r="J297" t="n">
        <v>0</v>
      </c>
      <c r="K297" t="n">
        <v>0</v>
      </c>
      <c r="L297" t="n">
        <v>0</v>
      </c>
      <c r="M297" t="n">
        <v>0</v>
      </c>
      <c r="N297" t="n">
        <v>0</v>
      </c>
      <c r="O297" t="n">
        <v>0</v>
      </c>
      <c r="P297" t="n">
        <v>0</v>
      </c>
      <c r="Q297" t="n">
        <v>0</v>
      </c>
      <c r="R297" s="2" t="inlineStr"/>
    </row>
    <row r="298" ht="15" customHeight="1">
      <c r="A298" t="inlineStr">
        <is>
          <t>A 35141-2025</t>
        </is>
      </c>
      <c r="B298" s="1" t="n">
        <v>45852.65206018519</v>
      </c>
      <c r="C298" s="1" t="n">
        <v>46119</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999-2024</t>
        </is>
      </c>
      <c r="B299" s="1" t="n">
        <v>45301</v>
      </c>
      <c r="C299" s="1" t="n">
        <v>46119</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46119</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30488-2025</t>
        </is>
      </c>
      <c r="B301" s="1" t="n">
        <v>45830</v>
      </c>
      <c r="C301" s="1" t="n">
        <v>46119</v>
      </c>
      <c r="D301" t="inlineStr">
        <is>
          <t>GOTLANDS LÄN</t>
        </is>
      </c>
      <c r="E301" t="inlineStr">
        <is>
          <t>GOTLAND</t>
        </is>
      </c>
      <c r="F301" t="inlineStr">
        <is>
          <t>Kyrkan</t>
        </is>
      </c>
      <c r="G301" t="n">
        <v>3.9</v>
      </c>
      <c r="H301" t="n">
        <v>0</v>
      </c>
      <c r="I301" t="n">
        <v>0</v>
      </c>
      <c r="J301" t="n">
        <v>0</v>
      </c>
      <c r="K301" t="n">
        <v>0</v>
      </c>
      <c r="L301" t="n">
        <v>0</v>
      </c>
      <c r="M301" t="n">
        <v>0</v>
      </c>
      <c r="N301" t="n">
        <v>0</v>
      </c>
      <c r="O301" t="n">
        <v>0</v>
      </c>
      <c r="P301" t="n">
        <v>0</v>
      </c>
      <c r="Q301" t="n">
        <v>0</v>
      </c>
      <c r="R301" s="2" t="inlineStr"/>
    </row>
    <row r="302" ht="15" customHeight="1">
      <c r="A302" t="inlineStr">
        <is>
          <t>A 15216-2025</t>
        </is>
      </c>
      <c r="B302" s="1" t="n">
        <v>45744</v>
      </c>
      <c r="C302" s="1" t="n">
        <v>46119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47762-2023</t>
        </is>
      </c>
      <c r="B303" s="1" t="n">
        <v>45203.86256944444</v>
      </c>
      <c r="C303" s="1" t="n">
        <v>46119</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15001-2025</t>
        </is>
      </c>
      <c r="B304" s="1" t="n">
        <v>45743</v>
      </c>
      <c r="C304" s="1" t="n">
        <v>46119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43790-2024</t>
        </is>
      </c>
      <c r="B305" s="1" t="n">
        <v>45571</v>
      </c>
      <c r="C305" s="1" t="n">
        <v>46119</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17847-2025</t>
        </is>
      </c>
      <c r="B306" s="1" t="n">
        <v>45758</v>
      </c>
      <c r="C306" s="1" t="n">
        <v>46119</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40294-2022</t>
        </is>
      </c>
      <c r="B307" s="1" t="n">
        <v>44821</v>
      </c>
      <c r="C307" s="1" t="n">
        <v>46119</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18742-2025</t>
        </is>
      </c>
      <c r="B308" s="1" t="n">
        <v>45763</v>
      </c>
      <c r="C308" s="1" t="n">
        <v>46119</v>
      </c>
      <c r="D308" t="inlineStr">
        <is>
          <t>GOTLANDS LÄN</t>
        </is>
      </c>
      <c r="E308" t="inlineStr">
        <is>
          <t>GOTLAND</t>
        </is>
      </c>
      <c r="G308" t="n">
        <v>3.4</v>
      </c>
      <c r="H308" t="n">
        <v>0</v>
      </c>
      <c r="I308" t="n">
        <v>0</v>
      </c>
      <c r="J308" t="n">
        <v>0</v>
      </c>
      <c r="K308" t="n">
        <v>0</v>
      </c>
      <c r="L308" t="n">
        <v>0</v>
      </c>
      <c r="M308" t="n">
        <v>0</v>
      </c>
      <c r="N308" t="n">
        <v>0</v>
      </c>
      <c r="O308" t="n">
        <v>0</v>
      </c>
      <c r="P308" t="n">
        <v>0</v>
      </c>
      <c r="Q308" t="n">
        <v>0</v>
      </c>
      <c r="R308" s="2" t="inlineStr"/>
    </row>
    <row r="309" ht="15" customHeight="1">
      <c r="A309" t="inlineStr">
        <is>
          <t>A 27602-2023</t>
        </is>
      </c>
      <c r="B309" s="1" t="n">
        <v>45097</v>
      </c>
      <c r="C309" s="1" t="n">
        <v>46119</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35129-2025</t>
        </is>
      </c>
      <c r="B310" s="1" t="n">
        <v>45852.63224537037</v>
      </c>
      <c r="C310" s="1" t="n">
        <v>46119</v>
      </c>
      <c r="D310" t="inlineStr">
        <is>
          <t>GOTLANDS LÄN</t>
        </is>
      </c>
      <c r="E310" t="inlineStr">
        <is>
          <t>GOTLAND</t>
        </is>
      </c>
      <c r="G310" t="n">
        <v>3.2</v>
      </c>
      <c r="H310" t="n">
        <v>0</v>
      </c>
      <c r="I310" t="n">
        <v>0</v>
      </c>
      <c r="J310" t="n">
        <v>0</v>
      </c>
      <c r="K310" t="n">
        <v>0</v>
      </c>
      <c r="L310" t="n">
        <v>0</v>
      </c>
      <c r="M310" t="n">
        <v>0</v>
      </c>
      <c r="N310" t="n">
        <v>0</v>
      </c>
      <c r="O310" t="n">
        <v>0</v>
      </c>
      <c r="P310" t="n">
        <v>0</v>
      </c>
      <c r="Q310" t="n">
        <v>0</v>
      </c>
      <c r="R310" s="2" t="inlineStr"/>
    </row>
    <row r="311" ht="15" customHeight="1">
      <c r="A311" t="inlineStr">
        <is>
          <t>A 58780-2024</t>
        </is>
      </c>
      <c r="B311" s="1" t="n">
        <v>45635.84113425926</v>
      </c>
      <c r="C311" s="1" t="n">
        <v>46119</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12322-2025</t>
        </is>
      </c>
      <c r="B312" s="1" t="n">
        <v>45730</v>
      </c>
      <c r="C312" s="1" t="n">
        <v>46119</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39849-2025</t>
        </is>
      </c>
      <c r="B313" s="1" t="n">
        <v>45891.58502314815</v>
      </c>
      <c r="C313" s="1" t="n">
        <v>46119</v>
      </c>
      <c r="D313" t="inlineStr">
        <is>
          <t>GOTLANDS LÄN</t>
        </is>
      </c>
      <c r="E313" t="inlineStr">
        <is>
          <t>GOTLAND</t>
        </is>
      </c>
      <c r="G313" t="n">
        <v>6.1</v>
      </c>
      <c r="H313" t="n">
        <v>0</v>
      </c>
      <c r="I313" t="n">
        <v>0</v>
      </c>
      <c r="J313" t="n">
        <v>0</v>
      </c>
      <c r="K313" t="n">
        <v>0</v>
      </c>
      <c r="L313" t="n">
        <v>0</v>
      </c>
      <c r="M313" t="n">
        <v>0</v>
      </c>
      <c r="N313" t="n">
        <v>0</v>
      </c>
      <c r="O313" t="n">
        <v>0</v>
      </c>
      <c r="P313" t="n">
        <v>0</v>
      </c>
      <c r="Q313" t="n">
        <v>0</v>
      </c>
      <c r="R313" s="2" t="inlineStr"/>
    </row>
    <row r="314" ht="15" customHeight="1">
      <c r="A314" t="inlineStr">
        <is>
          <t>A 39814-2025</t>
        </is>
      </c>
      <c r="B314" s="1" t="n">
        <v>45891.52694444444</v>
      </c>
      <c r="C314" s="1" t="n">
        <v>46119</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39819-2025</t>
        </is>
      </c>
      <c r="B315" s="1" t="n">
        <v>45891.53418981482</v>
      </c>
      <c r="C315" s="1" t="n">
        <v>46119</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24192-2023</t>
        </is>
      </c>
      <c r="B316" s="1" t="n">
        <v>45079</v>
      </c>
      <c r="C316" s="1" t="n">
        <v>46119</v>
      </c>
      <c r="D316" t="inlineStr">
        <is>
          <t>GOTLANDS LÄN</t>
        </is>
      </c>
      <c r="E316" t="inlineStr">
        <is>
          <t>GOTLAND</t>
        </is>
      </c>
      <c r="G316" t="n">
        <v>2.1</v>
      </c>
      <c r="H316" t="n">
        <v>0</v>
      </c>
      <c r="I316" t="n">
        <v>0</v>
      </c>
      <c r="J316" t="n">
        <v>0</v>
      </c>
      <c r="K316" t="n">
        <v>0</v>
      </c>
      <c r="L316" t="n">
        <v>0</v>
      </c>
      <c r="M316" t="n">
        <v>0</v>
      </c>
      <c r="N316" t="n">
        <v>0</v>
      </c>
      <c r="O316" t="n">
        <v>0</v>
      </c>
      <c r="P316" t="n">
        <v>0</v>
      </c>
      <c r="Q316" t="n">
        <v>0</v>
      </c>
      <c r="R316" s="2" t="inlineStr"/>
    </row>
    <row r="317" ht="15" customHeight="1">
      <c r="A317" t="inlineStr">
        <is>
          <t>A 30282-2022</t>
        </is>
      </c>
      <c r="B317" s="1" t="n">
        <v>44760</v>
      </c>
      <c r="C317" s="1" t="n">
        <v>46119</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7835-2024</t>
        </is>
      </c>
      <c r="B318" s="1" t="n">
        <v>45349.83138888889</v>
      </c>
      <c r="C318" s="1" t="n">
        <v>46119</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39752-2025</t>
        </is>
      </c>
      <c r="B319" s="1" t="n">
        <v>45891</v>
      </c>
      <c r="C319" s="1" t="n">
        <v>46119</v>
      </c>
      <c r="D319" t="inlineStr">
        <is>
          <t>GOTLANDS LÄN</t>
        </is>
      </c>
      <c r="E319" t="inlineStr">
        <is>
          <t>GOTLAND</t>
        </is>
      </c>
      <c r="G319" t="n">
        <v>5.3</v>
      </c>
      <c r="H319" t="n">
        <v>0</v>
      </c>
      <c r="I319" t="n">
        <v>0</v>
      </c>
      <c r="J319" t="n">
        <v>0</v>
      </c>
      <c r="K319" t="n">
        <v>0</v>
      </c>
      <c r="L319" t="n">
        <v>0</v>
      </c>
      <c r="M319" t="n">
        <v>0</v>
      </c>
      <c r="N319" t="n">
        <v>0</v>
      </c>
      <c r="O319" t="n">
        <v>0</v>
      </c>
      <c r="P319" t="n">
        <v>0</v>
      </c>
      <c r="Q319" t="n">
        <v>0</v>
      </c>
      <c r="R319" s="2" t="inlineStr"/>
    </row>
    <row r="320" ht="15" customHeight="1">
      <c r="A320" t="inlineStr">
        <is>
          <t>A 39816-2025</t>
        </is>
      </c>
      <c r="B320" s="1" t="n">
        <v>45891</v>
      </c>
      <c r="C320" s="1" t="n">
        <v>46119</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40372-2025</t>
        </is>
      </c>
      <c r="B321" s="1" t="n">
        <v>45895.5162037037</v>
      </c>
      <c r="C321" s="1" t="n">
        <v>46119</v>
      </c>
      <c r="D321" t="inlineStr">
        <is>
          <t>GOTLANDS LÄN</t>
        </is>
      </c>
      <c r="E321" t="inlineStr">
        <is>
          <t>GOTLAND</t>
        </is>
      </c>
      <c r="G321" t="n">
        <v>3.3</v>
      </c>
      <c r="H321" t="n">
        <v>0</v>
      </c>
      <c r="I321" t="n">
        <v>0</v>
      </c>
      <c r="J321" t="n">
        <v>0</v>
      </c>
      <c r="K321" t="n">
        <v>0</v>
      </c>
      <c r="L321" t="n">
        <v>0</v>
      </c>
      <c r="M321" t="n">
        <v>0</v>
      </c>
      <c r="N321" t="n">
        <v>0</v>
      </c>
      <c r="O321" t="n">
        <v>0</v>
      </c>
      <c r="P321" t="n">
        <v>0</v>
      </c>
      <c r="Q321" t="n">
        <v>0</v>
      </c>
      <c r="R321" s="2" t="inlineStr"/>
    </row>
    <row r="322" ht="15" customHeight="1">
      <c r="A322" t="inlineStr">
        <is>
          <t>A 10650-2022</t>
        </is>
      </c>
      <c r="B322" s="1" t="n">
        <v>44624.57945601852</v>
      </c>
      <c r="C322" s="1" t="n">
        <v>46119</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40373-2025</t>
        </is>
      </c>
      <c r="B323" s="1" t="n">
        <v>45895.51821759259</v>
      </c>
      <c r="C323" s="1" t="n">
        <v>46119</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26810-2021</t>
        </is>
      </c>
      <c r="B324" s="1" t="n">
        <v>44349.55087962963</v>
      </c>
      <c r="C324" s="1" t="n">
        <v>46119</v>
      </c>
      <c r="D324" t="inlineStr">
        <is>
          <t>GOTLANDS LÄN</t>
        </is>
      </c>
      <c r="E324" t="inlineStr">
        <is>
          <t>GOTLAND</t>
        </is>
      </c>
      <c r="G324" t="n">
        <v>3.5</v>
      </c>
      <c r="H324" t="n">
        <v>0</v>
      </c>
      <c r="I324" t="n">
        <v>0</v>
      </c>
      <c r="J324" t="n">
        <v>0</v>
      </c>
      <c r="K324" t="n">
        <v>0</v>
      </c>
      <c r="L324" t="n">
        <v>0</v>
      </c>
      <c r="M324" t="n">
        <v>0</v>
      </c>
      <c r="N324" t="n">
        <v>0</v>
      </c>
      <c r="O324" t="n">
        <v>0</v>
      </c>
      <c r="P324" t="n">
        <v>0</v>
      </c>
      <c r="Q324" t="n">
        <v>0</v>
      </c>
      <c r="R324" s="2" t="inlineStr"/>
    </row>
    <row r="325" ht="15" customHeight="1">
      <c r="A325" t="inlineStr">
        <is>
          <t>A 40103-2025</t>
        </is>
      </c>
      <c r="B325" s="1" t="n">
        <v>45894.4880324074</v>
      </c>
      <c r="C325" s="1" t="n">
        <v>46119</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30489-2025</t>
        </is>
      </c>
      <c r="B326" s="1" t="n">
        <v>45830</v>
      </c>
      <c r="C326" s="1" t="n">
        <v>46119</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21142-2025</t>
        </is>
      </c>
      <c r="B327" s="1" t="n">
        <v>45779</v>
      </c>
      <c r="C327" s="1" t="n">
        <v>46119</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40499-2025</t>
        </is>
      </c>
      <c r="B328" s="1" t="n">
        <v>45896.32517361111</v>
      </c>
      <c r="C328" s="1" t="n">
        <v>46119</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6108-2025</t>
        </is>
      </c>
      <c r="B329" s="1" t="n">
        <v>45698.29880787037</v>
      </c>
      <c r="C329" s="1" t="n">
        <v>46119</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28425-2023</t>
        </is>
      </c>
      <c r="B330" s="1" t="n">
        <v>45102</v>
      </c>
      <c r="C330" s="1" t="n">
        <v>46119</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46119</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46119</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46119</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13037-2025</t>
        </is>
      </c>
      <c r="B334" s="1" t="n">
        <v>45734</v>
      </c>
      <c r="C334" s="1" t="n">
        <v>46119</v>
      </c>
      <c r="D334" t="inlineStr">
        <is>
          <t>GOTLANDS LÄN</t>
        </is>
      </c>
      <c r="E334" t="inlineStr">
        <is>
          <t>GOTLAND</t>
        </is>
      </c>
      <c r="G334" t="n">
        <v>9.5</v>
      </c>
      <c r="H334" t="n">
        <v>0</v>
      </c>
      <c r="I334" t="n">
        <v>0</v>
      </c>
      <c r="J334" t="n">
        <v>0</v>
      </c>
      <c r="K334" t="n">
        <v>0</v>
      </c>
      <c r="L334" t="n">
        <v>0</v>
      </c>
      <c r="M334" t="n">
        <v>0</v>
      </c>
      <c r="N334" t="n">
        <v>0</v>
      </c>
      <c r="O334" t="n">
        <v>0</v>
      </c>
      <c r="P334" t="n">
        <v>0</v>
      </c>
      <c r="Q334" t="n">
        <v>0</v>
      </c>
      <c r="R334" s="2" t="inlineStr"/>
    </row>
    <row r="335" ht="15" customHeight="1">
      <c r="A335" t="inlineStr">
        <is>
          <t>A 41551-2025</t>
        </is>
      </c>
      <c r="B335" s="1" t="n">
        <v>45901.58854166666</v>
      </c>
      <c r="C335" s="1" t="n">
        <v>46119</v>
      </c>
      <c r="D335" t="inlineStr">
        <is>
          <t>GOTLANDS LÄN</t>
        </is>
      </c>
      <c r="E335" t="inlineStr">
        <is>
          <t>GOTLAND</t>
        </is>
      </c>
      <c r="G335" t="n">
        <v>5.6</v>
      </c>
      <c r="H335" t="n">
        <v>0</v>
      </c>
      <c r="I335" t="n">
        <v>0</v>
      </c>
      <c r="J335" t="n">
        <v>0</v>
      </c>
      <c r="K335" t="n">
        <v>0</v>
      </c>
      <c r="L335" t="n">
        <v>0</v>
      </c>
      <c r="M335" t="n">
        <v>0</v>
      </c>
      <c r="N335" t="n">
        <v>0</v>
      </c>
      <c r="O335" t="n">
        <v>0</v>
      </c>
      <c r="P335" t="n">
        <v>0</v>
      </c>
      <c r="Q335" t="n">
        <v>0</v>
      </c>
      <c r="R335" s="2" t="inlineStr"/>
    </row>
    <row r="336" ht="15" customHeight="1">
      <c r="A336" t="inlineStr">
        <is>
          <t>A 39278-2025</t>
        </is>
      </c>
      <c r="B336" s="1" t="n">
        <v>45889</v>
      </c>
      <c r="C336" s="1" t="n">
        <v>46119</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41435-2025</t>
        </is>
      </c>
      <c r="B337" s="1" t="n">
        <v>45901.39974537037</v>
      </c>
      <c r="C337" s="1" t="n">
        <v>46119</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10746-2025</t>
        </is>
      </c>
      <c r="B338" s="1" t="n">
        <v>45722.42766203704</v>
      </c>
      <c r="C338" s="1" t="n">
        <v>46119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18993-2025</t>
        </is>
      </c>
      <c r="B339" s="1" t="n">
        <v>45764</v>
      </c>
      <c r="C339" s="1" t="n">
        <v>46119</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30135-2025</t>
        </is>
      </c>
      <c r="B340" s="1" t="n">
        <v>45826</v>
      </c>
      <c r="C340" s="1" t="n">
        <v>46119</v>
      </c>
      <c r="D340" t="inlineStr">
        <is>
          <t>GOTLANDS LÄN</t>
        </is>
      </c>
      <c r="E340" t="inlineStr">
        <is>
          <t>GOTLAND</t>
        </is>
      </c>
      <c r="G340" t="n">
        <v>2.7</v>
      </c>
      <c r="H340" t="n">
        <v>0</v>
      </c>
      <c r="I340" t="n">
        <v>0</v>
      </c>
      <c r="J340" t="n">
        <v>0</v>
      </c>
      <c r="K340" t="n">
        <v>0</v>
      </c>
      <c r="L340" t="n">
        <v>0</v>
      </c>
      <c r="M340" t="n">
        <v>0</v>
      </c>
      <c r="N340" t="n">
        <v>0</v>
      </c>
      <c r="O340" t="n">
        <v>0</v>
      </c>
      <c r="P340" t="n">
        <v>0</v>
      </c>
      <c r="Q340" t="n">
        <v>0</v>
      </c>
      <c r="R340" s="2" t="inlineStr"/>
    </row>
    <row r="341" ht="15" customHeight="1">
      <c r="A341" t="inlineStr">
        <is>
          <t>A 42608-2025</t>
        </is>
      </c>
      <c r="B341" s="1" t="n">
        <v>45905</v>
      </c>
      <c r="C341" s="1" t="n">
        <v>46119</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16373-2025</t>
        </is>
      </c>
      <c r="B342" s="1" t="n">
        <v>45751</v>
      </c>
      <c r="C342" s="1" t="n">
        <v>46119</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43229-2023</t>
        </is>
      </c>
      <c r="B343" s="1" t="n">
        <v>45183.46704861111</v>
      </c>
      <c r="C343" s="1" t="n">
        <v>46119</v>
      </c>
      <c r="D343" t="inlineStr">
        <is>
          <t>GOTLANDS LÄN</t>
        </is>
      </c>
      <c r="E343" t="inlineStr">
        <is>
          <t>GOTLAND</t>
        </is>
      </c>
      <c r="G343" t="n">
        <v>7.1</v>
      </c>
      <c r="H343" t="n">
        <v>0</v>
      </c>
      <c r="I343" t="n">
        <v>0</v>
      </c>
      <c r="J343" t="n">
        <v>0</v>
      </c>
      <c r="K343" t="n">
        <v>0</v>
      </c>
      <c r="L343" t="n">
        <v>0</v>
      </c>
      <c r="M343" t="n">
        <v>0</v>
      </c>
      <c r="N343" t="n">
        <v>0</v>
      </c>
      <c r="O343" t="n">
        <v>0</v>
      </c>
      <c r="P343" t="n">
        <v>0</v>
      </c>
      <c r="Q343" t="n">
        <v>0</v>
      </c>
      <c r="R343" s="2" t="inlineStr"/>
    </row>
    <row r="344" ht="15" customHeight="1">
      <c r="A344" t="inlineStr">
        <is>
          <t>A 12599-2025</t>
        </is>
      </c>
      <c r="B344" s="1" t="n">
        <v>45733.29546296296</v>
      </c>
      <c r="C344" s="1" t="n">
        <v>46119</v>
      </c>
      <c r="D344" t="inlineStr">
        <is>
          <t>GOTLANDS LÄN</t>
        </is>
      </c>
      <c r="E344" t="inlineStr">
        <is>
          <t>GOTLAND</t>
        </is>
      </c>
      <c r="G344" t="n">
        <v>4.7</v>
      </c>
      <c r="H344" t="n">
        <v>0</v>
      </c>
      <c r="I344" t="n">
        <v>0</v>
      </c>
      <c r="J344" t="n">
        <v>0</v>
      </c>
      <c r="K344" t="n">
        <v>0</v>
      </c>
      <c r="L344" t="n">
        <v>0</v>
      </c>
      <c r="M344" t="n">
        <v>0</v>
      </c>
      <c r="N344" t="n">
        <v>0</v>
      </c>
      <c r="O344" t="n">
        <v>0</v>
      </c>
      <c r="P344" t="n">
        <v>0</v>
      </c>
      <c r="Q344" t="n">
        <v>0</v>
      </c>
      <c r="R344" s="2" t="inlineStr"/>
    </row>
    <row r="345" ht="15" customHeight="1">
      <c r="A345" t="inlineStr">
        <is>
          <t>A 41038-2023</t>
        </is>
      </c>
      <c r="B345" s="1" t="n">
        <v>45173.60959490741</v>
      </c>
      <c r="C345" s="1" t="n">
        <v>46119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10158-2025</t>
        </is>
      </c>
      <c r="B346" s="1" t="n">
        <v>45719</v>
      </c>
      <c r="C346" s="1" t="n">
        <v>46119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46119</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24966-2023</t>
        </is>
      </c>
      <c r="B348" s="1" t="n">
        <v>45085</v>
      </c>
      <c r="C348" s="1" t="n">
        <v>46119</v>
      </c>
      <c r="D348" t="inlineStr">
        <is>
          <t>GOTLANDS LÄN</t>
        </is>
      </c>
      <c r="E348" t="inlineStr">
        <is>
          <t>GOTLAND</t>
        </is>
      </c>
      <c r="G348" t="n">
        <v>7</v>
      </c>
      <c r="H348" t="n">
        <v>0</v>
      </c>
      <c r="I348" t="n">
        <v>0</v>
      </c>
      <c r="J348" t="n">
        <v>0</v>
      </c>
      <c r="K348" t="n">
        <v>0</v>
      </c>
      <c r="L348" t="n">
        <v>0</v>
      </c>
      <c r="M348" t="n">
        <v>0</v>
      </c>
      <c r="N348" t="n">
        <v>0</v>
      </c>
      <c r="O348" t="n">
        <v>0</v>
      </c>
      <c r="P348" t="n">
        <v>0</v>
      </c>
      <c r="Q348" t="n">
        <v>0</v>
      </c>
      <c r="R348" s="2" t="inlineStr"/>
    </row>
    <row r="349" ht="15" customHeight="1">
      <c r="A349" t="inlineStr">
        <is>
          <t>A 57652-2023</t>
        </is>
      </c>
      <c r="B349" s="1" t="n">
        <v>45246</v>
      </c>
      <c r="C349" s="1" t="n">
        <v>46119</v>
      </c>
      <c r="D349" t="inlineStr">
        <is>
          <t>GOTLANDS LÄN</t>
        </is>
      </c>
      <c r="E349" t="inlineStr">
        <is>
          <t>GOTLAND</t>
        </is>
      </c>
      <c r="G349" t="n">
        <v>7.2</v>
      </c>
      <c r="H349" t="n">
        <v>0</v>
      </c>
      <c r="I349" t="n">
        <v>0</v>
      </c>
      <c r="J349" t="n">
        <v>0</v>
      </c>
      <c r="K349" t="n">
        <v>0</v>
      </c>
      <c r="L349" t="n">
        <v>0</v>
      </c>
      <c r="M349" t="n">
        <v>0</v>
      </c>
      <c r="N349" t="n">
        <v>0</v>
      </c>
      <c r="O349" t="n">
        <v>0</v>
      </c>
      <c r="P349" t="n">
        <v>0</v>
      </c>
      <c r="Q349" t="n">
        <v>0</v>
      </c>
      <c r="R349" s="2" t="inlineStr"/>
    </row>
    <row r="350" ht="15" customHeight="1">
      <c r="A350" t="inlineStr">
        <is>
          <t>A 46189-2022</t>
        </is>
      </c>
      <c r="B350" s="1" t="n">
        <v>44847</v>
      </c>
      <c r="C350" s="1" t="n">
        <v>46119</v>
      </c>
      <c r="D350" t="inlineStr">
        <is>
          <t>GOTLANDS LÄN</t>
        </is>
      </c>
      <c r="E350" t="inlineStr">
        <is>
          <t>GOTLAND</t>
        </is>
      </c>
      <c r="G350" t="n">
        <v>0.4</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46119</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46119</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57522-2022</t>
        </is>
      </c>
      <c r="B353" s="1" t="n">
        <v>44896</v>
      </c>
      <c r="C353" s="1" t="n">
        <v>46119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14797-2024</t>
        </is>
      </c>
      <c r="B354" s="1" t="n">
        <v>45397.87030092593</v>
      </c>
      <c r="C354" s="1" t="n">
        <v>46119</v>
      </c>
      <c r="D354" t="inlineStr">
        <is>
          <t>GOTLANDS LÄN</t>
        </is>
      </c>
      <c r="E354" t="inlineStr">
        <is>
          <t>GOTLAND</t>
        </is>
      </c>
      <c r="G354" t="n">
        <v>8.1</v>
      </c>
      <c r="H354" t="n">
        <v>0</v>
      </c>
      <c r="I354" t="n">
        <v>0</v>
      </c>
      <c r="J354" t="n">
        <v>0</v>
      </c>
      <c r="K354" t="n">
        <v>0</v>
      </c>
      <c r="L354" t="n">
        <v>0</v>
      </c>
      <c r="M354" t="n">
        <v>0</v>
      </c>
      <c r="N354" t="n">
        <v>0</v>
      </c>
      <c r="O354" t="n">
        <v>0</v>
      </c>
      <c r="P354" t="n">
        <v>0</v>
      </c>
      <c r="Q354" t="n">
        <v>0</v>
      </c>
      <c r="R354" s="2" t="inlineStr"/>
    </row>
    <row r="355" ht="15" customHeight="1">
      <c r="A355" t="inlineStr">
        <is>
          <t>A 44405-2025</t>
        </is>
      </c>
      <c r="B355" s="1" t="n">
        <v>45916.52405092592</v>
      </c>
      <c r="C355" s="1" t="n">
        <v>46119</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7837-2024</t>
        </is>
      </c>
      <c r="B356" s="1" t="n">
        <v>45349.83787037037</v>
      </c>
      <c r="C356" s="1" t="n">
        <v>46119</v>
      </c>
      <c r="D356" t="inlineStr">
        <is>
          <t>GOTLANDS LÄN</t>
        </is>
      </c>
      <c r="E356" t="inlineStr">
        <is>
          <t>GOTLAND</t>
        </is>
      </c>
      <c r="G356" t="n">
        <v>5</v>
      </c>
      <c r="H356" t="n">
        <v>0</v>
      </c>
      <c r="I356" t="n">
        <v>0</v>
      </c>
      <c r="J356" t="n">
        <v>0</v>
      </c>
      <c r="K356" t="n">
        <v>0</v>
      </c>
      <c r="L356" t="n">
        <v>0</v>
      </c>
      <c r="M356" t="n">
        <v>0</v>
      </c>
      <c r="N356" t="n">
        <v>0</v>
      </c>
      <c r="O356" t="n">
        <v>0</v>
      </c>
      <c r="P356" t="n">
        <v>0</v>
      </c>
      <c r="Q356" t="n">
        <v>0</v>
      </c>
      <c r="R356" s="2" t="inlineStr"/>
    </row>
    <row r="357" ht="15" customHeight="1">
      <c r="A357" t="inlineStr">
        <is>
          <t>A 1394-2023</t>
        </is>
      </c>
      <c r="B357" s="1" t="n">
        <v>44936.72997685185</v>
      </c>
      <c r="C357" s="1" t="n">
        <v>46119</v>
      </c>
      <c r="D357" t="inlineStr">
        <is>
          <t>GOTLANDS LÄN</t>
        </is>
      </c>
      <c r="E357" t="inlineStr">
        <is>
          <t>GOTLAND</t>
        </is>
      </c>
      <c r="G357" t="n">
        <v>2.1</v>
      </c>
      <c r="H357" t="n">
        <v>0</v>
      </c>
      <c r="I357" t="n">
        <v>0</v>
      </c>
      <c r="J357" t="n">
        <v>0</v>
      </c>
      <c r="K357" t="n">
        <v>0</v>
      </c>
      <c r="L357" t="n">
        <v>0</v>
      </c>
      <c r="M357" t="n">
        <v>0</v>
      </c>
      <c r="N357" t="n">
        <v>0</v>
      </c>
      <c r="O357" t="n">
        <v>0</v>
      </c>
      <c r="P357" t="n">
        <v>0</v>
      </c>
      <c r="Q357" t="n">
        <v>0</v>
      </c>
      <c r="R357" s="2" t="inlineStr"/>
    </row>
    <row r="358" ht="15" customHeight="1">
      <c r="A358" t="inlineStr">
        <is>
          <t>A 2676-2023</t>
        </is>
      </c>
      <c r="B358" s="1" t="n">
        <v>44944</v>
      </c>
      <c r="C358" s="1" t="n">
        <v>46119</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4387-2023</t>
        </is>
      </c>
      <c r="B359" s="1" t="n">
        <v>44955.73359953704</v>
      </c>
      <c r="C359" s="1" t="n">
        <v>46119</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49411-2023</t>
        </is>
      </c>
      <c r="B360" s="1" t="n">
        <v>45205</v>
      </c>
      <c r="C360" s="1" t="n">
        <v>46119</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37728-2024</t>
        </is>
      </c>
      <c r="B361" s="1" t="n">
        <v>45541</v>
      </c>
      <c r="C361" s="1" t="n">
        <v>46119</v>
      </c>
      <c r="D361" t="inlineStr">
        <is>
          <t>GOTLANDS LÄN</t>
        </is>
      </c>
      <c r="E361" t="inlineStr">
        <is>
          <t>GOTLAND</t>
        </is>
      </c>
      <c r="G361" t="n">
        <v>0.4</v>
      </c>
      <c r="H361" t="n">
        <v>0</v>
      </c>
      <c r="I361" t="n">
        <v>0</v>
      </c>
      <c r="J361" t="n">
        <v>0</v>
      </c>
      <c r="K361" t="n">
        <v>0</v>
      </c>
      <c r="L361" t="n">
        <v>0</v>
      </c>
      <c r="M361" t="n">
        <v>0</v>
      </c>
      <c r="N361" t="n">
        <v>0</v>
      </c>
      <c r="O361" t="n">
        <v>0</v>
      </c>
      <c r="P361" t="n">
        <v>0</v>
      </c>
      <c r="Q361" t="n">
        <v>0</v>
      </c>
      <c r="R361" s="2" t="inlineStr"/>
    </row>
    <row r="362" ht="15" customHeight="1">
      <c r="A362" t="inlineStr">
        <is>
          <t>A 2241-2025</t>
        </is>
      </c>
      <c r="B362" s="1" t="n">
        <v>45673.48710648148</v>
      </c>
      <c r="C362" s="1" t="n">
        <v>46119</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46119</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26391-2025</t>
        </is>
      </c>
      <c r="B364" s="1" t="n">
        <v>45806</v>
      </c>
      <c r="C364" s="1" t="n">
        <v>46119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46119</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46119</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46119</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46119</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46119</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46119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46119</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46836-2025</t>
        </is>
      </c>
      <c r="B372" s="1" t="n">
        <v>45928.31511574074</v>
      </c>
      <c r="C372" s="1" t="n">
        <v>46119</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47637-2025</t>
        </is>
      </c>
      <c r="B373" s="1" t="n">
        <v>45931.49753472222</v>
      </c>
      <c r="C373" s="1" t="n">
        <v>46119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46119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46119</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2180-2025</t>
        </is>
      </c>
      <c r="B376" s="1" t="n">
        <v>45673</v>
      </c>
      <c r="C376" s="1" t="n">
        <v>46119</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32378-2025</t>
        </is>
      </c>
      <c r="B377" s="1" t="n">
        <v>45837</v>
      </c>
      <c r="C377" s="1" t="n">
        <v>46119</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54074-2022</t>
        </is>
      </c>
      <c r="B378" s="1" t="n">
        <v>44881</v>
      </c>
      <c r="C378" s="1" t="n">
        <v>46119</v>
      </c>
      <c r="D378" t="inlineStr">
        <is>
          <t>GOTLANDS LÄN</t>
        </is>
      </c>
      <c r="E378" t="inlineStr">
        <is>
          <t>GOTLAND</t>
        </is>
      </c>
      <c r="G378" t="n">
        <v>0.9</v>
      </c>
      <c r="H378" t="n">
        <v>0</v>
      </c>
      <c r="I378" t="n">
        <v>0</v>
      </c>
      <c r="J378" t="n">
        <v>0</v>
      </c>
      <c r="K378" t="n">
        <v>0</v>
      </c>
      <c r="L378" t="n">
        <v>0</v>
      </c>
      <c r="M378" t="n">
        <v>0</v>
      </c>
      <c r="N378" t="n">
        <v>0</v>
      </c>
      <c r="O378" t="n">
        <v>0</v>
      </c>
      <c r="P378" t="n">
        <v>0</v>
      </c>
      <c r="Q378" t="n">
        <v>0</v>
      </c>
      <c r="R378" s="2" t="inlineStr"/>
    </row>
    <row r="379" ht="15" customHeight="1">
      <c r="A379" t="inlineStr">
        <is>
          <t>A 61694-2023</t>
        </is>
      </c>
      <c r="B379" s="1" t="n">
        <v>45264</v>
      </c>
      <c r="C379" s="1" t="n">
        <v>46119</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64208-2021</t>
        </is>
      </c>
      <c r="B380" s="1" t="n">
        <v>44510</v>
      </c>
      <c r="C380" s="1" t="n">
        <v>46119</v>
      </c>
      <c r="D380" t="inlineStr">
        <is>
          <t>GOTLANDS LÄN</t>
        </is>
      </c>
      <c r="E380" t="inlineStr">
        <is>
          <t>GOTLAND</t>
        </is>
      </c>
      <c r="G380" t="n">
        <v>4.7</v>
      </c>
      <c r="H380" t="n">
        <v>0</v>
      </c>
      <c r="I380" t="n">
        <v>0</v>
      </c>
      <c r="J380" t="n">
        <v>0</v>
      </c>
      <c r="K380" t="n">
        <v>0</v>
      </c>
      <c r="L380" t="n">
        <v>0</v>
      </c>
      <c r="M380" t="n">
        <v>0</v>
      </c>
      <c r="N380" t="n">
        <v>0</v>
      </c>
      <c r="O380" t="n">
        <v>0</v>
      </c>
      <c r="P380" t="n">
        <v>0</v>
      </c>
      <c r="Q380" t="n">
        <v>0</v>
      </c>
      <c r="R380" s="2" t="inlineStr"/>
    </row>
    <row r="381" ht="15" customHeight="1">
      <c r="A381" t="inlineStr">
        <is>
          <t>A 54268-2022</t>
        </is>
      </c>
      <c r="B381" s="1" t="n">
        <v>44882</v>
      </c>
      <c r="C381" s="1" t="n">
        <v>46119</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1446-2025</t>
        </is>
      </c>
      <c r="B382" s="1" t="n">
        <v>45669.86035879629</v>
      </c>
      <c r="C382" s="1" t="n">
        <v>46119</v>
      </c>
      <c r="D382" t="inlineStr">
        <is>
          <t>GOTLANDS LÄN</t>
        </is>
      </c>
      <c r="E382" t="inlineStr">
        <is>
          <t>GOTLAND</t>
        </is>
      </c>
      <c r="G382" t="n">
        <v>3.1</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46119</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35550-2025</t>
        </is>
      </c>
      <c r="B384" s="1" t="n">
        <v>45856.49324074074</v>
      </c>
      <c r="C384" s="1" t="n">
        <v>46119</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57685-2022</t>
        </is>
      </c>
      <c r="B385" s="1" t="n">
        <v>44897.4777662037</v>
      </c>
      <c r="C385" s="1" t="n">
        <v>46119</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811-2023</t>
        </is>
      </c>
      <c r="B386" s="1" t="n">
        <v>44931</v>
      </c>
      <c r="C386" s="1" t="n">
        <v>46119</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47578-2025</t>
        </is>
      </c>
      <c r="B387" s="1" t="n">
        <v>45931</v>
      </c>
      <c r="C387" s="1" t="n">
        <v>46119</v>
      </c>
      <c r="D387" t="inlineStr">
        <is>
          <t>GOTLANDS LÄN</t>
        </is>
      </c>
      <c r="E387" t="inlineStr">
        <is>
          <t>GOTLAND</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33011-2025</t>
        </is>
      </c>
      <c r="B388" s="1" t="n">
        <v>45840</v>
      </c>
      <c r="C388" s="1" t="n">
        <v>46119</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49690-2025</t>
        </is>
      </c>
      <c r="B389" s="1" t="n">
        <v>45939.66730324074</v>
      </c>
      <c r="C389" s="1" t="n">
        <v>46119</v>
      </c>
      <c r="D389" t="inlineStr">
        <is>
          <t>GOTLANDS LÄN</t>
        </is>
      </c>
      <c r="E389" t="inlineStr">
        <is>
          <t>GOTLAND</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5905-2024</t>
        </is>
      </c>
      <c r="B390" s="1" t="n">
        <v>45335.88993055555</v>
      </c>
      <c r="C390" s="1" t="n">
        <v>46119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3431-2025</t>
        </is>
      </c>
      <c r="B391" s="1" t="n">
        <v>45680.42935185185</v>
      </c>
      <c r="C391" s="1" t="n">
        <v>46119</v>
      </c>
      <c r="D391" t="inlineStr">
        <is>
          <t>GOTLANDS LÄN</t>
        </is>
      </c>
      <c r="E391" t="inlineStr">
        <is>
          <t>GOTLAND</t>
        </is>
      </c>
      <c r="G391" t="n">
        <v>4.8</v>
      </c>
      <c r="H391" t="n">
        <v>0</v>
      </c>
      <c r="I391" t="n">
        <v>0</v>
      </c>
      <c r="J391" t="n">
        <v>0</v>
      </c>
      <c r="K391" t="n">
        <v>0</v>
      </c>
      <c r="L391" t="n">
        <v>0</v>
      </c>
      <c r="M391" t="n">
        <v>0</v>
      </c>
      <c r="N391" t="n">
        <v>0</v>
      </c>
      <c r="O391" t="n">
        <v>0</v>
      </c>
      <c r="P391" t="n">
        <v>0</v>
      </c>
      <c r="Q391" t="n">
        <v>0</v>
      </c>
      <c r="R391" s="2" t="inlineStr"/>
    </row>
    <row r="392" ht="15" customHeight="1">
      <c r="A392" t="inlineStr">
        <is>
          <t>A 34407-2023</t>
        </is>
      </c>
      <c r="B392" s="1" t="n">
        <v>45132</v>
      </c>
      <c r="C392" s="1" t="n">
        <v>46119</v>
      </c>
      <c r="D392" t="inlineStr">
        <is>
          <t>GOTLANDS LÄN</t>
        </is>
      </c>
      <c r="E392" t="inlineStr">
        <is>
          <t>GOTLAND</t>
        </is>
      </c>
      <c r="G392" t="n">
        <v>4.4</v>
      </c>
      <c r="H392" t="n">
        <v>0</v>
      </c>
      <c r="I392" t="n">
        <v>0</v>
      </c>
      <c r="J392" t="n">
        <v>0</v>
      </c>
      <c r="K392" t="n">
        <v>0</v>
      </c>
      <c r="L392" t="n">
        <v>0</v>
      </c>
      <c r="M392" t="n">
        <v>0</v>
      </c>
      <c r="N392" t="n">
        <v>0</v>
      </c>
      <c r="O392" t="n">
        <v>0</v>
      </c>
      <c r="P392" t="n">
        <v>0</v>
      </c>
      <c r="Q392" t="n">
        <v>0</v>
      </c>
      <c r="R392" s="2" t="inlineStr"/>
    </row>
    <row r="393" ht="15" customHeight="1">
      <c r="A393" t="inlineStr">
        <is>
          <t>A 30892-2024</t>
        </is>
      </c>
      <c r="B393" s="1" t="n">
        <v>45491</v>
      </c>
      <c r="C393" s="1" t="n">
        <v>46119</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32958-2021</t>
        </is>
      </c>
      <c r="B394" s="1" t="n">
        <v>44376</v>
      </c>
      <c r="C394" s="1" t="n">
        <v>46119</v>
      </c>
      <c r="D394" t="inlineStr">
        <is>
          <t>GOTLANDS LÄN</t>
        </is>
      </c>
      <c r="E394" t="inlineStr">
        <is>
          <t>GOTLAND</t>
        </is>
      </c>
      <c r="G394" t="n">
        <v>2.2</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46119</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46119</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7858-2025</t>
        </is>
      </c>
      <c r="B397" s="1" t="n">
        <v>45706.68633101852</v>
      </c>
      <c r="C397" s="1" t="n">
        <v>46119</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46545-2024</t>
        </is>
      </c>
      <c r="B398" s="1" t="n">
        <v>45582.65831018519</v>
      </c>
      <c r="C398" s="1" t="n">
        <v>46119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999-2023</t>
        </is>
      </c>
      <c r="B399" s="1" t="n">
        <v>44935</v>
      </c>
      <c r="C399" s="1" t="n">
        <v>46119</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1364-2025</t>
        </is>
      </c>
      <c r="B400" s="1" t="n">
        <v>45667.63929398148</v>
      </c>
      <c r="C400" s="1" t="n">
        <v>46119</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2125-2025</t>
        </is>
      </c>
      <c r="B401" s="1" t="n">
        <v>45672.64940972222</v>
      </c>
      <c r="C401" s="1" t="n">
        <v>46119</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50421-2025</t>
        </is>
      </c>
      <c r="B402" s="1" t="n">
        <v>45944.66049768519</v>
      </c>
      <c r="C402" s="1" t="n">
        <v>46119</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50431-2025</t>
        </is>
      </c>
      <c r="B403" s="1" t="n">
        <v>45944.68453703704</v>
      </c>
      <c r="C403" s="1" t="n">
        <v>46119</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14141-2024</t>
        </is>
      </c>
      <c r="B404" s="1" t="n">
        <v>45392.85193287037</v>
      </c>
      <c r="C404" s="1" t="n">
        <v>46119</v>
      </c>
      <c r="D404" t="inlineStr">
        <is>
          <t>GOTLANDS LÄN</t>
        </is>
      </c>
      <c r="E404" t="inlineStr">
        <is>
          <t>GOTLAND</t>
        </is>
      </c>
      <c r="G404" t="n">
        <v>5.3</v>
      </c>
      <c r="H404" t="n">
        <v>0</v>
      </c>
      <c r="I404" t="n">
        <v>0</v>
      </c>
      <c r="J404" t="n">
        <v>0</v>
      </c>
      <c r="K404" t="n">
        <v>0</v>
      </c>
      <c r="L404" t="n">
        <v>0</v>
      </c>
      <c r="M404" t="n">
        <v>0</v>
      </c>
      <c r="N404" t="n">
        <v>0</v>
      </c>
      <c r="O404" t="n">
        <v>0</v>
      </c>
      <c r="P404" t="n">
        <v>0</v>
      </c>
      <c r="Q404" t="n">
        <v>0</v>
      </c>
      <c r="R404" s="2" t="inlineStr"/>
    </row>
    <row r="405" ht="15" customHeight="1">
      <c r="A405" t="inlineStr">
        <is>
          <t>A 12155-2023</t>
        </is>
      </c>
      <c r="B405" s="1" t="n">
        <v>44998.49106481481</v>
      </c>
      <c r="C405" s="1" t="n">
        <v>46119</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50928-2025</t>
        </is>
      </c>
      <c r="B406" s="1" t="n">
        <v>45946.67896990741</v>
      </c>
      <c r="C406" s="1" t="n">
        <v>46119</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51262-2025</t>
        </is>
      </c>
      <c r="B407" s="1" t="n">
        <v>45949.49872685185</v>
      </c>
      <c r="C407" s="1" t="n">
        <v>46119</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2774-2024</t>
        </is>
      </c>
      <c r="B408" s="1" t="n">
        <v>45314.62375</v>
      </c>
      <c r="C408" s="1" t="n">
        <v>46119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9947-2024</t>
        </is>
      </c>
      <c r="B409" s="1" t="n">
        <v>45363</v>
      </c>
      <c r="C409" s="1" t="n">
        <v>46119</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42007-2023</t>
        </is>
      </c>
      <c r="B410" s="1" t="n">
        <v>45177</v>
      </c>
      <c r="C410" s="1" t="n">
        <v>46119</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46119</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46119</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15083-2025</t>
        </is>
      </c>
      <c r="B413" s="1" t="n">
        <v>45743</v>
      </c>
      <c r="C413" s="1" t="n">
        <v>46119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53577-2025</t>
        </is>
      </c>
      <c r="B414" s="1" t="n">
        <v>45960.42224537037</v>
      </c>
      <c r="C414" s="1" t="n">
        <v>46119</v>
      </c>
      <c r="D414" t="inlineStr">
        <is>
          <t>GOTLANDS LÄN</t>
        </is>
      </c>
      <c r="E414" t="inlineStr">
        <is>
          <t>GOTLAND</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53569-2025</t>
        </is>
      </c>
      <c r="B415" s="1" t="n">
        <v>45960.41155092593</v>
      </c>
      <c r="C415" s="1" t="n">
        <v>46119</v>
      </c>
      <c r="D415" t="inlineStr">
        <is>
          <t>GOTLANDS LÄN</t>
        </is>
      </c>
      <c r="E415" t="inlineStr">
        <is>
          <t>GOTLAND</t>
        </is>
      </c>
      <c r="F415" t="inlineStr">
        <is>
          <t>Övriga Aktiebolag</t>
        </is>
      </c>
      <c r="G415" t="n">
        <v>11.3</v>
      </c>
      <c r="H415" t="n">
        <v>0</v>
      </c>
      <c r="I415" t="n">
        <v>0</v>
      </c>
      <c r="J415" t="n">
        <v>0</v>
      </c>
      <c r="K415" t="n">
        <v>0</v>
      </c>
      <c r="L415" t="n">
        <v>0</v>
      </c>
      <c r="M415" t="n">
        <v>0</v>
      </c>
      <c r="N415" t="n">
        <v>0</v>
      </c>
      <c r="O415" t="n">
        <v>0</v>
      </c>
      <c r="P415" t="n">
        <v>0</v>
      </c>
      <c r="Q415" t="n">
        <v>0</v>
      </c>
      <c r="R415" s="2" t="inlineStr"/>
    </row>
    <row r="416" ht="15" customHeight="1">
      <c r="A416" t="inlineStr">
        <is>
          <t>A 1066-2024</t>
        </is>
      </c>
      <c r="B416" s="1" t="n">
        <v>45302.285</v>
      </c>
      <c r="C416" s="1" t="n">
        <v>46119</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37202-2024</t>
        </is>
      </c>
      <c r="B417" s="1" t="n">
        <v>45539.67310185185</v>
      </c>
      <c r="C417" s="1" t="n">
        <v>46119</v>
      </c>
      <c r="D417" t="inlineStr">
        <is>
          <t>GOTLANDS LÄN</t>
        </is>
      </c>
      <c r="E417" t="inlineStr">
        <is>
          <t>GOTLAND</t>
        </is>
      </c>
      <c r="G417" t="n">
        <v>0.3</v>
      </c>
      <c r="H417" t="n">
        <v>0</v>
      </c>
      <c r="I417" t="n">
        <v>0</v>
      </c>
      <c r="J417" t="n">
        <v>0</v>
      </c>
      <c r="K417" t="n">
        <v>0</v>
      </c>
      <c r="L417" t="n">
        <v>0</v>
      </c>
      <c r="M417" t="n">
        <v>0</v>
      </c>
      <c r="N417" t="n">
        <v>0</v>
      </c>
      <c r="O417" t="n">
        <v>0</v>
      </c>
      <c r="P417" t="n">
        <v>0</v>
      </c>
      <c r="Q417" t="n">
        <v>0</v>
      </c>
      <c r="R417" s="2" t="inlineStr"/>
    </row>
    <row r="418" ht="15" customHeight="1">
      <c r="A418" t="inlineStr">
        <is>
          <t>A 30815-2023</t>
        </is>
      </c>
      <c r="B418" s="1" t="n">
        <v>45112</v>
      </c>
      <c r="C418" s="1" t="n">
        <v>46119</v>
      </c>
      <c r="D418" t="inlineStr">
        <is>
          <t>GOTLANDS LÄN</t>
        </is>
      </c>
      <c r="E418" t="inlineStr">
        <is>
          <t>GOTLAND</t>
        </is>
      </c>
      <c r="G418" t="n">
        <v>6</v>
      </c>
      <c r="H418" t="n">
        <v>0</v>
      </c>
      <c r="I418" t="n">
        <v>0</v>
      </c>
      <c r="J418" t="n">
        <v>0</v>
      </c>
      <c r="K418" t="n">
        <v>0</v>
      </c>
      <c r="L418" t="n">
        <v>0</v>
      </c>
      <c r="M418" t="n">
        <v>0</v>
      </c>
      <c r="N418" t="n">
        <v>0</v>
      </c>
      <c r="O418" t="n">
        <v>0</v>
      </c>
      <c r="P418" t="n">
        <v>0</v>
      </c>
      <c r="Q418" t="n">
        <v>0</v>
      </c>
      <c r="R418" s="2" t="inlineStr"/>
    </row>
    <row r="419" ht="15" customHeight="1">
      <c r="A419" t="inlineStr">
        <is>
          <t>A 46400-2023</t>
        </is>
      </c>
      <c r="B419" s="1" t="n">
        <v>45197.49290509259</v>
      </c>
      <c r="C419" s="1" t="n">
        <v>46119</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10492-2023</t>
        </is>
      </c>
      <c r="B420" s="1" t="n">
        <v>44987</v>
      </c>
      <c r="C420" s="1" t="n">
        <v>46119</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44919-2022</t>
        </is>
      </c>
      <c r="B421" s="1" t="n">
        <v>44841</v>
      </c>
      <c r="C421" s="1" t="n">
        <v>46119</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16501-2023</t>
        </is>
      </c>
      <c r="B422" s="1" t="n">
        <v>45029</v>
      </c>
      <c r="C422" s="1" t="n">
        <v>46119</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27095-2022</t>
        </is>
      </c>
      <c r="B423" s="1" t="n">
        <v>44741</v>
      </c>
      <c r="C423" s="1" t="n">
        <v>46119</v>
      </c>
      <c r="D423" t="inlineStr">
        <is>
          <t>GOTLANDS LÄN</t>
        </is>
      </c>
      <c r="E423" t="inlineStr">
        <is>
          <t>GOTLAND</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458-2023</t>
        </is>
      </c>
      <c r="B424" s="1" t="n">
        <v>44929</v>
      </c>
      <c r="C424" s="1" t="n">
        <v>46119</v>
      </c>
      <c r="D424" t="inlineStr">
        <is>
          <t>GOTLANDS LÄN</t>
        </is>
      </c>
      <c r="E424" t="inlineStr">
        <is>
          <t>GOTLAND</t>
        </is>
      </c>
      <c r="G424" t="n">
        <v>3.6</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46119</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32330-2024</t>
        </is>
      </c>
      <c r="B426" s="1" t="n">
        <v>45512</v>
      </c>
      <c r="C426" s="1" t="n">
        <v>46119</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5891-2025</t>
        </is>
      </c>
      <c r="B427" s="1" t="n">
        <v>45695.38327546296</v>
      </c>
      <c r="C427" s="1" t="n">
        <v>46119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56688-2025</t>
        </is>
      </c>
      <c r="B428" s="1" t="n">
        <v>45975.84331018518</v>
      </c>
      <c r="C428" s="1" t="n">
        <v>46119</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46119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2719-2023</t>
        </is>
      </c>
      <c r="B430" s="1" t="n">
        <v>44944.55361111111</v>
      </c>
      <c r="C430" s="1" t="n">
        <v>46119</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17144-2025</t>
        </is>
      </c>
      <c r="B431" s="1" t="n">
        <v>45755.9499537037</v>
      </c>
      <c r="C431" s="1" t="n">
        <v>46119</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49314-2024</t>
        </is>
      </c>
      <c r="B432" s="1" t="n">
        <v>45595.55893518519</v>
      </c>
      <c r="C432" s="1" t="n">
        <v>46119</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9875-2025</t>
        </is>
      </c>
      <c r="B433" s="1" t="n">
        <v>45716</v>
      </c>
      <c r="C433" s="1" t="n">
        <v>46119</v>
      </c>
      <c r="D433" t="inlineStr">
        <is>
          <t>GOTLANDS LÄN</t>
        </is>
      </c>
      <c r="E433" t="inlineStr">
        <is>
          <t>GOTLAND</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46119</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16361-2024</t>
        </is>
      </c>
      <c r="B435" s="1" t="n">
        <v>45407</v>
      </c>
      <c r="C435" s="1" t="n">
        <v>46119</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46119</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1175-2025</t>
        </is>
      </c>
      <c r="B437" s="1" t="n">
        <v>45667.34449074074</v>
      </c>
      <c r="C437" s="1" t="n">
        <v>46119</v>
      </c>
      <c r="D437" t="inlineStr">
        <is>
          <t>GOTLANDS LÄN</t>
        </is>
      </c>
      <c r="E437" t="inlineStr">
        <is>
          <t>GOTLAND</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42201-2023</t>
        </is>
      </c>
      <c r="B438" s="1" t="n">
        <v>45179</v>
      </c>
      <c r="C438" s="1" t="n">
        <v>46119</v>
      </c>
      <c r="D438" t="inlineStr">
        <is>
          <t>GOTLANDS LÄN</t>
        </is>
      </c>
      <c r="E438" t="inlineStr">
        <is>
          <t>GOTLAND</t>
        </is>
      </c>
      <c r="G438" t="n">
        <v>11.9</v>
      </c>
      <c r="H438" t="n">
        <v>0</v>
      </c>
      <c r="I438" t="n">
        <v>0</v>
      </c>
      <c r="J438" t="n">
        <v>0</v>
      </c>
      <c r="K438" t="n">
        <v>0</v>
      </c>
      <c r="L438" t="n">
        <v>0</v>
      </c>
      <c r="M438" t="n">
        <v>0</v>
      </c>
      <c r="N438" t="n">
        <v>0</v>
      </c>
      <c r="O438" t="n">
        <v>0</v>
      </c>
      <c r="P438" t="n">
        <v>0</v>
      </c>
      <c r="Q438" t="n">
        <v>0</v>
      </c>
      <c r="R438" s="2" t="inlineStr"/>
    </row>
    <row r="439" ht="15" customHeight="1">
      <c r="A439" t="inlineStr">
        <is>
          <t>A 3150-2025</t>
        </is>
      </c>
      <c r="B439" s="1" t="n">
        <v>45679.28974537037</v>
      </c>
      <c r="C439" s="1" t="n">
        <v>46119</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46119</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42041-2024</t>
        </is>
      </c>
      <c r="B441" s="1" t="n">
        <v>45561</v>
      </c>
      <c r="C441" s="1" t="n">
        <v>46119</v>
      </c>
      <c r="D441" t="inlineStr">
        <is>
          <t>GOTLANDS LÄN</t>
        </is>
      </c>
      <c r="E441" t="inlineStr">
        <is>
          <t>GOTLAND</t>
        </is>
      </c>
      <c r="G441" t="n">
        <v>3.2</v>
      </c>
      <c r="H441" t="n">
        <v>0</v>
      </c>
      <c r="I441" t="n">
        <v>0</v>
      </c>
      <c r="J441" t="n">
        <v>0</v>
      </c>
      <c r="K441" t="n">
        <v>0</v>
      </c>
      <c r="L441" t="n">
        <v>0</v>
      </c>
      <c r="M441" t="n">
        <v>0</v>
      </c>
      <c r="N441" t="n">
        <v>0</v>
      </c>
      <c r="O441" t="n">
        <v>0</v>
      </c>
      <c r="P441" t="n">
        <v>0</v>
      </c>
      <c r="Q441" t="n">
        <v>0</v>
      </c>
      <c r="R441" s="2" t="inlineStr"/>
    </row>
    <row r="442" ht="15" customHeight="1">
      <c r="A442" t="inlineStr">
        <is>
          <t>A 36319-2025</t>
        </is>
      </c>
      <c r="B442" s="1" t="n">
        <v>45868</v>
      </c>
      <c r="C442" s="1" t="n">
        <v>46119</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15436-2025</t>
        </is>
      </c>
      <c r="B443" s="1" t="n">
        <v>45747.47462962963</v>
      </c>
      <c r="C443" s="1" t="n">
        <v>46119</v>
      </c>
      <c r="D443" t="inlineStr">
        <is>
          <t>GOTLANDS LÄN</t>
        </is>
      </c>
      <c r="E443" t="inlineStr">
        <is>
          <t>GOTLAND</t>
        </is>
      </c>
      <c r="G443" t="n">
        <v>4.1</v>
      </c>
      <c r="H443" t="n">
        <v>0</v>
      </c>
      <c r="I443" t="n">
        <v>0</v>
      </c>
      <c r="J443" t="n">
        <v>0</v>
      </c>
      <c r="K443" t="n">
        <v>0</v>
      </c>
      <c r="L443" t="n">
        <v>0</v>
      </c>
      <c r="M443" t="n">
        <v>0</v>
      </c>
      <c r="N443" t="n">
        <v>0</v>
      </c>
      <c r="O443" t="n">
        <v>0</v>
      </c>
      <c r="P443" t="n">
        <v>0</v>
      </c>
      <c r="Q443" t="n">
        <v>0</v>
      </c>
      <c r="R443" s="2" t="inlineStr"/>
    </row>
    <row r="444" ht="15" customHeight="1">
      <c r="A444" t="inlineStr">
        <is>
          <t>A 21247-2022</t>
        </is>
      </c>
      <c r="B444" s="1" t="n">
        <v>44705.38832175926</v>
      </c>
      <c r="C444" s="1" t="n">
        <v>46119</v>
      </c>
      <c r="D444" t="inlineStr">
        <is>
          <t>GOTLANDS LÄN</t>
        </is>
      </c>
      <c r="E444" t="inlineStr">
        <is>
          <t>GOTLAND</t>
        </is>
      </c>
      <c r="G444" t="n">
        <v>16.2</v>
      </c>
      <c r="H444" t="n">
        <v>0</v>
      </c>
      <c r="I444" t="n">
        <v>0</v>
      </c>
      <c r="J444" t="n">
        <v>0</v>
      </c>
      <c r="K444" t="n">
        <v>0</v>
      </c>
      <c r="L444" t="n">
        <v>0</v>
      </c>
      <c r="M444" t="n">
        <v>0</v>
      </c>
      <c r="N444" t="n">
        <v>0</v>
      </c>
      <c r="O444" t="n">
        <v>0</v>
      </c>
      <c r="P444" t="n">
        <v>0</v>
      </c>
      <c r="Q444" t="n">
        <v>0</v>
      </c>
      <c r="R444" s="2" t="inlineStr"/>
    </row>
    <row r="445" ht="15" customHeight="1">
      <c r="A445" t="inlineStr">
        <is>
          <t>A 17780-2022</t>
        </is>
      </c>
      <c r="B445" s="1" t="n">
        <v>44682.82622685185</v>
      </c>
      <c r="C445" s="1" t="n">
        <v>46119</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63516-2023</t>
        </is>
      </c>
      <c r="B446" s="1" t="n">
        <v>45274</v>
      </c>
      <c r="C446" s="1" t="n">
        <v>46119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53935-2024</t>
        </is>
      </c>
      <c r="B447" s="1" t="n">
        <v>45615</v>
      </c>
      <c r="C447" s="1" t="n">
        <v>46119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69112-2021</t>
        </is>
      </c>
      <c r="B448" s="1" t="n">
        <v>44530</v>
      </c>
      <c r="C448" s="1" t="n">
        <v>46119</v>
      </c>
      <c r="D448" t="inlineStr">
        <is>
          <t>GOTLANDS LÄN</t>
        </is>
      </c>
      <c r="E448" t="inlineStr">
        <is>
          <t>GOTLAND</t>
        </is>
      </c>
      <c r="G448" t="n">
        <v>4.2</v>
      </c>
      <c r="H448" t="n">
        <v>0</v>
      </c>
      <c r="I448" t="n">
        <v>0</v>
      </c>
      <c r="J448" t="n">
        <v>0</v>
      </c>
      <c r="K448" t="n">
        <v>0</v>
      </c>
      <c r="L448" t="n">
        <v>0</v>
      </c>
      <c r="M448" t="n">
        <v>0</v>
      </c>
      <c r="N448" t="n">
        <v>0</v>
      </c>
      <c r="O448" t="n">
        <v>0</v>
      </c>
      <c r="P448" t="n">
        <v>0</v>
      </c>
      <c r="Q448" t="n">
        <v>0</v>
      </c>
      <c r="R448" s="2" t="inlineStr"/>
    </row>
    <row r="449" ht="15" customHeight="1">
      <c r="A449" t="inlineStr">
        <is>
          <t>A 48734-2022</t>
        </is>
      </c>
      <c r="B449" s="1" t="n">
        <v>44855</v>
      </c>
      <c r="C449" s="1" t="n">
        <v>46119</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23516-2023</t>
        </is>
      </c>
      <c r="B450" s="1" t="n">
        <v>45076.93391203704</v>
      </c>
      <c r="C450" s="1" t="n">
        <v>46119</v>
      </c>
      <c r="D450" t="inlineStr">
        <is>
          <t>GOTLANDS LÄN</t>
        </is>
      </c>
      <c r="E450" t="inlineStr">
        <is>
          <t>GOTLAND</t>
        </is>
      </c>
      <c r="G450" t="n">
        <v>1.4</v>
      </c>
      <c r="H450" t="n">
        <v>0</v>
      </c>
      <c r="I450" t="n">
        <v>0</v>
      </c>
      <c r="J450" t="n">
        <v>0</v>
      </c>
      <c r="K450" t="n">
        <v>0</v>
      </c>
      <c r="L450" t="n">
        <v>0</v>
      </c>
      <c r="M450" t="n">
        <v>0</v>
      </c>
      <c r="N450" t="n">
        <v>0</v>
      </c>
      <c r="O450" t="n">
        <v>0</v>
      </c>
      <c r="P450" t="n">
        <v>0</v>
      </c>
      <c r="Q450" t="n">
        <v>0</v>
      </c>
      <c r="R450" s="2" t="inlineStr"/>
    </row>
    <row r="451" ht="15" customHeight="1">
      <c r="A451" t="inlineStr">
        <is>
          <t>A 43231-2023</t>
        </is>
      </c>
      <c r="B451" s="1" t="n">
        <v>45183.47025462963</v>
      </c>
      <c r="C451" s="1" t="n">
        <v>46119</v>
      </c>
      <c r="D451" t="inlineStr">
        <is>
          <t>GOTLANDS LÄN</t>
        </is>
      </c>
      <c r="E451" t="inlineStr">
        <is>
          <t>GOTLAND</t>
        </is>
      </c>
      <c r="G451" t="n">
        <v>3.6</v>
      </c>
      <c r="H451" t="n">
        <v>0</v>
      </c>
      <c r="I451" t="n">
        <v>0</v>
      </c>
      <c r="J451" t="n">
        <v>0</v>
      </c>
      <c r="K451" t="n">
        <v>0</v>
      </c>
      <c r="L451" t="n">
        <v>0</v>
      </c>
      <c r="M451" t="n">
        <v>0</v>
      </c>
      <c r="N451" t="n">
        <v>0</v>
      </c>
      <c r="O451" t="n">
        <v>0</v>
      </c>
      <c r="P451" t="n">
        <v>0</v>
      </c>
      <c r="Q451" t="n">
        <v>0</v>
      </c>
      <c r="R451" s="2" t="inlineStr"/>
    </row>
    <row r="452" ht="15" customHeight="1">
      <c r="A452" t="inlineStr">
        <is>
          <t>A 58230-2024</t>
        </is>
      </c>
      <c r="B452" s="1" t="n">
        <v>45632.51625</v>
      </c>
      <c r="C452" s="1" t="n">
        <v>46119</v>
      </c>
      <c r="D452" t="inlineStr">
        <is>
          <t>GOTLANDS LÄN</t>
        </is>
      </c>
      <c r="E452" t="inlineStr">
        <is>
          <t>GOTLAND</t>
        </is>
      </c>
      <c r="G452" t="n">
        <v>7.3</v>
      </c>
      <c r="H452" t="n">
        <v>0</v>
      </c>
      <c r="I452" t="n">
        <v>0</v>
      </c>
      <c r="J452" t="n">
        <v>0</v>
      </c>
      <c r="K452" t="n">
        <v>0</v>
      </c>
      <c r="L452" t="n">
        <v>0</v>
      </c>
      <c r="M452" t="n">
        <v>0</v>
      </c>
      <c r="N452" t="n">
        <v>0</v>
      </c>
      <c r="O452" t="n">
        <v>0</v>
      </c>
      <c r="P452" t="n">
        <v>0</v>
      </c>
      <c r="Q452" t="n">
        <v>0</v>
      </c>
      <c r="R452" s="2" t="inlineStr"/>
    </row>
    <row r="453" ht="15" customHeight="1">
      <c r="A453" t="inlineStr">
        <is>
          <t>A 64555-2023</t>
        </is>
      </c>
      <c r="B453" s="1" t="n">
        <v>45281</v>
      </c>
      <c r="C453" s="1" t="n">
        <v>46119</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457-2023</t>
        </is>
      </c>
      <c r="B454" s="1" t="n">
        <v>44929.87238425926</v>
      </c>
      <c r="C454" s="1" t="n">
        <v>46119</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459-2023</t>
        </is>
      </c>
      <c r="B455" s="1" t="n">
        <v>44929.87423611111</v>
      </c>
      <c r="C455" s="1" t="n">
        <v>46119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46119</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v>
      </c>
      <c r="C457" s="1" t="n">
        <v>46119</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876-2024</t>
        </is>
      </c>
      <c r="B458" s="1" t="n">
        <v>45301</v>
      </c>
      <c r="C458" s="1" t="n">
        <v>46119</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46119</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5923-2023</t>
        </is>
      </c>
      <c r="B460" s="1" t="n">
        <v>44963.69503472222</v>
      </c>
      <c r="C460" s="1" t="n">
        <v>46119</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63002-2025</t>
        </is>
      </c>
      <c r="B461" s="1" t="n">
        <v>46009.56564814815</v>
      </c>
      <c r="C461" s="1" t="n">
        <v>46119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50482-2024</t>
        </is>
      </c>
      <c r="B462" s="1" t="n">
        <v>45601.48114583334</v>
      </c>
      <c r="C462" s="1" t="n">
        <v>46119</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5943-2024</t>
        </is>
      </c>
      <c r="B463" s="1" t="n">
        <v>45336</v>
      </c>
      <c r="C463" s="1" t="n">
        <v>46119</v>
      </c>
      <c r="D463" t="inlineStr">
        <is>
          <t>GOTLANDS LÄN</t>
        </is>
      </c>
      <c r="E463" t="inlineStr">
        <is>
          <t>GOTLAND</t>
        </is>
      </c>
      <c r="G463" t="n">
        <v>4.3</v>
      </c>
      <c r="H463" t="n">
        <v>0</v>
      </c>
      <c r="I463" t="n">
        <v>0</v>
      </c>
      <c r="J463" t="n">
        <v>0</v>
      </c>
      <c r="K463" t="n">
        <v>0</v>
      </c>
      <c r="L463" t="n">
        <v>0</v>
      </c>
      <c r="M463" t="n">
        <v>0</v>
      </c>
      <c r="N463" t="n">
        <v>0</v>
      </c>
      <c r="O463" t="n">
        <v>0</v>
      </c>
      <c r="P463" t="n">
        <v>0</v>
      </c>
      <c r="Q463" t="n">
        <v>0</v>
      </c>
      <c r="R463" s="2" t="inlineStr"/>
    </row>
    <row r="464" ht="15" customHeight="1">
      <c r="A464" t="inlineStr">
        <is>
          <t>A 38234-2023</t>
        </is>
      </c>
      <c r="B464" s="1" t="n">
        <v>45161.56663194444</v>
      </c>
      <c r="C464" s="1" t="n">
        <v>46119</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1273-2023</t>
        </is>
      </c>
      <c r="B465" s="1" t="n">
        <v>44936</v>
      </c>
      <c r="C465" s="1" t="n">
        <v>46119</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54584-2025</t>
        </is>
      </c>
      <c r="B466" s="1" t="n">
        <v>45965.71788194445</v>
      </c>
      <c r="C466" s="1" t="n">
        <v>46119</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38649-2025</t>
        </is>
      </c>
      <c r="B467" s="1" t="n">
        <v>45884</v>
      </c>
      <c r="C467" s="1" t="n">
        <v>46119</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17724-2024</t>
        </is>
      </c>
      <c r="B468" s="1" t="n">
        <v>45418.55096064815</v>
      </c>
      <c r="C468" s="1" t="n">
        <v>46119</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23978-2023</t>
        </is>
      </c>
      <c r="B469" s="1" t="n">
        <v>45078</v>
      </c>
      <c r="C469" s="1" t="n">
        <v>46119</v>
      </c>
      <c r="D469" t="inlineStr">
        <is>
          <t>GOTLANDS LÄN</t>
        </is>
      </c>
      <c r="E469" t="inlineStr">
        <is>
          <t>GOTLAND</t>
        </is>
      </c>
      <c r="F469" t="inlineStr">
        <is>
          <t>Naturvårdsverket</t>
        </is>
      </c>
      <c r="G469" t="n">
        <v>1.7</v>
      </c>
      <c r="H469" t="n">
        <v>0</v>
      </c>
      <c r="I469" t="n">
        <v>0</v>
      </c>
      <c r="J469" t="n">
        <v>0</v>
      </c>
      <c r="K469" t="n">
        <v>0</v>
      </c>
      <c r="L469" t="n">
        <v>0</v>
      </c>
      <c r="M469" t="n">
        <v>0</v>
      </c>
      <c r="N469" t="n">
        <v>0</v>
      </c>
      <c r="O469" t="n">
        <v>0</v>
      </c>
      <c r="P469" t="n">
        <v>0</v>
      </c>
      <c r="Q469" t="n">
        <v>0</v>
      </c>
      <c r="R469" s="2" t="inlineStr"/>
    </row>
    <row r="470" ht="15" customHeight="1">
      <c r="A470" t="inlineStr">
        <is>
          <t>A 49884-2023</t>
        </is>
      </c>
      <c r="B470" s="1" t="n">
        <v>45213</v>
      </c>
      <c r="C470" s="1" t="n">
        <v>46119</v>
      </c>
      <c r="D470" t="inlineStr">
        <is>
          <t>GOTLANDS LÄN</t>
        </is>
      </c>
      <c r="E470" t="inlineStr">
        <is>
          <t>GOTLAND</t>
        </is>
      </c>
      <c r="G470" t="n">
        <v>8.9</v>
      </c>
      <c r="H470" t="n">
        <v>0</v>
      </c>
      <c r="I470" t="n">
        <v>0</v>
      </c>
      <c r="J470" t="n">
        <v>0</v>
      </c>
      <c r="K470" t="n">
        <v>0</v>
      </c>
      <c r="L470" t="n">
        <v>0</v>
      </c>
      <c r="M470" t="n">
        <v>0</v>
      </c>
      <c r="N470" t="n">
        <v>0</v>
      </c>
      <c r="O470" t="n">
        <v>0</v>
      </c>
      <c r="P470" t="n">
        <v>0</v>
      </c>
      <c r="Q470" t="n">
        <v>0</v>
      </c>
      <c r="R470" s="2" t="inlineStr"/>
    </row>
    <row r="471" ht="15" customHeight="1">
      <c r="A471" t="inlineStr">
        <is>
          <t>A 61078-2025</t>
        </is>
      </c>
      <c r="B471" s="1" t="n">
        <v>46000</v>
      </c>
      <c r="C471" s="1" t="n">
        <v>46119</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36-2026</t>
        </is>
      </c>
      <c r="B472" s="1" t="n">
        <v>46024.38886574074</v>
      </c>
      <c r="C472" s="1" t="n">
        <v>46119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12846-2025</t>
        </is>
      </c>
      <c r="B473" s="1" t="n">
        <v>45733.65049768519</v>
      </c>
      <c r="C473" s="1" t="n">
        <v>46119</v>
      </c>
      <c r="D473" t="inlineStr">
        <is>
          <t>GOTLANDS LÄN</t>
        </is>
      </c>
      <c r="E473" t="inlineStr">
        <is>
          <t>GOTLAND</t>
        </is>
      </c>
      <c r="G473" t="n">
        <v>1.7</v>
      </c>
      <c r="H473" t="n">
        <v>0</v>
      </c>
      <c r="I473" t="n">
        <v>0</v>
      </c>
      <c r="J473" t="n">
        <v>0</v>
      </c>
      <c r="K473" t="n">
        <v>0</v>
      </c>
      <c r="L473" t="n">
        <v>0</v>
      </c>
      <c r="M473" t="n">
        <v>0</v>
      </c>
      <c r="N473" t="n">
        <v>0</v>
      </c>
      <c r="O473" t="n">
        <v>0</v>
      </c>
      <c r="P473" t="n">
        <v>0</v>
      </c>
      <c r="Q473" t="n">
        <v>0</v>
      </c>
      <c r="R473" s="2" t="inlineStr"/>
    </row>
    <row r="474" ht="15" customHeight="1">
      <c r="A474" t="inlineStr">
        <is>
          <t>A 43200-2023</t>
        </is>
      </c>
      <c r="B474" s="1" t="n">
        <v>45183</v>
      </c>
      <c r="C474" s="1" t="n">
        <v>46119</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62674-2025</t>
        </is>
      </c>
      <c r="B475" s="1" t="n">
        <v>46008</v>
      </c>
      <c r="C475" s="1" t="n">
        <v>46119</v>
      </c>
      <c r="D475" t="inlineStr">
        <is>
          <t>GOTLANDS LÄN</t>
        </is>
      </c>
      <c r="E475" t="inlineStr">
        <is>
          <t>GOTLAND</t>
        </is>
      </c>
      <c r="G475" t="n">
        <v>5</v>
      </c>
      <c r="H475" t="n">
        <v>0</v>
      </c>
      <c r="I475" t="n">
        <v>0</v>
      </c>
      <c r="J475" t="n">
        <v>0</v>
      </c>
      <c r="K475" t="n">
        <v>0</v>
      </c>
      <c r="L475" t="n">
        <v>0</v>
      </c>
      <c r="M475" t="n">
        <v>0</v>
      </c>
      <c r="N475" t="n">
        <v>0</v>
      </c>
      <c r="O475" t="n">
        <v>0</v>
      </c>
      <c r="P475" t="n">
        <v>0</v>
      </c>
      <c r="Q475" t="n">
        <v>0</v>
      </c>
      <c r="R475" s="2" t="inlineStr"/>
    </row>
    <row r="476" ht="15" customHeight="1">
      <c r="A476" t="inlineStr">
        <is>
          <t>A 63152-2025</t>
        </is>
      </c>
      <c r="B476" s="1" t="n">
        <v>46010</v>
      </c>
      <c r="C476" s="1" t="n">
        <v>46119</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3935-2025</t>
        </is>
      </c>
      <c r="B477" s="1" t="n">
        <v>45684.46070601852</v>
      </c>
      <c r="C477" s="1" t="n">
        <v>46119</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1355-2026</t>
        </is>
      </c>
      <c r="B478" s="1" t="n">
        <v>46031.59909722222</v>
      </c>
      <c r="C478" s="1" t="n">
        <v>46119</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21792-2024</t>
        </is>
      </c>
      <c r="B479" s="1" t="n">
        <v>45442.64326388889</v>
      </c>
      <c r="C479" s="1" t="n">
        <v>46119</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10486-2026</t>
        </is>
      </c>
      <c r="B480" s="1" t="n">
        <v>46077.51425925926</v>
      </c>
      <c r="C480" s="1" t="n">
        <v>46119</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46119</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1898-2026</t>
        </is>
      </c>
      <c r="B482" s="1" t="n">
        <v>46035.52024305556</v>
      </c>
      <c r="C482" s="1" t="n">
        <v>46119</v>
      </c>
      <c r="D482" t="inlineStr">
        <is>
          <t>GOTLANDS LÄN</t>
        </is>
      </c>
      <c r="E482" t="inlineStr">
        <is>
          <t>GOTLAND</t>
        </is>
      </c>
      <c r="G482" t="n">
        <v>3.7</v>
      </c>
      <c r="H482" t="n">
        <v>0</v>
      </c>
      <c r="I482" t="n">
        <v>0</v>
      </c>
      <c r="J482" t="n">
        <v>0</v>
      </c>
      <c r="K482" t="n">
        <v>0</v>
      </c>
      <c r="L482" t="n">
        <v>0</v>
      </c>
      <c r="M482" t="n">
        <v>0</v>
      </c>
      <c r="N482" t="n">
        <v>0</v>
      </c>
      <c r="O482" t="n">
        <v>0</v>
      </c>
      <c r="P482" t="n">
        <v>0</v>
      </c>
      <c r="Q482" t="n">
        <v>0</v>
      </c>
      <c r="R482" s="2" t="inlineStr"/>
    </row>
    <row r="483" ht="15" customHeight="1">
      <c r="A483" t="inlineStr">
        <is>
          <t>A 10653-2023</t>
        </is>
      </c>
      <c r="B483" s="1" t="n">
        <v>44988.48859953704</v>
      </c>
      <c r="C483" s="1" t="n">
        <v>46119</v>
      </c>
      <c r="D483" t="inlineStr">
        <is>
          <t>GOTLANDS LÄN</t>
        </is>
      </c>
      <c r="E483" t="inlineStr">
        <is>
          <t>GOTLAND</t>
        </is>
      </c>
      <c r="F483" t="inlineStr">
        <is>
          <t>Kyrkan</t>
        </is>
      </c>
      <c r="G483" t="n">
        <v>3</v>
      </c>
      <c r="H483" t="n">
        <v>0</v>
      </c>
      <c r="I483" t="n">
        <v>0</v>
      </c>
      <c r="J483" t="n">
        <v>0</v>
      </c>
      <c r="K483" t="n">
        <v>0</v>
      </c>
      <c r="L483" t="n">
        <v>0</v>
      </c>
      <c r="M483" t="n">
        <v>0</v>
      </c>
      <c r="N483" t="n">
        <v>0</v>
      </c>
      <c r="O483" t="n">
        <v>0</v>
      </c>
      <c r="P483" t="n">
        <v>0</v>
      </c>
      <c r="Q483" t="n">
        <v>0</v>
      </c>
      <c r="R483" s="2" t="inlineStr"/>
    </row>
    <row r="484" ht="15" customHeight="1">
      <c r="A484" t="inlineStr">
        <is>
          <t>A 10284-2026</t>
        </is>
      </c>
      <c r="B484" s="1" t="n">
        <v>46076</v>
      </c>
      <c r="C484" s="1" t="n">
        <v>46119</v>
      </c>
      <c r="D484" t="inlineStr">
        <is>
          <t>GOTLANDS LÄN</t>
        </is>
      </c>
      <c r="E484" t="inlineStr">
        <is>
          <t>GOTLAND</t>
        </is>
      </c>
      <c r="G484" t="n">
        <v>5.2</v>
      </c>
      <c r="H484" t="n">
        <v>0</v>
      </c>
      <c r="I484" t="n">
        <v>0</v>
      </c>
      <c r="J484" t="n">
        <v>0</v>
      </c>
      <c r="K484" t="n">
        <v>0</v>
      </c>
      <c r="L484" t="n">
        <v>0</v>
      </c>
      <c r="M484" t="n">
        <v>0</v>
      </c>
      <c r="N484" t="n">
        <v>0</v>
      </c>
      <c r="O484" t="n">
        <v>0</v>
      </c>
      <c r="P484" t="n">
        <v>0</v>
      </c>
      <c r="Q484" t="n">
        <v>0</v>
      </c>
      <c r="R484" s="2" t="inlineStr"/>
    </row>
    <row r="485" ht="15" customHeight="1">
      <c r="A485" t="inlineStr">
        <is>
          <t>A 35512-2023</t>
        </is>
      </c>
      <c r="B485" s="1" t="n">
        <v>45147.25623842593</v>
      </c>
      <c r="C485" s="1" t="n">
        <v>46119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11874-2024</t>
        </is>
      </c>
      <c r="B486" s="1" t="n">
        <v>45376.46956018519</v>
      </c>
      <c r="C486" s="1" t="n">
        <v>46119</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2415-2026</t>
        </is>
      </c>
      <c r="B487" s="1" t="n">
        <v>46036.76203703704</v>
      </c>
      <c r="C487" s="1" t="n">
        <v>46119</v>
      </c>
      <c r="D487" t="inlineStr">
        <is>
          <t>GOTLANDS LÄN</t>
        </is>
      </c>
      <c r="E487" t="inlineStr">
        <is>
          <t>GOTLAND</t>
        </is>
      </c>
      <c r="G487" t="n">
        <v>6.9</v>
      </c>
      <c r="H487" t="n">
        <v>0</v>
      </c>
      <c r="I487" t="n">
        <v>0</v>
      </c>
      <c r="J487" t="n">
        <v>0</v>
      </c>
      <c r="K487" t="n">
        <v>0</v>
      </c>
      <c r="L487" t="n">
        <v>0</v>
      </c>
      <c r="M487" t="n">
        <v>0</v>
      </c>
      <c r="N487" t="n">
        <v>0</v>
      </c>
      <c r="O487" t="n">
        <v>0</v>
      </c>
      <c r="P487" t="n">
        <v>0</v>
      </c>
      <c r="Q487" t="n">
        <v>0</v>
      </c>
      <c r="R487" s="2" t="inlineStr"/>
    </row>
    <row r="488" ht="15" customHeight="1">
      <c r="A488" t="inlineStr">
        <is>
          <t>A 20225-2025</t>
        </is>
      </c>
      <c r="B488" s="1" t="n">
        <v>45772.65802083333</v>
      </c>
      <c r="C488" s="1" t="n">
        <v>46119</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1677-2023</t>
        </is>
      </c>
      <c r="B489" s="1" t="n">
        <v>44938</v>
      </c>
      <c r="C489" s="1" t="n">
        <v>46119</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64831-2023</t>
        </is>
      </c>
      <c r="B490" s="1" t="n">
        <v>45282.44924768519</v>
      </c>
      <c r="C490" s="1" t="n">
        <v>46119</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3253-2026</t>
        </is>
      </c>
      <c r="B491" s="1" t="n">
        <v>46041.58902777778</v>
      </c>
      <c r="C491" s="1" t="n">
        <v>46119</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11414-2026</t>
        </is>
      </c>
      <c r="B492" s="1" t="n">
        <v>46083.46336805556</v>
      </c>
      <c r="C492" s="1" t="n">
        <v>46119</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11424-2026</t>
        </is>
      </c>
      <c r="B493" s="1" t="n">
        <v>46083.48068287037</v>
      </c>
      <c r="C493" s="1" t="n">
        <v>46119</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46119</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46119</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62915-2021</t>
        </is>
      </c>
      <c r="B496" s="1" t="n">
        <v>44504</v>
      </c>
      <c r="C496" s="1" t="n">
        <v>46119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7638-2025</t>
        </is>
      </c>
      <c r="B497" s="1" t="n">
        <v>45705.77306712963</v>
      </c>
      <c r="C497" s="1" t="n">
        <v>46119</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4377-2023</t>
        </is>
      </c>
      <c r="B498" s="1" t="n">
        <v>44955.5502662037</v>
      </c>
      <c r="C498" s="1" t="n">
        <v>46119</v>
      </c>
      <c r="D498" t="inlineStr">
        <is>
          <t>GOTLANDS LÄN</t>
        </is>
      </c>
      <c r="E498" t="inlineStr">
        <is>
          <t>GOTLAND</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11982-2026</t>
        </is>
      </c>
      <c r="B499" s="1" t="n">
        <v>46085.6434375</v>
      </c>
      <c r="C499" s="1" t="n">
        <v>46119</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12135-2026</t>
        </is>
      </c>
      <c r="B500" s="1" t="n">
        <v>46086</v>
      </c>
      <c r="C500" s="1" t="n">
        <v>46119</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43901-2023</t>
        </is>
      </c>
      <c r="B501" s="1" t="n">
        <v>45187</v>
      </c>
      <c r="C501" s="1" t="n">
        <v>46119</v>
      </c>
      <c r="D501" t="inlineStr">
        <is>
          <t>GOTLANDS LÄN</t>
        </is>
      </c>
      <c r="E501" t="inlineStr">
        <is>
          <t>GOTLAND</t>
        </is>
      </c>
      <c r="G501" t="n">
        <v>5.4</v>
      </c>
      <c r="H501" t="n">
        <v>0</v>
      </c>
      <c r="I501" t="n">
        <v>0</v>
      </c>
      <c r="J501" t="n">
        <v>0</v>
      </c>
      <c r="K501" t="n">
        <v>0</v>
      </c>
      <c r="L501" t="n">
        <v>0</v>
      </c>
      <c r="M501" t="n">
        <v>0</v>
      </c>
      <c r="N501" t="n">
        <v>0</v>
      </c>
      <c r="O501" t="n">
        <v>0</v>
      </c>
      <c r="P501" t="n">
        <v>0</v>
      </c>
      <c r="Q501" t="n">
        <v>0</v>
      </c>
      <c r="R501" s="2" t="inlineStr"/>
    </row>
    <row r="502" ht="15" customHeight="1">
      <c r="A502" t="inlineStr">
        <is>
          <t>A 17532-2024</t>
        </is>
      </c>
      <c r="B502" s="1" t="n">
        <v>45415</v>
      </c>
      <c r="C502" s="1" t="n">
        <v>46119</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45692-2023</t>
        </is>
      </c>
      <c r="B503" s="1" t="n">
        <v>45195</v>
      </c>
      <c r="C503" s="1" t="n">
        <v>46119</v>
      </c>
      <c r="D503" t="inlineStr">
        <is>
          <t>GOTLANDS LÄN</t>
        </is>
      </c>
      <c r="E503" t="inlineStr">
        <is>
          <t>GOTLAND</t>
        </is>
      </c>
      <c r="G503" t="n">
        <v>5.3</v>
      </c>
      <c r="H503" t="n">
        <v>0</v>
      </c>
      <c r="I503" t="n">
        <v>0</v>
      </c>
      <c r="J503" t="n">
        <v>0</v>
      </c>
      <c r="K503" t="n">
        <v>0</v>
      </c>
      <c r="L503" t="n">
        <v>0</v>
      </c>
      <c r="M503" t="n">
        <v>0</v>
      </c>
      <c r="N503" t="n">
        <v>0</v>
      </c>
      <c r="O503" t="n">
        <v>0</v>
      </c>
      <c r="P503" t="n">
        <v>0</v>
      </c>
      <c r="Q503" t="n">
        <v>0</v>
      </c>
      <c r="R503" s="2" t="inlineStr"/>
    </row>
    <row r="504" ht="15" customHeight="1">
      <c r="A504" t="inlineStr">
        <is>
          <t>A 60384-2025</t>
        </is>
      </c>
      <c r="B504" s="1" t="n">
        <v>45995</v>
      </c>
      <c r="C504" s="1" t="n">
        <v>46119</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37222-2021</t>
        </is>
      </c>
      <c r="B505" s="1" t="n">
        <v>44396</v>
      </c>
      <c r="C505" s="1" t="n">
        <v>46119</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1839-2026</t>
        </is>
      </c>
      <c r="B506" s="1" t="n">
        <v>46035.3942824074</v>
      </c>
      <c r="C506" s="1" t="n">
        <v>46119</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4639-2026</t>
        </is>
      </c>
      <c r="B507" s="1" t="n">
        <v>46048.39880787037</v>
      </c>
      <c r="C507" s="1" t="n">
        <v>46119</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4662-2026</t>
        </is>
      </c>
      <c r="B508" s="1" t="n">
        <v>46048.40949074074</v>
      </c>
      <c r="C508" s="1" t="n">
        <v>46119</v>
      </c>
      <c r="D508" t="inlineStr">
        <is>
          <t>GOTLANDS LÄN</t>
        </is>
      </c>
      <c r="E508" t="inlineStr">
        <is>
          <t>GOTLAND</t>
        </is>
      </c>
      <c r="G508" t="n">
        <v>7.6</v>
      </c>
      <c r="H508" t="n">
        <v>0</v>
      </c>
      <c r="I508" t="n">
        <v>0</v>
      </c>
      <c r="J508" t="n">
        <v>0</v>
      </c>
      <c r="K508" t="n">
        <v>0</v>
      </c>
      <c r="L508" t="n">
        <v>0</v>
      </c>
      <c r="M508" t="n">
        <v>0</v>
      </c>
      <c r="N508" t="n">
        <v>0</v>
      </c>
      <c r="O508" t="n">
        <v>0</v>
      </c>
      <c r="P508" t="n">
        <v>0</v>
      </c>
      <c r="Q508" t="n">
        <v>0</v>
      </c>
      <c r="R508" s="2" t="inlineStr"/>
    </row>
    <row r="509" ht="15" customHeight="1">
      <c r="A509" t="inlineStr">
        <is>
          <t>A 46396-2023</t>
        </is>
      </c>
      <c r="B509" s="1" t="n">
        <v>45197</v>
      </c>
      <c r="C509" s="1" t="n">
        <v>46119</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58388-2022</t>
        </is>
      </c>
      <c r="B510" s="1" t="n">
        <v>44894</v>
      </c>
      <c r="C510" s="1" t="n">
        <v>46119</v>
      </c>
      <c r="D510" t="inlineStr">
        <is>
          <t>GOTLANDS LÄN</t>
        </is>
      </c>
      <c r="E510" t="inlineStr">
        <is>
          <t>GOTLAND</t>
        </is>
      </c>
      <c r="F510" t="inlineStr">
        <is>
          <t>Övriga statliga verk och myndigheter</t>
        </is>
      </c>
      <c r="G510" t="n">
        <v>3.1</v>
      </c>
      <c r="H510" t="n">
        <v>0</v>
      </c>
      <c r="I510" t="n">
        <v>0</v>
      </c>
      <c r="J510" t="n">
        <v>0</v>
      </c>
      <c r="K510" t="n">
        <v>0</v>
      </c>
      <c r="L510" t="n">
        <v>0</v>
      </c>
      <c r="M510" t="n">
        <v>0</v>
      </c>
      <c r="N510" t="n">
        <v>0</v>
      </c>
      <c r="O510" t="n">
        <v>0</v>
      </c>
      <c r="P510" t="n">
        <v>0</v>
      </c>
      <c r="Q510" t="n">
        <v>0</v>
      </c>
      <c r="R510" s="2" t="inlineStr"/>
    </row>
    <row r="511" ht="15" customHeight="1">
      <c r="A511" t="inlineStr">
        <is>
          <t>A 4646-2026</t>
        </is>
      </c>
      <c r="B511" s="1" t="n">
        <v>46048.40357638889</v>
      </c>
      <c r="C511" s="1" t="n">
        <v>46119</v>
      </c>
      <c r="D511" t="inlineStr">
        <is>
          <t>GOTLANDS LÄN</t>
        </is>
      </c>
      <c r="E511" t="inlineStr">
        <is>
          <t>GOTLAND</t>
        </is>
      </c>
      <c r="G511" t="n">
        <v>2.7</v>
      </c>
      <c r="H511" t="n">
        <v>0</v>
      </c>
      <c r="I511" t="n">
        <v>0</v>
      </c>
      <c r="J511" t="n">
        <v>0</v>
      </c>
      <c r="K511" t="n">
        <v>0</v>
      </c>
      <c r="L511" t="n">
        <v>0</v>
      </c>
      <c r="M511" t="n">
        <v>0</v>
      </c>
      <c r="N511" t="n">
        <v>0</v>
      </c>
      <c r="O511" t="n">
        <v>0</v>
      </c>
      <c r="P511" t="n">
        <v>0</v>
      </c>
      <c r="Q511" t="n">
        <v>0</v>
      </c>
      <c r="R511" s="2" t="inlineStr"/>
    </row>
    <row r="512" ht="15" customHeight="1">
      <c r="A512" t="inlineStr">
        <is>
          <t>A 4634-2026</t>
        </is>
      </c>
      <c r="B512" s="1" t="n">
        <v>46048.39304398148</v>
      </c>
      <c r="C512" s="1" t="n">
        <v>46119</v>
      </c>
      <c r="D512" t="inlineStr">
        <is>
          <t>GOTLANDS LÄN</t>
        </is>
      </c>
      <c r="E512" t="inlineStr">
        <is>
          <t>GOTLAND</t>
        </is>
      </c>
      <c r="G512" t="n">
        <v>7.8</v>
      </c>
      <c r="H512" t="n">
        <v>0</v>
      </c>
      <c r="I512" t="n">
        <v>0</v>
      </c>
      <c r="J512" t="n">
        <v>0</v>
      </c>
      <c r="K512" t="n">
        <v>0</v>
      </c>
      <c r="L512" t="n">
        <v>0</v>
      </c>
      <c r="M512" t="n">
        <v>0</v>
      </c>
      <c r="N512" t="n">
        <v>0</v>
      </c>
      <c r="O512" t="n">
        <v>0</v>
      </c>
      <c r="P512" t="n">
        <v>0</v>
      </c>
      <c r="Q512" t="n">
        <v>0</v>
      </c>
      <c r="R512" s="2" t="inlineStr"/>
    </row>
    <row r="513" ht="15" customHeight="1">
      <c r="A513" t="inlineStr">
        <is>
          <t>A 4670-2026</t>
        </is>
      </c>
      <c r="B513" s="1" t="n">
        <v>46048.41733796296</v>
      </c>
      <c r="C513" s="1" t="n">
        <v>46119</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53934-2024</t>
        </is>
      </c>
      <c r="B514" s="1" t="n">
        <v>45615</v>
      </c>
      <c r="C514" s="1" t="n">
        <v>46119</v>
      </c>
      <c r="D514" t="inlineStr">
        <is>
          <t>GOTLANDS LÄN</t>
        </is>
      </c>
      <c r="E514" t="inlineStr">
        <is>
          <t>GOTLAND</t>
        </is>
      </c>
      <c r="G514" t="n">
        <v>5</v>
      </c>
      <c r="H514" t="n">
        <v>0</v>
      </c>
      <c r="I514" t="n">
        <v>0</v>
      </c>
      <c r="J514" t="n">
        <v>0</v>
      </c>
      <c r="K514" t="n">
        <v>0</v>
      </c>
      <c r="L514" t="n">
        <v>0</v>
      </c>
      <c r="M514" t="n">
        <v>0</v>
      </c>
      <c r="N514" t="n">
        <v>0</v>
      </c>
      <c r="O514" t="n">
        <v>0</v>
      </c>
      <c r="P514" t="n">
        <v>0</v>
      </c>
      <c r="Q514" t="n">
        <v>0</v>
      </c>
      <c r="R514" s="2" t="inlineStr"/>
    </row>
    <row r="515" ht="15" customHeight="1">
      <c r="A515" t="inlineStr">
        <is>
          <t>A 58132-2023</t>
        </is>
      </c>
      <c r="B515" s="1" t="n">
        <v>45250</v>
      </c>
      <c r="C515" s="1" t="n">
        <v>46119</v>
      </c>
      <c r="D515" t="inlineStr">
        <is>
          <t>GOTLANDS LÄN</t>
        </is>
      </c>
      <c r="E515" t="inlineStr">
        <is>
          <t>GOTLAND</t>
        </is>
      </c>
      <c r="G515" t="n">
        <v>3.1</v>
      </c>
      <c r="H515" t="n">
        <v>0</v>
      </c>
      <c r="I515" t="n">
        <v>0</v>
      </c>
      <c r="J515" t="n">
        <v>0</v>
      </c>
      <c r="K515" t="n">
        <v>0</v>
      </c>
      <c r="L515" t="n">
        <v>0</v>
      </c>
      <c r="M515" t="n">
        <v>0</v>
      </c>
      <c r="N515" t="n">
        <v>0</v>
      </c>
      <c r="O515" t="n">
        <v>0</v>
      </c>
      <c r="P515" t="n">
        <v>0</v>
      </c>
      <c r="Q515" t="n">
        <v>0</v>
      </c>
      <c r="R515" s="2" t="inlineStr"/>
    </row>
    <row r="516" ht="15" customHeight="1">
      <c r="A516" t="inlineStr">
        <is>
          <t>A 22899-2023</t>
        </is>
      </c>
      <c r="B516" s="1" t="n">
        <v>45072</v>
      </c>
      <c r="C516" s="1" t="n">
        <v>46119</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28285-2024</t>
        </is>
      </c>
      <c r="B517" s="1" t="n">
        <v>45477</v>
      </c>
      <c r="C517" s="1" t="n">
        <v>46119</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51963-2024</t>
        </is>
      </c>
      <c r="B518" s="1" t="n">
        <v>45607.64833333333</v>
      </c>
      <c r="C518" s="1" t="n">
        <v>46119</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1854-2026</t>
        </is>
      </c>
      <c r="B519" s="1" t="n">
        <v>46035.4171875</v>
      </c>
      <c r="C519" s="1" t="n">
        <v>46119</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13486-2026</t>
        </is>
      </c>
      <c r="B520" s="1" t="n">
        <v>46094</v>
      </c>
      <c r="C520" s="1" t="n">
        <v>46119</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1734-2025</t>
        </is>
      </c>
      <c r="B521" s="1" t="n">
        <v>45671.3840625</v>
      </c>
      <c r="C521" s="1" t="n">
        <v>46119</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30365-2024</t>
        </is>
      </c>
      <c r="B522" s="1" t="n">
        <v>45491.3716087963</v>
      </c>
      <c r="C522" s="1" t="n">
        <v>46119</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2674-2023</t>
        </is>
      </c>
      <c r="B523" s="1" t="n">
        <v>44944</v>
      </c>
      <c r="C523" s="1" t="n">
        <v>46119</v>
      </c>
      <c r="D523" t="inlineStr">
        <is>
          <t>GOTLANDS LÄN</t>
        </is>
      </c>
      <c r="E523" t="inlineStr">
        <is>
          <t>GOTLAND</t>
        </is>
      </c>
      <c r="G523" t="n">
        <v>2.5</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46119</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46119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6207-2026</t>
        </is>
      </c>
      <c r="B526" s="1" t="n">
        <v>46055.42083333333</v>
      </c>
      <c r="C526" s="1" t="n">
        <v>46119</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46119</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46119</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46057.580625</v>
      </c>
      <c r="C529" s="1" t="n">
        <v>46119</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3067-2026</t>
        </is>
      </c>
      <c r="B530" s="1" t="n">
        <v>46040.59025462963</v>
      </c>
      <c r="C530" s="1" t="n">
        <v>46119</v>
      </c>
      <c r="D530" t="inlineStr">
        <is>
          <t>GOTLANDS LÄN</t>
        </is>
      </c>
      <c r="E530" t="inlineStr">
        <is>
          <t>GOTLAND</t>
        </is>
      </c>
      <c r="G530" t="n">
        <v>7.8</v>
      </c>
      <c r="H530" t="n">
        <v>0</v>
      </c>
      <c r="I530" t="n">
        <v>0</v>
      </c>
      <c r="J530" t="n">
        <v>0</v>
      </c>
      <c r="K530" t="n">
        <v>0</v>
      </c>
      <c r="L530" t="n">
        <v>0</v>
      </c>
      <c r="M530" t="n">
        <v>0</v>
      </c>
      <c r="N530" t="n">
        <v>0</v>
      </c>
      <c r="O530" t="n">
        <v>0</v>
      </c>
      <c r="P530" t="n">
        <v>0</v>
      </c>
      <c r="Q530" t="n">
        <v>0</v>
      </c>
      <c r="R530" s="2" t="inlineStr"/>
    </row>
    <row r="531" ht="15" customHeight="1">
      <c r="A531" t="inlineStr">
        <is>
          <t>A 44649-2021</t>
        </is>
      </c>
      <c r="B531" s="1" t="n">
        <v>44437</v>
      </c>
      <c r="C531" s="1" t="n">
        <v>46119</v>
      </c>
      <c r="D531" t="inlineStr">
        <is>
          <t>GOTLANDS LÄN</t>
        </is>
      </c>
      <c r="E531" t="inlineStr">
        <is>
          <t>GOTLAND</t>
        </is>
      </c>
      <c r="G531" t="n">
        <v>8.1</v>
      </c>
      <c r="H531" t="n">
        <v>0</v>
      </c>
      <c r="I531" t="n">
        <v>0</v>
      </c>
      <c r="J531" t="n">
        <v>0</v>
      </c>
      <c r="K531" t="n">
        <v>0</v>
      </c>
      <c r="L531" t="n">
        <v>0</v>
      </c>
      <c r="M531" t="n">
        <v>0</v>
      </c>
      <c r="N531" t="n">
        <v>0</v>
      </c>
      <c r="O531" t="n">
        <v>0</v>
      </c>
      <c r="P531" t="n">
        <v>0</v>
      </c>
      <c r="Q531" t="n">
        <v>0</v>
      </c>
      <c r="R531" s="2" t="inlineStr"/>
    </row>
    <row r="532" ht="15" customHeight="1">
      <c r="A532" t="inlineStr">
        <is>
          <t>A 6960-2026</t>
        </is>
      </c>
      <c r="B532" s="1" t="n">
        <v>46057.58105324074</v>
      </c>
      <c r="C532" s="1" t="n">
        <v>46119</v>
      </c>
      <c r="D532" t="inlineStr">
        <is>
          <t>GOTLANDS LÄN</t>
        </is>
      </c>
      <c r="E532" t="inlineStr">
        <is>
          <t>GOTLAND</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8484-2025</t>
        </is>
      </c>
      <c r="B533" s="1" t="n">
        <v>45709</v>
      </c>
      <c r="C533" s="1" t="n">
        <v>46119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49962-2023</t>
        </is>
      </c>
      <c r="B534" s="1" t="n">
        <v>45215.38775462963</v>
      </c>
      <c r="C534" s="1" t="n">
        <v>46119</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50744-2024</t>
        </is>
      </c>
      <c r="B535" s="1" t="n">
        <v>45602.4187037037</v>
      </c>
      <c r="C535" s="1" t="n">
        <v>46119</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45244-2024</t>
        </is>
      </c>
      <c r="B536" s="1" t="n">
        <v>45576</v>
      </c>
      <c r="C536" s="1" t="n">
        <v>46119</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46119</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5863-2026</t>
        </is>
      </c>
      <c r="B538" s="1" t="n">
        <v>46052.36697916667</v>
      </c>
      <c r="C538" s="1" t="n">
        <v>46119</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7627-2026</t>
        </is>
      </c>
      <c r="B539" s="1" t="n">
        <v>46062.35465277778</v>
      </c>
      <c r="C539" s="1" t="n">
        <v>46119</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63105-2025</t>
        </is>
      </c>
      <c r="B540" s="1" t="n">
        <v>46009</v>
      </c>
      <c r="C540" s="1" t="n">
        <v>46119</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14840-2026</t>
        </is>
      </c>
      <c r="B541" s="1" t="n">
        <v>46104.39498842593</v>
      </c>
      <c r="C541" s="1" t="n">
        <v>46119</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2714-2023</t>
        </is>
      </c>
      <c r="B542" s="1" t="n">
        <v>44944.54896990741</v>
      </c>
      <c r="C542" s="1" t="n">
        <v>46119</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22897-2023</t>
        </is>
      </c>
      <c r="B543" s="1" t="n">
        <v>45072.55239583334</v>
      </c>
      <c r="C543" s="1" t="n">
        <v>46119</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7625-2026</t>
        </is>
      </c>
      <c r="B544" s="1" t="n">
        <v>46062.35135416667</v>
      </c>
      <c r="C544" s="1" t="n">
        <v>46119</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4568-2025</t>
        </is>
      </c>
      <c r="B545" s="1" t="n">
        <v>45687</v>
      </c>
      <c r="C545" s="1" t="n">
        <v>46119</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2135-2026</t>
        </is>
      </c>
      <c r="B546" s="1" t="n">
        <v>46036</v>
      </c>
      <c r="C546" s="1" t="n">
        <v>46119</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44938.39715277778</v>
      </c>
      <c r="C547" s="1" t="n">
        <v>46119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42338-2023</t>
        </is>
      </c>
      <c r="B548" s="1" t="n">
        <v>45180</v>
      </c>
      <c r="C548" s="1" t="n">
        <v>46119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46119</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11013-2024</t>
        </is>
      </c>
      <c r="B550" s="1" t="n">
        <v>45370</v>
      </c>
      <c r="C550" s="1" t="n">
        <v>46119</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46119</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46119</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46119</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20356-2022</t>
        </is>
      </c>
      <c r="B554" s="1" t="n">
        <v>44699</v>
      </c>
      <c r="C554" s="1" t="n">
        <v>46119</v>
      </c>
      <c r="D554" t="inlineStr">
        <is>
          <t>GOTLANDS LÄN</t>
        </is>
      </c>
      <c r="E554" t="inlineStr">
        <is>
          <t>GOTLAND</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4868-2024</t>
        </is>
      </c>
      <c r="B555" s="1" t="n">
        <v>45329</v>
      </c>
      <c r="C555" s="1" t="n">
        <v>46119</v>
      </c>
      <c r="D555" t="inlineStr">
        <is>
          <t>GOTLANDS LÄN</t>
        </is>
      </c>
      <c r="E555" t="inlineStr">
        <is>
          <t>GOTLAND</t>
        </is>
      </c>
      <c r="G555" t="n">
        <v>7.1</v>
      </c>
      <c r="H555" t="n">
        <v>0</v>
      </c>
      <c r="I555" t="n">
        <v>0</v>
      </c>
      <c r="J555" t="n">
        <v>0</v>
      </c>
      <c r="K555" t="n">
        <v>0</v>
      </c>
      <c r="L555" t="n">
        <v>0</v>
      </c>
      <c r="M555" t="n">
        <v>0</v>
      </c>
      <c r="N555" t="n">
        <v>0</v>
      </c>
      <c r="O555" t="n">
        <v>0</v>
      </c>
      <c r="P555" t="n">
        <v>0</v>
      </c>
      <c r="Q555" t="n">
        <v>0</v>
      </c>
      <c r="R555" s="2" t="inlineStr"/>
    </row>
    <row r="556" ht="15" customHeight="1">
      <c r="A556" t="inlineStr">
        <is>
          <t>A 9613-2025</t>
        </is>
      </c>
      <c r="B556" s="1" t="n">
        <v>45715</v>
      </c>
      <c r="C556" s="1" t="n">
        <v>46119</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46119</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58211-2024</t>
        </is>
      </c>
      <c r="B558" s="1" t="n">
        <v>45632.49292824074</v>
      </c>
      <c r="C558" s="1" t="n">
        <v>46119</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11634-2024</t>
        </is>
      </c>
      <c r="B559" s="1" t="n">
        <v>45373</v>
      </c>
      <c r="C559" s="1" t="n">
        <v>46119</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5884-2025</t>
        </is>
      </c>
      <c r="B560" s="1" t="n">
        <v>45695.37482638889</v>
      </c>
      <c r="C560" s="1" t="n">
        <v>46119</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5897-2025</t>
        </is>
      </c>
      <c r="B561" s="1" t="n">
        <v>45695.39273148148</v>
      </c>
      <c r="C561" s="1" t="n">
        <v>46119</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5909-2025</t>
        </is>
      </c>
      <c r="B562" s="1" t="n">
        <v>45695.40634259259</v>
      </c>
      <c r="C562" s="1" t="n">
        <v>46119</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60086-2022</t>
        </is>
      </c>
      <c r="B563" s="1" t="n">
        <v>44909</v>
      </c>
      <c r="C563" s="1" t="n">
        <v>46119</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46119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25866-2022</t>
        </is>
      </c>
      <c r="B565" s="1" t="n">
        <v>44733</v>
      </c>
      <c r="C565" s="1" t="n">
        <v>46119</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53561-2025</t>
        </is>
      </c>
      <c r="B566" s="1" t="n">
        <v>45960.4059375</v>
      </c>
      <c r="C566" s="1" t="n">
        <v>46119</v>
      </c>
      <c r="D566" t="inlineStr">
        <is>
          <t>GOTLANDS LÄN</t>
        </is>
      </c>
      <c r="E566" t="inlineStr">
        <is>
          <t>GOTLAND</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53587-2025</t>
        </is>
      </c>
      <c r="B567" s="1" t="n">
        <v>45960.43681712963</v>
      </c>
      <c r="C567" s="1" t="n">
        <v>46119</v>
      </c>
      <c r="D567" t="inlineStr">
        <is>
          <t>GOTLANDS LÄN</t>
        </is>
      </c>
      <c r="E567" t="inlineStr">
        <is>
          <t>GOTLAND</t>
        </is>
      </c>
      <c r="F567" t="inlineStr">
        <is>
          <t>Övriga Aktiebolag</t>
        </is>
      </c>
      <c r="G567" t="n">
        <v>1.7</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46119</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46119</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46119</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9521-2026</t>
        </is>
      </c>
      <c r="B571" s="1" t="n">
        <v>46071.59969907408</v>
      </c>
      <c r="C571" s="1" t="n">
        <v>46119</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9524-2026</t>
        </is>
      </c>
      <c r="B572" s="1" t="n">
        <v>46071.60108796296</v>
      </c>
      <c r="C572" s="1" t="n">
        <v>46119</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9543-2026</t>
        </is>
      </c>
      <c r="B573" s="1" t="n">
        <v>46071.62486111111</v>
      </c>
      <c r="C573" s="1" t="n">
        <v>46119</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46119</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46119</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46119</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46119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9504-2026</t>
        </is>
      </c>
      <c r="B578" s="1" t="n">
        <v>46071.57730324074</v>
      </c>
      <c r="C578" s="1" t="n">
        <v>46119</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9518-2026</t>
        </is>
      </c>
      <c r="B579" s="1" t="n">
        <v>46071.59653935185</v>
      </c>
      <c r="C579" s="1" t="n">
        <v>46119</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9519-2026</t>
        </is>
      </c>
      <c r="B580" s="1" t="n">
        <v>46071.59820601852</v>
      </c>
      <c r="C580" s="1" t="n">
        <v>46119</v>
      </c>
      <c r="D580" t="inlineStr">
        <is>
          <t>GOTLANDS LÄN</t>
        </is>
      </c>
      <c r="E580" t="inlineStr">
        <is>
          <t>GOTLAND</t>
        </is>
      </c>
      <c r="G580" t="n">
        <v>4</v>
      </c>
      <c r="H580" t="n">
        <v>0</v>
      </c>
      <c r="I580" t="n">
        <v>0</v>
      </c>
      <c r="J580" t="n">
        <v>0</v>
      </c>
      <c r="K580" t="n">
        <v>0</v>
      </c>
      <c r="L580" t="n">
        <v>0</v>
      </c>
      <c r="M580" t="n">
        <v>0</v>
      </c>
      <c r="N580" t="n">
        <v>0</v>
      </c>
      <c r="O580" t="n">
        <v>0</v>
      </c>
      <c r="P580" t="n">
        <v>0</v>
      </c>
      <c r="Q580" t="n">
        <v>0</v>
      </c>
      <c r="R580" s="2" t="inlineStr"/>
    </row>
    <row r="581" ht="15" customHeight="1">
      <c r="A581" t="inlineStr">
        <is>
          <t>A 62754-2025</t>
        </is>
      </c>
      <c r="B581" s="1" t="n">
        <v>46008</v>
      </c>
      <c r="C581" s="1" t="n">
        <v>46119</v>
      </c>
      <c r="D581" t="inlineStr">
        <is>
          <t>GOTLANDS LÄN</t>
        </is>
      </c>
      <c r="E581" t="inlineStr">
        <is>
          <t>GOTLAND</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9901-2026</t>
        </is>
      </c>
      <c r="B582" s="1" t="n">
        <v>46073.40391203704</v>
      </c>
      <c r="C582" s="1" t="n">
        <v>46119</v>
      </c>
      <c r="D582" t="inlineStr">
        <is>
          <t>GOTLANDS LÄN</t>
        </is>
      </c>
      <c r="E582" t="inlineStr">
        <is>
          <t>GOTLAND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46119</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31802-2024</t>
        </is>
      </c>
      <c r="B584" s="1" t="n">
        <v>45509</v>
      </c>
      <c r="C584" s="1" t="n">
        <v>46119</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46119</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46119</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16993-2026</t>
        </is>
      </c>
      <c r="B587" s="1" t="n">
        <v>46114.41918981481</v>
      </c>
      <c r="C587" s="1" t="n">
        <v>46119</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46119</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4420-2025</t>
        </is>
      </c>
      <c r="B589" s="1" t="n">
        <v>45686.47157407407</v>
      </c>
      <c r="C589" s="1" t="n">
        <v>46119</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14427-2024</t>
        </is>
      </c>
      <c r="B590" s="1" t="n">
        <v>45394</v>
      </c>
      <c r="C590" s="1" t="n">
        <v>46119</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46119</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49315-2024</t>
        </is>
      </c>
      <c r="B592" s="1" t="n">
        <v>45595</v>
      </c>
      <c r="C592" s="1" t="n">
        <v>46119</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46119</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46119</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64969-2023</t>
        </is>
      </c>
      <c r="B595" s="1" t="n">
        <v>45284.54009259259</v>
      </c>
      <c r="C595" s="1" t="n">
        <v>46119</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33853-2024</t>
        </is>
      </c>
      <c r="B596" s="1" t="n">
        <v>45520.64298611111</v>
      </c>
      <c r="C596" s="1" t="n">
        <v>46119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18223-2025</t>
        </is>
      </c>
      <c r="B597" s="1" t="n">
        <v>45761</v>
      </c>
      <c r="C597" s="1" t="n">
        <v>46119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46949-2024</t>
        </is>
      </c>
      <c r="B598" s="1" t="n">
        <v>45585</v>
      </c>
      <c r="C598" s="1" t="n">
        <v>46119</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24001-2021</t>
        </is>
      </c>
      <c r="B599" s="1" t="n">
        <v>44335</v>
      </c>
      <c r="C599" s="1" t="n">
        <v>46119</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39479-2022</t>
        </is>
      </c>
      <c r="B600" s="1" t="n">
        <v>44818</v>
      </c>
      <c r="C600" s="1" t="n">
        <v>46119</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39496-2022</t>
        </is>
      </c>
      <c r="B601" s="1" t="n">
        <v>44818</v>
      </c>
      <c r="C601" s="1" t="n">
        <v>46119</v>
      </c>
      <c r="D601" t="inlineStr">
        <is>
          <t>GOTLANDS LÄN</t>
        </is>
      </c>
      <c r="E601" t="inlineStr">
        <is>
          <t>GOTLAND</t>
        </is>
      </c>
      <c r="G601" t="n">
        <v>2.4</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46119</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44949-2023</t>
        </is>
      </c>
      <c r="B603" s="1" t="n">
        <v>45190.69520833333</v>
      </c>
      <c r="C603" s="1" t="n">
        <v>46119</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17682-2024</t>
        </is>
      </c>
      <c r="B604" s="1" t="n">
        <v>45418.42966435185</v>
      </c>
      <c r="C604" s="1" t="n">
        <v>46119</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61897-2024</t>
        </is>
      </c>
      <c r="B605" s="1" t="n">
        <v>45652.75685185185</v>
      </c>
      <c r="C605" s="1" t="n">
        <v>46119</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12032-2025</t>
        </is>
      </c>
      <c r="B606" s="1" t="n">
        <v>45728.64472222222</v>
      </c>
      <c r="C606" s="1" t="n">
        <v>46119</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15595-2024</t>
        </is>
      </c>
      <c r="B607" s="1" t="n">
        <v>45401.81480324074</v>
      </c>
      <c r="C607" s="1" t="n">
        <v>46119</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21164-2024</t>
        </is>
      </c>
      <c r="B608" s="1" t="n">
        <v>45440</v>
      </c>
      <c r="C608" s="1" t="n">
        <v>46119</v>
      </c>
      <c r="D608" t="inlineStr">
        <is>
          <t>GOTLANDS LÄN</t>
        </is>
      </c>
      <c r="E608" t="inlineStr">
        <is>
          <t>GOTLAND</t>
        </is>
      </c>
      <c r="G608" t="n">
        <v>6.3</v>
      </c>
      <c r="H608" t="n">
        <v>0</v>
      </c>
      <c r="I608" t="n">
        <v>0</v>
      </c>
      <c r="J608" t="n">
        <v>0</v>
      </c>
      <c r="K608" t="n">
        <v>0</v>
      </c>
      <c r="L608" t="n">
        <v>0</v>
      </c>
      <c r="M608" t="n">
        <v>0</v>
      </c>
      <c r="N608" t="n">
        <v>0</v>
      </c>
      <c r="O608" t="n">
        <v>0</v>
      </c>
      <c r="P608" t="n">
        <v>0</v>
      </c>
      <c r="Q608" t="n">
        <v>0</v>
      </c>
      <c r="R608" s="2" t="inlineStr"/>
    </row>
    <row r="609" ht="15" customHeight="1">
      <c r="A609" t="inlineStr">
        <is>
          <t>A 17541-2024</t>
        </is>
      </c>
      <c r="B609" s="1" t="n">
        <v>45415</v>
      </c>
      <c r="C609" s="1" t="n">
        <v>46119</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883-2025</t>
        </is>
      </c>
      <c r="B610" s="1" t="n">
        <v>45665</v>
      </c>
      <c r="C610" s="1" t="n">
        <v>46119</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46119</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20794-2025</t>
        </is>
      </c>
      <c r="B612" s="1" t="n">
        <v>45776</v>
      </c>
      <c r="C612" s="1" t="n">
        <v>46119</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20805-2025</t>
        </is>
      </c>
      <c r="B613" s="1" t="n">
        <v>45776</v>
      </c>
      <c r="C613" s="1" t="n">
        <v>46119</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21389-2025</t>
        </is>
      </c>
      <c r="B614" s="1" t="n">
        <v>45782</v>
      </c>
      <c r="C614" s="1" t="n">
        <v>46119</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21651-2025</t>
        </is>
      </c>
      <c r="B615" s="1" t="n">
        <v>45783</v>
      </c>
      <c r="C615" s="1" t="n">
        <v>46119</v>
      </c>
      <c r="D615" t="inlineStr">
        <is>
          <t>GOTLANDS LÄN</t>
        </is>
      </c>
      <c r="E615" t="inlineStr">
        <is>
          <t>GOTLAND</t>
        </is>
      </c>
      <c r="G615" t="n">
        <v>4.2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46119</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10656-2024</t>
        </is>
      </c>
      <c r="B617" s="1" t="n">
        <v>45368</v>
      </c>
      <c r="C617" s="1" t="n">
        <v>46119</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46119</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28506-2023</t>
        </is>
      </c>
      <c r="B619" s="1" t="n">
        <v>45103</v>
      </c>
      <c r="C619" s="1" t="n">
        <v>46119</v>
      </c>
      <c r="D619" t="inlineStr">
        <is>
          <t>GOTLANDS LÄN</t>
        </is>
      </c>
      <c r="E619" t="inlineStr">
        <is>
          <t>GOTLAND</t>
        </is>
      </c>
      <c r="G619" t="n">
        <v>3.2</v>
      </c>
      <c r="H619" t="n">
        <v>0</v>
      </c>
      <c r="I619" t="n">
        <v>0</v>
      </c>
      <c r="J619" t="n">
        <v>0</v>
      </c>
      <c r="K619" t="n">
        <v>0</v>
      </c>
      <c r="L619" t="n">
        <v>0</v>
      </c>
      <c r="M619" t="n">
        <v>0</v>
      </c>
      <c r="N619" t="n">
        <v>0</v>
      </c>
      <c r="O619" t="n">
        <v>0</v>
      </c>
      <c r="P619" t="n">
        <v>0</v>
      </c>
      <c r="Q619" t="n">
        <v>0</v>
      </c>
      <c r="R619" s="2" t="inlineStr"/>
    </row>
    <row r="620" ht="15" customHeight="1">
      <c r="A620" t="inlineStr">
        <is>
          <t>A 23188-2025</t>
        </is>
      </c>
      <c r="B620" s="1" t="n">
        <v>45791</v>
      </c>
      <c r="C620" s="1" t="n">
        <v>46119</v>
      </c>
      <c r="D620" t="inlineStr">
        <is>
          <t>GOTLANDS LÄN</t>
        </is>
      </c>
      <c r="E620" t="inlineStr">
        <is>
          <t>GOTLAND</t>
        </is>
      </c>
      <c r="G620" t="n">
        <v>6.2</v>
      </c>
      <c r="H620" t="n">
        <v>0</v>
      </c>
      <c r="I620" t="n">
        <v>0</v>
      </c>
      <c r="J620" t="n">
        <v>0</v>
      </c>
      <c r="K620" t="n">
        <v>0</v>
      </c>
      <c r="L620" t="n">
        <v>0</v>
      </c>
      <c r="M620" t="n">
        <v>0</v>
      </c>
      <c r="N620" t="n">
        <v>0</v>
      </c>
      <c r="O620" t="n">
        <v>0</v>
      </c>
      <c r="P620" t="n">
        <v>0</v>
      </c>
      <c r="Q620" t="n">
        <v>0</v>
      </c>
      <c r="R620" s="2" t="inlineStr"/>
    </row>
    <row r="621" ht="15" customHeight="1">
      <c r="A621" t="inlineStr">
        <is>
          <t>A 23856-2025</t>
        </is>
      </c>
      <c r="B621" s="1" t="n">
        <v>45793</v>
      </c>
      <c r="C621" s="1" t="n">
        <v>46119</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23473-2025</t>
        </is>
      </c>
      <c r="B622" s="1" t="n">
        <v>45792</v>
      </c>
      <c r="C622" s="1" t="n">
        <v>46119</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23698-2025</t>
        </is>
      </c>
      <c r="B623" s="1" t="n">
        <v>45793</v>
      </c>
      <c r="C623" s="1" t="n">
        <v>46119</v>
      </c>
      <c r="D623" t="inlineStr">
        <is>
          <t>GOTLANDS LÄN</t>
        </is>
      </c>
      <c r="E623" t="inlineStr">
        <is>
          <t>GOTLAND</t>
        </is>
      </c>
      <c r="G623" t="n">
        <v>0.8</v>
      </c>
      <c r="H623" t="n">
        <v>0</v>
      </c>
      <c r="I623" t="n">
        <v>0</v>
      </c>
      <c r="J623" t="n">
        <v>0</v>
      </c>
      <c r="K623" t="n">
        <v>0</v>
      </c>
      <c r="L623" t="n">
        <v>0</v>
      </c>
      <c r="M623" t="n">
        <v>0</v>
      </c>
      <c r="N623" t="n">
        <v>0</v>
      </c>
      <c r="O623" t="n">
        <v>0</v>
      </c>
      <c r="P623" t="n">
        <v>0</v>
      </c>
      <c r="Q623" t="n">
        <v>0</v>
      </c>
      <c r="R623" s="2" t="inlineStr"/>
    </row>
    <row r="624" ht="15" customHeight="1">
      <c r="A624" t="inlineStr">
        <is>
          <t>A 15073-2025</t>
        </is>
      </c>
      <c r="B624" s="1" t="n">
        <v>45743</v>
      </c>
      <c r="C624" s="1" t="n">
        <v>46119</v>
      </c>
      <c r="D624" t="inlineStr">
        <is>
          <t>GOTLANDS LÄN</t>
        </is>
      </c>
      <c r="E624" t="inlineStr">
        <is>
          <t>GOTLAND</t>
        </is>
      </c>
      <c r="G624" t="n">
        <v>12.1</v>
      </c>
      <c r="H624" t="n">
        <v>0</v>
      </c>
      <c r="I624" t="n">
        <v>0</v>
      </c>
      <c r="J624" t="n">
        <v>0</v>
      </c>
      <c r="K624" t="n">
        <v>0</v>
      </c>
      <c r="L624" t="n">
        <v>0</v>
      </c>
      <c r="M624" t="n">
        <v>0</v>
      </c>
      <c r="N624" t="n">
        <v>0</v>
      </c>
      <c r="O624" t="n">
        <v>0</v>
      </c>
      <c r="P624" t="n">
        <v>0</v>
      </c>
      <c r="Q624" t="n">
        <v>0</v>
      </c>
      <c r="R624" s="2" t="inlineStr"/>
    </row>
    <row r="625" ht="15" customHeight="1">
      <c r="A625" t="inlineStr">
        <is>
          <t>A 6749-2025</t>
        </is>
      </c>
      <c r="B625" s="1" t="n">
        <v>45700</v>
      </c>
      <c r="C625" s="1" t="n">
        <v>46119</v>
      </c>
      <c r="D625" t="inlineStr">
        <is>
          <t>GOTLANDS LÄN</t>
        </is>
      </c>
      <c r="E625" t="inlineStr">
        <is>
          <t>GOTLAND</t>
        </is>
      </c>
      <c r="G625" t="n">
        <v>4.5</v>
      </c>
      <c r="H625" t="n">
        <v>0</v>
      </c>
      <c r="I625" t="n">
        <v>0</v>
      </c>
      <c r="J625" t="n">
        <v>0</v>
      </c>
      <c r="K625" t="n">
        <v>0</v>
      </c>
      <c r="L625" t="n">
        <v>0</v>
      </c>
      <c r="M625" t="n">
        <v>0</v>
      </c>
      <c r="N625" t="n">
        <v>0</v>
      </c>
      <c r="O625" t="n">
        <v>0</v>
      </c>
      <c r="P625" t="n">
        <v>0</v>
      </c>
      <c r="Q625" t="n">
        <v>0</v>
      </c>
      <c r="R625" s="2" t="inlineStr"/>
    </row>
    <row r="626" ht="15" customHeight="1">
      <c r="A626" t="inlineStr">
        <is>
          <t>A 5462-2025</t>
        </is>
      </c>
      <c r="B626" s="1" t="n">
        <v>45693.29331018519</v>
      </c>
      <c r="C626" s="1" t="n">
        <v>46119</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25796-2025</t>
        </is>
      </c>
      <c r="B627" s="1" t="n">
        <v>45804.39543981481</v>
      </c>
      <c r="C627" s="1" t="n">
        <v>46119</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26465-2025</t>
        </is>
      </c>
      <c r="B628" s="1" t="n">
        <v>45807.44377314814</v>
      </c>
      <c r="C628" s="1" t="n">
        <v>46119</v>
      </c>
      <c r="D628" t="inlineStr">
        <is>
          <t>GOTLANDS LÄN</t>
        </is>
      </c>
      <c r="E628" t="inlineStr">
        <is>
          <t>GOTLAND</t>
        </is>
      </c>
      <c r="G628" t="n">
        <v>4.5</v>
      </c>
      <c r="H628" t="n">
        <v>0</v>
      </c>
      <c r="I628" t="n">
        <v>0</v>
      </c>
      <c r="J628" t="n">
        <v>0</v>
      </c>
      <c r="K628" t="n">
        <v>0</v>
      </c>
      <c r="L628" t="n">
        <v>0</v>
      </c>
      <c r="M628" t="n">
        <v>0</v>
      </c>
      <c r="N628" t="n">
        <v>0</v>
      </c>
      <c r="O628" t="n">
        <v>0</v>
      </c>
      <c r="P628" t="n">
        <v>0</v>
      </c>
      <c r="Q628" t="n">
        <v>0</v>
      </c>
      <c r="R628" s="2" t="inlineStr"/>
    </row>
    <row r="629" ht="15" customHeight="1">
      <c r="A629" t="inlineStr">
        <is>
          <t>A 26457-2025</t>
        </is>
      </c>
      <c r="B629" s="1" t="n">
        <v>45807.42773148148</v>
      </c>
      <c r="C629" s="1" t="n">
        <v>46119</v>
      </c>
      <c r="D629" t="inlineStr">
        <is>
          <t>GOTLANDS LÄN</t>
        </is>
      </c>
      <c r="E629" t="inlineStr">
        <is>
          <t>GOTLAND</t>
        </is>
      </c>
      <c r="G629" t="n">
        <v>5.7</v>
      </c>
      <c r="H629" t="n">
        <v>0</v>
      </c>
      <c r="I629" t="n">
        <v>0</v>
      </c>
      <c r="J629" t="n">
        <v>0</v>
      </c>
      <c r="K629" t="n">
        <v>0</v>
      </c>
      <c r="L629" t="n">
        <v>0</v>
      </c>
      <c r="M629" t="n">
        <v>0</v>
      </c>
      <c r="N629" t="n">
        <v>0</v>
      </c>
      <c r="O629" t="n">
        <v>0</v>
      </c>
      <c r="P629" t="n">
        <v>0</v>
      </c>
      <c r="Q629" t="n">
        <v>0</v>
      </c>
      <c r="R629" s="2" t="inlineStr"/>
    </row>
    <row r="630" ht="15" customHeight="1">
      <c r="A630" t="inlineStr">
        <is>
          <t>A 26467-2025</t>
        </is>
      </c>
      <c r="B630" s="1" t="n">
        <v>45807.44640046296</v>
      </c>
      <c r="C630" s="1" t="n">
        <v>46119</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46119</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27355-2025</t>
        </is>
      </c>
      <c r="B632" s="1" t="n">
        <v>45812</v>
      </c>
      <c r="C632" s="1" t="n">
        <v>46119</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46119</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7850-2025</t>
        </is>
      </c>
      <c r="B634" s="1" t="n">
        <v>45706</v>
      </c>
      <c r="C634" s="1" t="n">
        <v>46119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46119</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8444-2025</t>
        </is>
      </c>
      <c r="B636" s="1" t="n">
        <v>45709</v>
      </c>
      <c r="C636" s="1" t="n">
        <v>46119</v>
      </c>
      <c r="D636" t="inlineStr">
        <is>
          <t>GOTLANDS LÄN</t>
        </is>
      </c>
      <c r="E636" t="inlineStr">
        <is>
          <t>GOTLAND</t>
        </is>
      </c>
      <c r="G636" t="n">
        <v>5.2</v>
      </c>
      <c r="H636" t="n">
        <v>0</v>
      </c>
      <c r="I636" t="n">
        <v>0</v>
      </c>
      <c r="J636" t="n">
        <v>0</v>
      </c>
      <c r="K636" t="n">
        <v>0</v>
      </c>
      <c r="L636" t="n">
        <v>0</v>
      </c>
      <c r="M636" t="n">
        <v>0</v>
      </c>
      <c r="N636" t="n">
        <v>0</v>
      </c>
      <c r="O636" t="n">
        <v>0</v>
      </c>
      <c r="P636" t="n">
        <v>0</v>
      </c>
      <c r="Q636" t="n">
        <v>0</v>
      </c>
      <c r="R636" s="2" t="inlineStr"/>
    </row>
    <row r="637" ht="15" customHeight="1">
      <c r="A637" t="inlineStr">
        <is>
          <t>A 19905-2025</t>
        </is>
      </c>
      <c r="B637" s="1" t="n">
        <v>45771</v>
      </c>
      <c r="C637" s="1" t="n">
        <v>46119</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29207-2025</t>
        </is>
      </c>
      <c r="B638" s="1" t="n">
        <v>45823</v>
      </c>
      <c r="C638" s="1" t="n">
        <v>46119</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46119</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30061-2025</t>
        </is>
      </c>
      <c r="B640" s="1" t="n">
        <v>45826.61488425926</v>
      </c>
      <c r="C640" s="1" t="n">
        <v>46119</v>
      </c>
      <c r="D640" t="inlineStr">
        <is>
          <t>GOTLANDS LÄN</t>
        </is>
      </c>
      <c r="E640" t="inlineStr">
        <is>
          <t>GOTLAND</t>
        </is>
      </c>
      <c r="G640" t="n">
        <v>4.1</v>
      </c>
      <c r="H640" t="n">
        <v>0</v>
      </c>
      <c r="I640" t="n">
        <v>0</v>
      </c>
      <c r="J640" t="n">
        <v>0</v>
      </c>
      <c r="K640" t="n">
        <v>0</v>
      </c>
      <c r="L640" t="n">
        <v>0</v>
      </c>
      <c r="M640" t="n">
        <v>0</v>
      </c>
      <c r="N640" t="n">
        <v>0</v>
      </c>
      <c r="O640" t="n">
        <v>0</v>
      </c>
      <c r="P640" t="n">
        <v>0</v>
      </c>
      <c r="Q640" t="n">
        <v>0</v>
      </c>
      <c r="R640" s="2" t="inlineStr"/>
    </row>
    <row r="641" ht="15" customHeight="1">
      <c r="A641" t="inlineStr">
        <is>
          <t>A 58160-2024</t>
        </is>
      </c>
      <c r="B641" s="1" t="n">
        <v>45632.44927083333</v>
      </c>
      <c r="C641" s="1" t="n">
        <v>46119</v>
      </c>
      <c r="D641" t="inlineStr">
        <is>
          <t>GOTLANDS LÄN</t>
        </is>
      </c>
      <c r="E641" t="inlineStr">
        <is>
          <t>GOTLAND</t>
        </is>
      </c>
      <c r="G641" t="n">
        <v>5.6</v>
      </c>
      <c r="H641" t="n">
        <v>0</v>
      </c>
      <c r="I641" t="n">
        <v>0</v>
      </c>
      <c r="J641" t="n">
        <v>0</v>
      </c>
      <c r="K641" t="n">
        <v>0</v>
      </c>
      <c r="L641" t="n">
        <v>0</v>
      </c>
      <c r="M641" t="n">
        <v>0</v>
      </c>
      <c r="N641" t="n">
        <v>0</v>
      </c>
      <c r="O641" t="n">
        <v>0</v>
      </c>
      <c r="P641" t="n">
        <v>0</v>
      </c>
      <c r="Q641" t="n">
        <v>0</v>
      </c>
      <c r="R641" s="2" t="inlineStr"/>
    </row>
    <row r="642" ht="15" customHeight="1">
      <c r="A642" t="inlineStr">
        <is>
          <t>A 16109-2025</t>
        </is>
      </c>
      <c r="B642" s="1" t="n">
        <v>45750</v>
      </c>
      <c r="C642" s="1" t="n">
        <v>46119</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32467-2025</t>
        </is>
      </c>
      <c r="B643" s="1" t="n">
        <v>45838.42111111111</v>
      </c>
      <c r="C643" s="1" t="n">
        <v>46119</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32379-2025</t>
        </is>
      </c>
      <c r="B644" s="1" t="n">
        <v>45837</v>
      </c>
      <c r="C644" s="1" t="n">
        <v>46119</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c r="A645" t="inlineStr">
        <is>
          <t>A 33007-2025</t>
        </is>
      </c>
      <c r="B645" s="1" t="n">
        <v>45840</v>
      </c>
      <c r="C645" s="1" t="n">
        <v>46119</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2026-04-07T10:41:08Z</dcterms:created>
  <dcterms:modified xmlns:dcterms="http://purl.org/dc/terms/" xmlns:xsi="http://www.w3.org/2001/XMLSchema-instance" xsi:type="dcterms:W3CDTF">2026-04-07T10:41:09Z</dcterms:modified>
</cp:coreProperties>
</file>