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46003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46003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46003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46003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46003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46003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46003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46003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46003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6913-2025</t>
        </is>
      </c>
      <c r="B24" s="1" t="n">
        <v>45701.43809027778</v>
      </c>
      <c r="C24" s="1" t="n">
        <v>46003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34100-2024</t>
        </is>
      </c>
      <c r="B25" s="1" t="n">
        <v>45523</v>
      </c>
      <c r="C25" s="1" t="n">
        <v>46003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46003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46003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46003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46003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46003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46003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46003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46003</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46003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35141-2022</t>
        </is>
      </c>
      <c r="B37" s="1" t="n">
        <v>44797.53318287037</v>
      </c>
      <c r="C37" s="1" t="n">
        <v>46003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46003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46003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46003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46003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46003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46003</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46003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46003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46003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22404-2024</t>
        </is>
      </c>
      <c r="B51" s="1" t="n">
        <v>45446</v>
      </c>
      <c r="C51" s="1" t="n">
        <v>46003</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46003</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46003</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46003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46003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46003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46003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46003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46003</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46003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46003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46003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46003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46003</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27168-2022</t>
        </is>
      </c>
      <c r="B66" s="1" t="n">
        <v>44741</v>
      </c>
      <c r="C66" s="1" t="n">
        <v>46003</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27280-2023</t>
        </is>
      </c>
      <c r="B67" s="1" t="n">
        <v>45096</v>
      </c>
      <c r="C67" s="1" t="n">
        <v>46003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46003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56687-2025</t>
        </is>
      </c>
      <c r="B69" s="1" t="n">
        <v>45975.84065972222</v>
      </c>
      <c r="C69" s="1" t="n">
        <v>46003</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46003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46003</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46003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46003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46003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46003</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446-2023</t>
        </is>
      </c>
      <c r="B77" s="1" t="n">
        <v>44929</v>
      </c>
      <c r="C77" s="1" t="n">
        <v>46003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46003</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66091-2021</t>
        </is>
      </c>
      <c r="B79" s="1" t="n">
        <v>44517</v>
      </c>
      <c r="C79" s="1" t="n">
        <v>46003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46003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46003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46003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39425-2023</t>
        </is>
      </c>
      <c r="B83" s="1" t="n">
        <v>45166</v>
      </c>
      <c r="C83" s="1" t="n">
        <v>46003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46003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16375-2025</t>
        </is>
      </c>
      <c r="B85" s="1" t="n">
        <v>45751.41064814815</v>
      </c>
      <c r="C85" s="1" t="n">
        <v>46003</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46003</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46003</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46003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2485-2025</t>
        </is>
      </c>
      <c r="B89" s="1" t="n">
        <v>45673</v>
      </c>
      <c r="C89" s="1" t="n">
        <v>46003</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54523-2023</t>
        </is>
      </c>
      <c r="B90" s="1" t="n">
        <v>45233</v>
      </c>
      <c r="C90" s="1" t="n">
        <v>46003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46003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46003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46003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5904-2024</t>
        </is>
      </c>
      <c r="B94" s="1" t="n">
        <v>45335</v>
      </c>
      <c r="C94" s="1" t="n">
        <v>46003</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40099-2025</t>
        </is>
      </c>
      <c r="B95" s="1" t="n">
        <v>45894.48462962963</v>
      </c>
      <c r="C95" s="1" t="n">
        <v>46003</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44933-2022</t>
        </is>
      </c>
      <c r="B96" s="1" t="n">
        <v>44841</v>
      </c>
      <c r="C96" s="1" t="n">
        <v>46003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8265-2023</t>
        </is>
      </c>
      <c r="B97" s="1" t="n">
        <v>44974</v>
      </c>
      <c r="C97" s="1" t="n">
        <v>46003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46003</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46003</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57463-2025</t>
        </is>
      </c>
      <c r="B100" s="1" t="n">
        <v>45980.54174768519</v>
      </c>
      <c r="C100" s="1" t="n">
        <v>46003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46003</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20833-2024</t>
        </is>
      </c>
      <c r="B102" s="1" t="n">
        <v>45439</v>
      </c>
      <c r="C102" s="1" t="n">
        <v>46003</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52250-2025</t>
        </is>
      </c>
      <c r="B103" s="1" t="n">
        <v>45953.48998842593</v>
      </c>
      <c r="C103" s="1" t="n">
        <v>46003</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44323-2021</t>
        </is>
      </c>
      <c r="B104" s="1" t="n">
        <v>44434</v>
      </c>
      <c r="C104" s="1" t="n">
        <v>46003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46003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12519-2021</t>
        </is>
      </c>
      <c r="B107" s="1" t="n">
        <v>44269</v>
      </c>
      <c r="C107" s="1" t="n">
        <v>46003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2332-2021</t>
        </is>
      </c>
      <c r="B108" s="1" t="n">
        <v>44214</v>
      </c>
      <c r="C108" s="1" t="n">
        <v>46003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46003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13499-2022</t>
        </is>
      </c>
      <c r="B110" s="1" t="n">
        <v>44647.79203703703</v>
      </c>
      <c r="C110" s="1" t="n">
        <v>46003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43013-2022</t>
        </is>
      </c>
      <c r="B111" s="1" t="n">
        <v>44833</v>
      </c>
      <c r="C111" s="1" t="n">
        <v>46003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12315-2024</t>
        </is>
      </c>
      <c r="B112" s="1" t="n">
        <v>45378.6434837963</v>
      </c>
      <c r="C112" s="1" t="n">
        <v>46003</v>
      </c>
      <c r="D112" t="inlineStr">
        <is>
          <t>GOTLANDS LÄN</t>
        </is>
      </c>
      <c r="E112" t="inlineStr">
        <is>
          <t>GOTLAND</t>
        </is>
      </c>
      <c r="G112" t="n">
        <v>6</v>
      </c>
      <c r="H112" t="n">
        <v>3</v>
      </c>
      <c r="I112" t="n">
        <v>1</v>
      </c>
      <c r="J112" t="n">
        <v>1</v>
      </c>
      <c r="K112" t="n">
        <v>0</v>
      </c>
      <c r="L112" t="n">
        <v>0</v>
      </c>
      <c r="M112" t="n">
        <v>0</v>
      </c>
      <c r="N112" t="n">
        <v>0</v>
      </c>
      <c r="O112" t="n">
        <v>1</v>
      </c>
      <c r="P112" t="n">
        <v>0</v>
      </c>
      <c r="Q112" t="n">
        <v>3</v>
      </c>
      <c r="R112" s="2" t="inlineStr">
        <is>
          <t>Buskskvätta
Tvåblad
Fläcknycklar</t>
        </is>
      </c>
      <c r="S112">
        <f>HYPERLINK("https://klasma.github.io/Logging_0980/artfynd/A 12315-2024 artfynd.xlsx", "A 12315-2024")</f>
        <v/>
      </c>
      <c r="T112">
        <f>HYPERLINK("https://klasma.github.io/Logging_0980/kartor/A 12315-2024 karta.png", "A 12315-2024")</f>
        <v/>
      </c>
      <c r="V112">
        <f>HYPERLINK("https://klasma.github.io/Logging_0980/klagomål/A 12315-2024 FSC-klagomål.docx", "A 12315-2024")</f>
        <v/>
      </c>
      <c r="W112">
        <f>HYPERLINK("https://klasma.github.io/Logging_0980/klagomålsmail/A 12315-2024 FSC-klagomål mail.docx", "A 12315-2024")</f>
        <v/>
      </c>
      <c r="X112">
        <f>HYPERLINK("https://klasma.github.io/Logging_0980/tillsyn/A 12315-2024 tillsynsbegäran.docx", "A 12315-2024")</f>
        <v/>
      </c>
      <c r="Y112">
        <f>HYPERLINK("https://klasma.github.io/Logging_0980/tillsynsmail/A 12315-2024 tillsynsbegäran mail.docx", "A 12315-2024")</f>
        <v/>
      </c>
      <c r="Z112">
        <f>HYPERLINK("https://klasma.github.io/Logging_0980/fåglar/A 12315-2024 prioriterade fågelarter.docx", "A 12315-2024")</f>
        <v/>
      </c>
    </row>
    <row r="113" ht="15" customHeight="1">
      <c r="A113" t="inlineStr">
        <is>
          <t>A 5235-2025</t>
        </is>
      </c>
      <c r="B113" s="1" t="n">
        <v>45692.26797453704</v>
      </c>
      <c r="C113" s="1" t="n">
        <v>46003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46003</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46003</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46003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73144-2021</t>
        </is>
      </c>
      <c r="B117" s="1" t="n">
        <v>44550</v>
      </c>
      <c r="C117" s="1" t="n">
        <v>46003</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55334-2024</t>
        </is>
      </c>
      <c r="B118" s="1" t="n">
        <v>45621</v>
      </c>
      <c r="C118" s="1" t="n">
        <v>46003</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46003</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30490-2025</t>
        </is>
      </c>
      <c r="B120" s="1" t="n">
        <v>45830</v>
      </c>
      <c r="C120" s="1" t="n">
        <v>46003</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20831-2024</t>
        </is>
      </c>
      <c r="B121" s="1" t="n">
        <v>45439</v>
      </c>
      <c r="C121" s="1" t="n">
        <v>46003</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29870-2021</t>
        </is>
      </c>
      <c r="B122" s="1" t="n">
        <v>44362</v>
      </c>
      <c r="C122" s="1" t="n">
        <v>46003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7070-2022</t>
        </is>
      </c>
      <c r="B128" s="1" t="n">
        <v>44603</v>
      </c>
      <c r="C128" s="1" t="n">
        <v>46003</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26077-2024</t>
        </is>
      </c>
      <c r="B129" s="1" t="n">
        <v>45467</v>
      </c>
      <c r="C129" s="1" t="n">
        <v>46003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43219-2023</t>
        </is>
      </c>
      <c r="B130" s="1" t="n">
        <v>45183</v>
      </c>
      <c r="C130" s="1" t="n">
        <v>46003</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46003</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28276-2024</t>
        </is>
      </c>
      <c r="B132" s="1" t="n">
        <v>45477</v>
      </c>
      <c r="C132" s="1" t="n">
        <v>46003</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28261-2024</t>
        </is>
      </c>
      <c r="B133" s="1" t="n">
        <v>45477</v>
      </c>
      <c r="C133" s="1" t="n">
        <v>46003</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20838-2024</t>
        </is>
      </c>
      <c r="B134" s="1" t="n">
        <v>45439</v>
      </c>
      <c r="C134" s="1" t="n">
        <v>46003</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55649-2024</t>
        </is>
      </c>
      <c r="B135" s="1" t="n">
        <v>45622.63053240741</v>
      </c>
      <c r="C135" s="1" t="n">
        <v>46003</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21879-2025</t>
        </is>
      </c>
      <c r="B136" s="1" t="n">
        <v>45784.40533564815</v>
      </c>
      <c r="C136" s="1" t="n">
        <v>46003</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54357-2024</t>
        </is>
      </c>
      <c r="B137" s="1" t="n">
        <v>45617.40662037037</v>
      </c>
      <c r="C137" s="1" t="n">
        <v>46003</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24-2021</t>
        </is>
      </c>
      <c r="B138" s="1" t="n">
        <v>44197</v>
      </c>
      <c r="C138" s="1" t="n">
        <v>46003</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46003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6303-2024</t>
        </is>
      </c>
      <c r="B143" s="1" t="n">
        <v>45338.35376157407</v>
      </c>
      <c r="C143" s="1" t="n">
        <v>46003</v>
      </c>
      <c r="D143" t="inlineStr">
        <is>
          <t>GOTLANDS LÄN</t>
        </is>
      </c>
      <c r="E143" t="inlineStr">
        <is>
          <t>GOTLAND</t>
        </is>
      </c>
      <c r="G143" t="n">
        <v>0.6</v>
      </c>
      <c r="H143" t="n">
        <v>0</v>
      </c>
      <c r="I143" t="n">
        <v>1</v>
      </c>
      <c r="J143" t="n">
        <v>0</v>
      </c>
      <c r="K143" t="n">
        <v>0</v>
      </c>
      <c r="L143" t="n">
        <v>0</v>
      </c>
      <c r="M143" t="n">
        <v>0</v>
      </c>
      <c r="N143" t="n">
        <v>0</v>
      </c>
      <c r="O143" t="n">
        <v>0</v>
      </c>
      <c r="P143" t="n">
        <v>0</v>
      </c>
      <c r="Q143" t="n">
        <v>1</v>
      </c>
      <c r="R143" s="2" t="inlineStr">
        <is>
          <t>Strävlosta</t>
        </is>
      </c>
      <c r="S143">
        <f>HYPERLINK("https://klasma.github.io/Logging_0980/artfynd/A 6303-2024 artfynd.xlsx", "A 6303-2024")</f>
        <v/>
      </c>
      <c r="T143">
        <f>HYPERLINK("https://klasma.github.io/Logging_0980/kartor/A 6303-2024 karta.png", "A 6303-2024")</f>
        <v/>
      </c>
      <c r="V143">
        <f>HYPERLINK("https://klasma.github.io/Logging_0980/klagomål/A 6303-2024 FSC-klagomål.docx", "A 6303-2024")</f>
        <v/>
      </c>
      <c r="W143">
        <f>HYPERLINK("https://klasma.github.io/Logging_0980/klagomålsmail/A 6303-2024 FSC-klagomål mail.docx", "A 6303-2024")</f>
        <v/>
      </c>
      <c r="X143">
        <f>HYPERLINK("https://klasma.github.io/Logging_0980/tillsyn/A 6303-2024 tillsynsbegäran.docx", "A 6303-2024")</f>
        <v/>
      </c>
      <c r="Y143">
        <f>HYPERLINK("https://klasma.github.io/Logging_0980/tillsynsmail/A 6303-2024 tillsynsbegäran mail.docx", "A 6303-2024")</f>
        <v/>
      </c>
    </row>
    <row r="144" ht="15" customHeight="1">
      <c r="A144" t="inlineStr">
        <is>
          <t>A 12379-2024</t>
        </is>
      </c>
      <c r="B144" s="1" t="n">
        <v>45379.28155092592</v>
      </c>
      <c r="C144" s="1" t="n">
        <v>46003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46003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15637-2024</t>
        </is>
      </c>
      <c r="B146" s="1" t="n">
        <v>45403.6684837963</v>
      </c>
      <c r="C146" s="1" t="n">
        <v>46003</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49847-2023</t>
        </is>
      </c>
      <c r="B147" s="1" t="n">
        <v>45212</v>
      </c>
      <c r="C147" s="1" t="n">
        <v>46003</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44304-2021</t>
        </is>
      </c>
      <c r="B148" s="1" t="n">
        <v>44434</v>
      </c>
      <c r="C148" s="1" t="n">
        <v>46003</v>
      </c>
      <c r="D148" t="inlineStr">
        <is>
          <t>GOTLANDS LÄN</t>
        </is>
      </c>
      <c r="E148" t="inlineStr">
        <is>
          <t>GOTLAND</t>
        </is>
      </c>
      <c r="G148" t="n">
        <v>5.8</v>
      </c>
      <c r="H148" t="n">
        <v>0</v>
      </c>
      <c r="I148" t="n">
        <v>0</v>
      </c>
      <c r="J148" t="n">
        <v>1</v>
      </c>
      <c r="K148" t="n">
        <v>0</v>
      </c>
      <c r="L148" t="n">
        <v>0</v>
      </c>
      <c r="M148" t="n">
        <v>0</v>
      </c>
      <c r="N148" t="n">
        <v>0</v>
      </c>
      <c r="O148" t="n">
        <v>1</v>
      </c>
      <c r="P148" t="n">
        <v>0</v>
      </c>
      <c r="Q148" t="n">
        <v>1</v>
      </c>
      <c r="R148" s="2" t="inlineStr">
        <is>
          <t>Svinrot</t>
        </is>
      </c>
      <c r="S148">
        <f>HYPERLINK("https://klasma.github.io/Logging_0980/artfynd/A 44304-2021 artfynd.xlsx", "A 44304-2021")</f>
        <v/>
      </c>
      <c r="T148">
        <f>HYPERLINK("https://klasma.github.io/Logging_0980/kartor/A 44304-2021 karta.png", "A 44304-2021")</f>
        <v/>
      </c>
      <c r="V148">
        <f>HYPERLINK("https://klasma.github.io/Logging_0980/klagomål/A 44304-2021 FSC-klagomål.docx", "A 44304-2021")</f>
        <v/>
      </c>
      <c r="W148">
        <f>HYPERLINK("https://klasma.github.io/Logging_0980/klagomålsmail/A 44304-2021 FSC-klagomål mail.docx", "A 44304-2021")</f>
        <v/>
      </c>
      <c r="X148">
        <f>HYPERLINK("https://klasma.github.io/Logging_0980/tillsyn/A 44304-2021 tillsynsbegäran.docx", "A 44304-2021")</f>
        <v/>
      </c>
      <c r="Y148">
        <f>HYPERLINK("https://klasma.github.io/Logging_0980/tillsynsmail/A 44304-2021 tillsynsbegäran mail.docx", "A 44304-2021")</f>
        <v/>
      </c>
    </row>
    <row r="149" ht="15" customHeight="1">
      <c r="A149" t="inlineStr">
        <is>
          <t>A 34809-2024</t>
        </is>
      </c>
      <c r="B149" s="1" t="n">
        <v>45526</v>
      </c>
      <c r="C149" s="1" t="n">
        <v>46003</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2476-2025</t>
        </is>
      </c>
      <c r="B150" s="1" t="n">
        <v>45673</v>
      </c>
      <c r="C150" s="1" t="n">
        <v>46003</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46527-2023</t>
        </is>
      </c>
      <c r="B151" s="1" t="n">
        <v>45197</v>
      </c>
      <c r="C151" s="1" t="n">
        <v>46003</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10995-2023</t>
        </is>
      </c>
      <c r="B152" s="1" t="n">
        <v>44986</v>
      </c>
      <c r="C152" s="1" t="n">
        <v>46003</v>
      </c>
      <c r="D152" t="inlineStr">
        <is>
          <t>GOTLANDS LÄN</t>
        </is>
      </c>
      <c r="E152" t="inlineStr">
        <is>
          <t>GOTLAND</t>
        </is>
      </c>
      <c r="G152" t="n">
        <v>2.8</v>
      </c>
      <c r="H152" t="n">
        <v>0</v>
      </c>
      <c r="I152" t="n">
        <v>0</v>
      </c>
      <c r="J152" t="n">
        <v>0</v>
      </c>
      <c r="K152" t="n">
        <v>1</v>
      </c>
      <c r="L152" t="n">
        <v>0</v>
      </c>
      <c r="M152" t="n">
        <v>0</v>
      </c>
      <c r="N152" t="n">
        <v>0</v>
      </c>
      <c r="O152" t="n">
        <v>1</v>
      </c>
      <c r="P152" t="n">
        <v>1</v>
      </c>
      <c r="Q152" t="n">
        <v>1</v>
      </c>
      <c r="R152" s="2" t="inlineStr">
        <is>
          <t>Violettfläckig spindling</t>
        </is>
      </c>
      <c r="S152">
        <f>HYPERLINK("https://klasma.github.io/Logging_0980/artfynd/A 10995-2023 artfynd.xlsx", "A 10995-2023")</f>
        <v/>
      </c>
      <c r="T152">
        <f>HYPERLINK("https://klasma.github.io/Logging_0980/kartor/A 10995-2023 karta.png", "A 10995-2023")</f>
        <v/>
      </c>
      <c r="V152">
        <f>HYPERLINK("https://klasma.github.io/Logging_0980/klagomål/A 10995-2023 FSC-klagomål.docx", "A 10995-2023")</f>
        <v/>
      </c>
      <c r="W152">
        <f>HYPERLINK("https://klasma.github.io/Logging_0980/klagomålsmail/A 10995-2023 FSC-klagomål mail.docx", "A 10995-2023")</f>
        <v/>
      </c>
      <c r="X152">
        <f>HYPERLINK("https://klasma.github.io/Logging_0980/tillsyn/A 10995-2023 tillsynsbegäran.docx", "A 10995-2023")</f>
        <v/>
      </c>
      <c r="Y152">
        <f>HYPERLINK("https://klasma.github.io/Logging_0980/tillsynsmail/A 10995-2023 tillsynsbegäran mail.docx", "A 10995-2023")</f>
        <v/>
      </c>
    </row>
    <row r="153" ht="15" customHeight="1">
      <c r="A153" t="inlineStr">
        <is>
          <t>A 25977-2024</t>
        </is>
      </c>
      <c r="B153" s="1" t="n">
        <v>45467.69356481481</v>
      </c>
      <c r="C153" s="1" t="n">
        <v>46003</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62552-2022</t>
        </is>
      </c>
      <c r="B154" s="1" t="n">
        <v>44924</v>
      </c>
      <c r="C154" s="1" t="n">
        <v>46003</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65927-2021</t>
        </is>
      </c>
      <c r="B155" s="1" t="n">
        <v>44516</v>
      </c>
      <c r="C155" s="1" t="n">
        <v>46003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12324-2025</t>
        </is>
      </c>
      <c r="B156" s="1" t="n">
        <v>45730</v>
      </c>
      <c r="C156" s="1" t="n">
        <v>46003</v>
      </c>
      <c r="D156" t="inlineStr">
        <is>
          <t>GOTLANDS LÄN</t>
        </is>
      </c>
      <c r="E156" t="inlineStr">
        <is>
          <t>GOTLAND</t>
        </is>
      </c>
      <c r="G156" t="n">
        <v>5</v>
      </c>
      <c r="H156" t="n">
        <v>0</v>
      </c>
      <c r="I156" t="n">
        <v>0</v>
      </c>
      <c r="J156" t="n">
        <v>0</v>
      </c>
      <c r="K156" t="n">
        <v>1</v>
      </c>
      <c r="L156" t="n">
        <v>0</v>
      </c>
      <c r="M156" t="n">
        <v>0</v>
      </c>
      <c r="N156" t="n">
        <v>0</v>
      </c>
      <c r="O156" t="n">
        <v>1</v>
      </c>
      <c r="P156" t="n">
        <v>1</v>
      </c>
      <c r="Q156" t="n">
        <v>1</v>
      </c>
      <c r="R156" s="2" t="inlineStr">
        <is>
          <t>Sommarklynne</t>
        </is>
      </c>
      <c r="S156">
        <f>HYPERLINK("https://klasma.github.io/Logging_0980/artfynd/A 12324-2025 artfynd.xlsx", "A 12324-2025")</f>
        <v/>
      </c>
      <c r="T156">
        <f>HYPERLINK("https://klasma.github.io/Logging_0980/kartor/A 12324-2025 karta.png", "A 12324-2025")</f>
        <v/>
      </c>
      <c r="V156">
        <f>HYPERLINK("https://klasma.github.io/Logging_0980/klagomål/A 12324-2025 FSC-klagomål.docx", "A 12324-2025")</f>
        <v/>
      </c>
      <c r="W156">
        <f>HYPERLINK("https://klasma.github.io/Logging_0980/klagomålsmail/A 12324-2025 FSC-klagomål mail.docx", "A 12324-2025")</f>
        <v/>
      </c>
      <c r="X156">
        <f>HYPERLINK("https://klasma.github.io/Logging_0980/tillsyn/A 12324-2025 tillsynsbegäran.docx", "A 12324-2025")</f>
        <v/>
      </c>
      <c r="Y156">
        <f>HYPERLINK("https://klasma.github.io/Logging_0980/tillsynsmail/A 12324-2025 tillsynsbegäran mail.docx", "A 12324-2025")</f>
        <v/>
      </c>
    </row>
    <row r="157" ht="15" customHeight="1">
      <c r="A157" t="inlineStr">
        <is>
          <t>A 44088-2022</t>
        </is>
      </c>
      <c r="B157" s="1" t="n">
        <v>44839</v>
      </c>
      <c r="C157" s="1" t="n">
        <v>46003</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37591-2023</t>
        </is>
      </c>
      <c r="B158" s="1" t="n">
        <v>45159</v>
      </c>
      <c r="C158" s="1" t="n">
        <v>46003</v>
      </c>
      <c r="D158" t="inlineStr">
        <is>
          <t>GOTLANDS LÄN</t>
        </is>
      </c>
      <c r="E158" t="inlineStr">
        <is>
          <t>GOTLAND</t>
        </is>
      </c>
      <c r="G158" t="n">
        <v>8.300000000000001</v>
      </c>
      <c r="H158" t="n">
        <v>0</v>
      </c>
      <c r="I158" t="n">
        <v>0</v>
      </c>
      <c r="J158" t="n">
        <v>1</v>
      </c>
      <c r="K158" t="n">
        <v>0</v>
      </c>
      <c r="L158" t="n">
        <v>0</v>
      </c>
      <c r="M158" t="n">
        <v>0</v>
      </c>
      <c r="N158" t="n">
        <v>0</v>
      </c>
      <c r="O158" t="n">
        <v>1</v>
      </c>
      <c r="P158" t="n">
        <v>0</v>
      </c>
      <c r="Q158" t="n">
        <v>1</v>
      </c>
      <c r="R158" s="2" t="inlineStr">
        <is>
          <t>Ängsstarr</t>
        </is>
      </c>
      <c r="S158">
        <f>HYPERLINK("https://klasma.github.io/Logging_0980/artfynd/A 37591-2023 artfynd.xlsx", "A 37591-2023")</f>
        <v/>
      </c>
      <c r="T158">
        <f>HYPERLINK("https://klasma.github.io/Logging_0980/kartor/A 37591-2023 karta.png", "A 37591-2023")</f>
        <v/>
      </c>
      <c r="V158">
        <f>HYPERLINK("https://klasma.github.io/Logging_0980/klagomål/A 37591-2023 FSC-klagomål.docx", "A 37591-2023")</f>
        <v/>
      </c>
      <c r="W158">
        <f>HYPERLINK("https://klasma.github.io/Logging_0980/klagomålsmail/A 37591-2023 FSC-klagomål mail.docx", "A 37591-2023")</f>
        <v/>
      </c>
      <c r="X158">
        <f>HYPERLINK("https://klasma.github.io/Logging_0980/tillsyn/A 37591-2023 tillsynsbegäran.docx", "A 37591-2023")</f>
        <v/>
      </c>
      <c r="Y158">
        <f>HYPERLINK("https://klasma.github.io/Logging_0980/tillsynsmail/A 37591-2023 tillsynsbegäran mail.docx", "A 37591-2023")</f>
        <v/>
      </c>
    </row>
    <row r="159" ht="15" customHeight="1">
      <c r="A159" t="inlineStr">
        <is>
          <t>A 61796-2022</t>
        </is>
      </c>
      <c r="B159" s="1" t="n">
        <v>44917</v>
      </c>
      <c r="C159" s="1" t="n">
        <v>46003</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46003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44308-2021</t>
        </is>
      </c>
      <c r="B161" s="1" t="n">
        <v>44434</v>
      </c>
      <c r="C161" s="1" t="n">
        <v>46003</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13939-2021</t>
        </is>
      </c>
      <c r="B162" s="1" t="n">
        <v>44277</v>
      </c>
      <c r="C162" s="1" t="n">
        <v>46003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447-2023</t>
        </is>
      </c>
      <c r="B163" s="1" t="n">
        <v>44929</v>
      </c>
      <c r="C163" s="1" t="n">
        <v>46003</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21466-2025</t>
        </is>
      </c>
      <c r="B164" s="1" t="n">
        <v>45782</v>
      </c>
      <c r="C164" s="1" t="n">
        <v>46003</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947-2023</t>
        </is>
      </c>
      <c r="B165" s="1" t="n">
        <v>44934</v>
      </c>
      <c r="C165" s="1" t="n">
        <v>46003</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46003</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46003</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64700-2021</t>
        </is>
      </c>
      <c r="B168" s="1" t="n">
        <v>44511</v>
      </c>
      <c r="C168" s="1" t="n">
        <v>46003</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22782-2023</t>
        </is>
      </c>
      <c r="B169" s="1" t="n">
        <v>45072</v>
      </c>
      <c r="C169" s="1" t="n">
        <v>46003</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39812-2025</t>
        </is>
      </c>
      <c r="B170" s="1" t="n">
        <v>45891</v>
      </c>
      <c r="C170" s="1" t="n">
        <v>46003</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22883-2024</t>
        </is>
      </c>
      <c r="B171" s="1" t="n">
        <v>45448.66368055555</v>
      </c>
      <c r="C171" s="1" t="n">
        <v>46003</v>
      </c>
      <c r="D171" t="inlineStr">
        <is>
          <t>GOTLANDS LÄN</t>
        </is>
      </c>
      <c r="E171" t="inlineStr">
        <is>
          <t>GOTLAND</t>
        </is>
      </c>
      <c r="G171" t="n">
        <v>0.5</v>
      </c>
      <c r="H171" t="n">
        <v>0</v>
      </c>
      <c r="I171" t="n">
        <v>0</v>
      </c>
      <c r="J171" t="n">
        <v>0</v>
      </c>
      <c r="K171" t="n">
        <v>1</v>
      </c>
      <c r="L171" t="n">
        <v>0</v>
      </c>
      <c r="M171" t="n">
        <v>0</v>
      </c>
      <c r="N171" t="n">
        <v>0</v>
      </c>
      <c r="O171" t="n">
        <v>1</v>
      </c>
      <c r="P171" t="n">
        <v>1</v>
      </c>
      <c r="Q171" t="n">
        <v>1</v>
      </c>
      <c r="R171" s="2" t="inlineStr">
        <is>
          <t>Gotlandsmåra</t>
        </is>
      </c>
      <c r="S171">
        <f>HYPERLINK("https://klasma.github.io/Logging_0980/artfynd/A 22883-2024 artfynd.xlsx", "A 22883-2024")</f>
        <v/>
      </c>
      <c r="T171">
        <f>HYPERLINK("https://klasma.github.io/Logging_0980/kartor/A 22883-2024 karta.png", "A 22883-2024")</f>
        <v/>
      </c>
      <c r="V171">
        <f>HYPERLINK("https://klasma.github.io/Logging_0980/klagomål/A 22883-2024 FSC-klagomål.docx", "A 22883-2024")</f>
        <v/>
      </c>
      <c r="W171">
        <f>HYPERLINK("https://klasma.github.io/Logging_0980/klagomålsmail/A 22883-2024 FSC-klagomål mail.docx", "A 22883-2024")</f>
        <v/>
      </c>
      <c r="X171">
        <f>HYPERLINK("https://klasma.github.io/Logging_0980/tillsyn/A 22883-2024 tillsynsbegäran.docx", "A 22883-2024")</f>
        <v/>
      </c>
      <c r="Y171">
        <f>HYPERLINK("https://klasma.github.io/Logging_0980/tillsynsmail/A 22883-2024 tillsynsbegäran mail.docx", "A 22883-2024")</f>
        <v/>
      </c>
    </row>
    <row r="172" ht="15" customHeight="1">
      <c r="A172" t="inlineStr">
        <is>
          <t>A 27589-2023</t>
        </is>
      </c>
      <c r="B172" s="1" t="n">
        <v>45097</v>
      </c>
      <c r="C172" s="1" t="n">
        <v>46003</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46003</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46003</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10440-2024</t>
        </is>
      </c>
      <c r="B175" s="1" t="n">
        <v>45366.32818287037</v>
      </c>
      <c r="C175" s="1" t="n">
        <v>46003</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7637-2025</t>
        </is>
      </c>
      <c r="B176" s="1" t="n">
        <v>45705.77181712963</v>
      </c>
      <c r="C176" s="1" t="n">
        <v>46003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35467-2021</t>
        </is>
      </c>
      <c r="B177" s="1" t="n">
        <v>44385</v>
      </c>
      <c r="C177" s="1" t="n">
        <v>46003</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44619-2025</t>
        </is>
      </c>
      <c r="B178" s="1" t="n">
        <v>45917</v>
      </c>
      <c r="C178" s="1" t="n">
        <v>46003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Ögonpyrola</t>
        </is>
      </c>
      <c r="S178">
        <f>HYPERLINK("https://klasma.github.io/Logging_0980/artfynd/A 44619-2025 artfynd.xlsx", "A 44619-2025")</f>
        <v/>
      </c>
      <c r="T178">
        <f>HYPERLINK("https://klasma.github.io/Logging_0980/kartor/A 44619-2025 karta.png", "A 44619-2025")</f>
        <v/>
      </c>
      <c r="V178">
        <f>HYPERLINK("https://klasma.github.io/Logging_0980/klagomål/A 44619-2025 FSC-klagomål.docx", "A 44619-2025")</f>
        <v/>
      </c>
      <c r="W178">
        <f>HYPERLINK("https://klasma.github.io/Logging_0980/klagomålsmail/A 44619-2025 FSC-klagomål mail.docx", "A 44619-2025")</f>
        <v/>
      </c>
      <c r="X178">
        <f>HYPERLINK("https://klasma.github.io/Logging_0980/tillsyn/A 44619-2025 tillsynsbegäran.docx", "A 44619-2025")</f>
        <v/>
      </c>
      <c r="Y178">
        <f>HYPERLINK("https://klasma.github.io/Logging_0980/tillsynsmail/A 44619-2025 tillsynsbegäran mail.docx", "A 44619-2025")</f>
        <v/>
      </c>
    </row>
    <row r="179" ht="15" customHeight="1">
      <c r="A179" t="inlineStr">
        <is>
          <t>A 24245-2022</t>
        </is>
      </c>
      <c r="B179" s="1" t="n">
        <v>44725</v>
      </c>
      <c r="C179" s="1" t="n">
        <v>46003</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26461-2025</t>
        </is>
      </c>
      <c r="B180" s="1" t="n">
        <v>45807.43337962963</v>
      </c>
      <c r="C180" s="1" t="n">
        <v>46003</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49726-2025</t>
        </is>
      </c>
      <c r="B181" s="1" t="n">
        <v>45939.84466435185</v>
      </c>
      <c r="C181" s="1" t="n">
        <v>46003</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20429-2025</t>
        </is>
      </c>
      <c r="B182" s="1" t="n">
        <v>45775.47728009259</v>
      </c>
      <c r="C182" s="1" t="n">
        <v>46003</v>
      </c>
      <c r="D182" t="inlineStr">
        <is>
          <t>GOTLANDS LÄN</t>
        </is>
      </c>
      <c r="E182" t="inlineStr">
        <is>
          <t>GOTLAND</t>
        </is>
      </c>
      <c r="G182" t="n">
        <v>1.4</v>
      </c>
      <c r="H182" t="n">
        <v>1</v>
      </c>
      <c r="I182" t="n">
        <v>0</v>
      </c>
      <c r="J182" t="n">
        <v>0</v>
      </c>
      <c r="K182" t="n">
        <v>0</v>
      </c>
      <c r="L182" t="n">
        <v>0</v>
      </c>
      <c r="M182" t="n">
        <v>0</v>
      </c>
      <c r="N182" t="n">
        <v>0</v>
      </c>
      <c r="O182" t="n">
        <v>0</v>
      </c>
      <c r="P182" t="n">
        <v>0</v>
      </c>
      <c r="Q182" t="n">
        <v>1</v>
      </c>
      <c r="R182" s="2" t="inlineStr">
        <is>
          <t>Äkta lopplummer</t>
        </is>
      </c>
      <c r="S182">
        <f>HYPERLINK("https://klasma.github.io/Logging_0980/artfynd/A 20429-2025 artfynd.xlsx", "A 20429-2025")</f>
        <v/>
      </c>
      <c r="T182">
        <f>HYPERLINK("https://klasma.github.io/Logging_0980/kartor/A 20429-2025 karta.png", "A 20429-2025")</f>
        <v/>
      </c>
      <c r="V182">
        <f>HYPERLINK("https://klasma.github.io/Logging_0980/klagomål/A 20429-2025 FSC-klagomål.docx", "A 20429-2025")</f>
        <v/>
      </c>
      <c r="W182">
        <f>HYPERLINK("https://klasma.github.io/Logging_0980/klagomålsmail/A 20429-2025 FSC-klagomål mail.docx", "A 20429-2025")</f>
        <v/>
      </c>
      <c r="X182">
        <f>HYPERLINK("https://klasma.github.io/Logging_0980/tillsyn/A 20429-2025 tillsynsbegäran.docx", "A 20429-2025")</f>
        <v/>
      </c>
      <c r="Y182">
        <f>HYPERLINK("https://klasma.github.io/Logging_0980/tillsynsmail/A 20429-2025 tillsynsbegäran mail.docx", "A 20429-2025")</f>
        <v/>
      </c>
    </row>
    <row r="183" ht="15" customHeight="1">
      <c r="A183" t="inlineStr">
        <is>
          <t>A 34141-2024</t>
        </is>
      </c>
      <c r="B183" s="1" t="n">
        <v>45524.36229166666</v>
      </c>
      <c r="C183" s="1" t="n">
        <v>46003</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46003</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12924-2025</t>
        </is>
      </c>
      <c r="B185" s="1" t="n">
        <v>45734</v>
      </c>
      <c r="C185" s="1" t="n">
        <v>46003</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19901-2021</t>
        </is>
      </c>
      <c r="B186" s="1" t="n">
        <v>44312</v>
      </c>
      <c r="C186" s="1" t="n">
        <v>46003</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46003</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17199-2021</t>
        </is>
      </c>
      <c r="B191" s="1" t="n">
        <v>44298</v>
      </c>
      <c r="C191" s="1" t="n">
        <v>46003</v>
      </c>
      <c r="D191" t="inlineStr">
        <is>
          <t>GOTLANDS LÄN</t>
        </is>
      </c>
      <c r="E191" t="inlineStr">
        <is>
          <t>GOTLAND</t>
        </is>
      </c>
      <c r="G191" t="n">
        <v>9.6</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46003</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46003</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46003</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46003</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46003</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46003</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46003</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46003</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46003</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46003</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46003</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46003</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24123-2022</t>
        </is>
      </c>
      <c r="B208" s="1" t="n">
        <v>44725.4384375</v>
      </c>
      <c r="C208" s="1" t="n">
        <v>46003</v>
      </c>
      <c r="D208" t="inlineStr">
        <is>
          <t>GOTLANDS LÄN</t>
        </is>
      </c>
      <c r="E208" t="inlineStr">
        <is>
          <t>GOTLAND</t>
        </is>
      </c>
      <c r="G208" t="n">
        <v>6</v>
      </c>
      <c r="H208" t="n">
        <v>0</v>
      </c>
      <c r="I208" t="n">
        <v>0</v>
      </c>
      <c r="J208" t="n">
        <v>0</v>
      </c>
      <c r="K208" t="n">
        <v>0</v>
      </c>
      <c r="L208" t="n">
        <v>0</v>
      </c>
      <c r="M208" t="n">
        <v>0</v>
      </c>
      <c r="N208" t="n">
        <v>0</v>
      </c>
      <c r="O208" t="n">
        <v>0</v>
      </c>
      <c r="P208" t="n">
        <v>0</v>
      </c>
      <c r="Q208" t="n">
        <v>0</v>
      </c>
      <c r="R208" s="2" t="inlineStr"/>
    </row>
    <row r="209" ht="15" customHeight="1">
      <c r="A209" t="inlineStr">
        <is>
          <t>A 44207-2022</t>
        </is>
      </c>
      <c r="B209" s="1" t="n">
        <v>44839</v>
      </c>
      <c r="C209" s="1" t="n">
        <v>46003</v>
      </c>
      <c r="D209" t="inlineStr">
        <is>
          <t>GOTLANDS LÄN</t>
        </is>
      </c>
      <c r="E209" t="inlineStr">
        <is>
          <t>GOTLAND</t>
        </is>
      </c>
      <c r="G209" t="n">
        <v>3.8</v>
      </c>
      <c r="H209" t="n">
        <v>0</v>
      </c>
      <c r="I209" t="n">
        <v>0</v>
      </c>
      <c r="J209" t="n">
        <v>0</v>
      </c>
      <c r="K209" t="n">
        <v>0</v>
      </c>
      <c r="L209" t="n">
        <v>0</v>
      </c>
      <c r="M209" t="n">
        <v>0</v>
      </c>
      <c r="N209" t="n">
        <v>0</v>
      </c>
      <c r="O209" t="n">
        <v>0</v>
      </c>
      <c r="P209" t="n">
        <v>0</v>
      </c>
      <c r="Q209" t="n">
        <v>0</v>
      </c>
      <c r="R209" s="2" t="inlineStr"/>
    </row>
    <row r="210" ht="15" customHeight="1">
      <c r="A210" t="inlineStr">
        <is>
          <t>A 19447-2021</t>
        </is>
      </c>
      <c r="B210" s="1" t="n">
        <v>44310.72780092592</v>
      </c>
      <c r="C210" s="1" t="n">
        <v>46003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46003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46003</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46003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46003</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46003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46003</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46003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46003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46003</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60607-2021</t>
        </is>
      </c>
      <c r="B221" s="1" t="n">
        <v>44496.58627314815</v>
      </c>
      <c r="C221" s="1" t="n">
        <v>46003</v>
      </c>
      <c r="D221" t="inlineStr">
        <is>
          <t>GOTLANDS LÄN</t>
        </is>
      </c>
      <c r="E221" t="inlineStr">
        <is>
          <t>GOTLAND</t>
        </is>
      </c>
      <c r="G221" t="n">
        <v>0.6</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46003</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46003</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46003</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58815-2021</t>
        </is>
      </c>
      <c r="B225" s="1" t="n">
        <v>44489</v>
      </c>
      <c r="C225" s="1" t="n">
        <v>46003</v>
      </c>
      <c r="D225" t="inlineStr">
        <is>
          <t>GOTLANDS LÄN</t>
        </is>
      </c>
      <c r="E225" t="inlineStr">
        <is>
          <t>GOTLAND</t>
        </is>
      </c>
      <c r="G225" t="n">
        <v>4.1</v>
      </c>
      <c r="H225" t="n">
        <v>0</v>
      </c>
      <c r="I225" t="n">
        <v>0</v>
      </c>
      <c r="J225" t="n">
        <v>0</v>
      </c>
      <c r="K225" t="n">
        <v>0</v>
      </c>
      <c r="L225" t="n">
        <v>0</v>
      </c>
      <c r="M225" t="n">
        <v>0</v>
      </c>
      <c r="N225" t="n">
        <v>0</v>
      </c>
      <c r="O225" t="n">
        <v>0</v>
      </c>
      <c r="P225" t="n">
        <v>0</v>
      </c>
      <c r="Q225" t="n">
        <v>0</v>
      </c>
      <c r="R225" s="2" t="inlineStr"/>
    </row>
    <row r="226" ht="15" customHeight="1">
      <c r="A226" t="inlineStr">
        <is>
          <t>A 22155-2021</t>
        </is>
      </c>
      <c r="B226" s="1" t="n">
        <v>44325.49369212963</v>
      </c>
      <c r="C226" s="1" t="n">
        <v>46003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47369-2021</t>
        </is>
      </c>
      <c r="B227" s="1" t="n">
        <v>44447</v>
      </c>
      <c r="C227" s="1" t="n">
        <v>46003</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11029-2022</t>
        </is>
      </c>
      <c r="B228" s="1" t="n">
        <v>44628</v>
      </c>
      <c r="C228" s="1" t="n">
        <v>46003</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46003</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46003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46003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46003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46003</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46003</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57652-2023</t>
        </is>
      </c>
      <c r="B236" s="1" t="n">
        <v>45246</v>
      </c>
      <c r="C236" s="1" t="n">
        <v>46003</v>
      </c>
      <c r="D236" t="inlineStr">
        <is>
          <t>GOTLANDS LÄN</t>
        </is>
      </c>
      <c r="E236" t="inlineStr">
        <is>
          <t>GOTLAND</t>
        </is>
      </c>
      <c r="G236" t="n">
        <v>7.2</v>
      </c>
      <c r="H236" t="n">
        <v>0</v>
      </c>
      <c r="I236" t="n">
        <v>0</v>
      </c>
      <c r="J236" t="n">
        <v>0</v>
      </c>
      <c r="K236" t="n">
        <v>0</v>
      </c>
      <c r="L236" t="n">
        <v>0</v>
      </c>
      <c r="M236" t="n">
        <v>0</v>
      </c>
      <c r="N236" t="n">
        <v>0</v>
      </c>
      <c r="O236" t="n">
        <v>0</v>
      </c>
      <c r="P236" t="n">
        <v>0</v>
      </c>
      <c r="Q236" t="n">
        <v>0</v>
      </c>
      <c r="R236" s="2" t="inlineStr"/>
    </row>
    <row r="237" ht="15" customHeight="1">
      <c r="A237" t="inlineStr">
        <is>
          <t>A 8036-2022</t>
        </is>
      </c>
      <c r="B237" s="1" t="n">
        <v>44609.44362268518</v>
      </c>
      <c r="C237" s="1" t="n">
        <v>46003</v>
      </c>
      <c r="D237" t="inlineStr">
        <is>
          <t>GOTLANDS LÄN</t>
        </is>
      </c>
      <c r="E237" t="inlineStr">
        <is>
          <t>GOTLAND</t>
        </is>
      </c>
      <c r="G237" t="n">
        <v>6.1</v>
      </c>
      <c r="H237" t="n">
        <v>0</v>
      </c>
      <c r="I237" t="n">
        <v>0</v>
      </c>
      <c r="J237" t="n">
        <v>0</v>
      </c>
      <c r="K237" t="n">
        <v>0</v>
      </c>
      <c r="L237" t="n">
        <v>0</v>
      </c>
      <c r="M237" t="n">
        <v>0</v>
      </c>
      <c r="N237" t="n">
        <v>0</v>
      </c>
      <c r="O237" t="n">
        <v>0</v>
      </c>
      <c r="P237" t="n">
        <v>0</v>
      </c>
      <c r="Q237" t="n">
        <v>0</v>
      </c>
      <c r="R237" s="2" t="inlineStr"/>
    </row>
    <row r="238" ht="15" customHeight="1">
      <c r="A238" t="inlineStr">
        <is>
          <t>A 12846-2025</t>
        </is>
      </c>
      <c r="B238" s="1" t="n">
        <v>45733.65049768519</v>
      </c>
      <c r="C238" s="1" t="n">
        <v>46003</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49315-2024</t>
        </is>
      </c>
      <c r="B239" s="1" t="n">
        <v>45595</v>
      </c>
      <c r="C239" s="1" t="n">
        <v>46003</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46003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45106-2024</t>
        </is>
      </c>
      <c r="B241" s="1" t="n">
        <v>45575</v>
      </c>
      <c r="C241" s="1" t="n">
        <v>46003</v>
      </c>
      <c r="D241" t="inlineStr">
        <is>
          <t>GOTLANDS LÄN</t>
        </is>
      </c>
      <c r="E241" t="inlineStr">
        <is>
          <t>GOTLAND</t>
        </is>
      </c>
      <c r="G241" t="n">
        <v>10</v>
      </c>
      <c r="H241" t="n">
        <v>0</v>
      </c>
      <c r="I241" t="n">
        <v>0</v>
      </c>
      <c r="J241" t="n">
        <v>0</v>
      </c>
      <c r="K241" t="n">
        <v>0</v>
      </c>
      <c r="L241" t="n">
        <v>0</v>
      </c>
      <c r="M241" t="n">
        <v>0</v>
      </c>
      <c r="N241" t="n">
        <v>0</v>
      </c>
      <c r="O241" t="n">
        <v>0</v>
      </c>
      <c r="P241" t="n">
        <v>0</v>
      </c>
      <c r="Q241" t="n">
        <v>0</v>
      </c>
      <c r="R241" s="2" t="inlineStr"/>
    </row>
    <row r="242" ht="15" customHeight="1">
      <c r="A242" t="inlineStr">
        <is>
          <t>A 45112-2024</t>
        </is>
      </c>
      <c r="B242" s="1" t="n">
        <v>45575</v>
      </c>
      <c r="C242" s="1" t="n">
        <v>46003</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46003</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2676-2023</t>
        </is>
      </c>
      <c r="B244" s="1" t="n">
        <v>44944</v>
      </c>
      <c r="C244" s="1" t="n">
        <v>46003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46949-2024</t>
        </is>
      </c>
      <c r="B245" s="1" t="n">
        <v>45585</v>
      </c>
      <c r="C245" s="1" t="n">
        <v>46003</v>
      </c>
      <c r="D245" t="inlineStr">
        <is>
          <t>GOTLANDS LÄN</t>
        </is>
      </c>
      <c r="E245" t="inlineStr">
        <is>
          <t>GOTLAND</t>
        </is>
      </c>
      <c r="G245" t="n">
        <v>0.6</v>
      </c>
      <c r="H245" t="n">
        <v>0</v>
      </c>
      <c r="I245" t="n">
        <v>0</v>
      </c>
      <c r="J245" t="n">
        <v>0</v>
      </c>
      <c r="K245" t="n">
        <v>0</v>
      </c>
      <c r="L245" t="n">
        <v>0</v>
      </c>
      <c r="M245" t="n">
        <v>0</v>
      </c>
      <c r="N245" t="n">
        <v>0</v>
      </c>
      <c r="O245" t="n">
        <v>0</v>
      </c>
      <c r="P245" t="n">
        <v>0</v>
      </c>
      <c r="Q245" t="n">
        <v>0</v>
      </c>
      <c r="R245" s="2" t="inlineStr"/>
    </row>
    <row r="246" ht="15" customHeight="1">
      <c r="A246" t="inlineStr">
        <is>
          <t>A 3150-2025</t>
        </is>
      </c>
      <c r="B246" s="1" t="n">
        <v>45679.28974537037</v>
      </c>
      <c r="C246" s="1" t="n">
        <v>46003</v>
      </c>
      <c r="D246" t="inlineStr">
        <is>
          <t>GOTLANDS LÄN</t>
        </is>
      </c>
      <c r="E246" t="inlineStr">
        <is>
          <t>GOTLAND</t>
        </is>
      </c>
      <c r="G246" t="n">
        <v>2.5</v>
      </c>
      <c r="H246" t="n">
        <v>0</v>
      </c>
      <c r="I246" t="n">
        <v>0</v>
      </c>
      <c r="J246" t="n">
        <v>0</v>
      </c>
      <c r="K246" t="n">
        <v>0</v>
      </c>
      <c r="L246" t="n">
        <v>0</v>
      </c>
      <c r="M246" t="n">
        <v>0</v>
      </c>
      <c r="N246" t="n">
        <v>0</v>
      </c>
      <c r="O246" t="n">
        <v>0</v>
      </c>
      <c r="P246" t="n">
        <v>0</v>
      </c>
      <c r="Q246" t="n">
        <v>0</v>
      </c>
      <c r="R246" s="2" t="inlineStr"/>
    </row>
    <row r="247" ht="15" customHeight="1">
      <c r="A247" t="inlineStr">
        <is>
          <t>A 8484-2025</t>
        </is>
      </c>
      <c r="B247" s="1" t="n">
        <v>45709</v>
      </c>
      <c r="C247" s="1" t="n">
        <v>46003</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7635-2025</t>
        </is>
      </c>
      <c r="B248" s="1" t="n">
        <v>45705</v>
      </c>
      <c r="C248" s="1" t="n">
        <v>46003</v>
      </c>
      <c r="D248" t="inlineStr">
        <is>
          <t>GOTLANDS LÄN</t>
        </is>
      </c>
      <c r="E248" t="inlineStr">
        <is>
          <t>GOTLAND</t>
        </is>
      </c>
      <c r="G248" t="n">
        <v>0.9</v>
      </c>
      <c r="H248" t="n">
        <v>0</v>
      </c>
      <c r="I248" t="n">
        <v>0</v>
      </c>
      <c r="J248" t="n">
        <v>0</v>
      </c>
      <c r="K248" t="n">
        <v>0</v>
      </c>
      <c r="L248" t="n">
        <v>0</v>
      </c>
      <c r="M248" t="n">
        <v>0</v>
      </c>
      <c r="N248" t="n">
        <v>0</v>
      </c>
      <c r="O248" t="n">
        <v>0</v>
      </c>
      <c r="P248" t="n">
        <v>0</v>
      </c>
      <c r="Q248" t="n">
        <v>0</v>
      </c>
      <c r="R248" s="2" t="inlineStr"/>
    </row>
    <row r="249" ht="15" customHeight="1">
      <c r="A249" t="inlineStr">
        <is>
          <t>A 7636-2025</t>
        </is>
      </c>
      <c r="B249" s="1" t="n">
        <v>45705.7687962963</v>
      </c>
      <c r="C249" s="1" t="n">
        <v>46003</v>
      </c>
      <c r="D249" t="inlineStr">
        <is>
          <t>GOTLANDS LÄN</t>
        </is>
      </c>
      <c r="E249" t="inlineStr">
        <is>
          <t>GOTLAND</t>
        </is>
      </c>
      <c r="G249" t="n">
        <v>0.6</v>
      </c>
      <c r="H249" t="n">
        <v>0</v>
      </c>
      <c r="I249" t="n">
        <v>0</v>
      </c>
      <c r="J249" t="n">
        <v>0</v>
      </c>
      <c r="K249" t="n">
        <v>0</v>
      </c>
      <c r="L249" t="n">
        <v>0</v>
      </c>
      <c r="M249" t="n">
        <v>0</v>
      </c>
      <c r="N249" t="n">
        <v>0</v>
      </c>
      <c r="O249" t="n">
        <v>0</v>
      </c>
      <c r="P249" t="n">
        <v>0</v>
      </c>
      <c r="Q249" t="n">
        <v>0</v>
      </c>
      <c r="R249" s="2" t="inlineStr"/>
    </row>
    <row r="250" ht="15" customHeight="1">
      <c r="A250" t="inlineStr">
        <is>
          <t>A 7639-2025</t>
        </is>
      </c>
      <c r="B250" s="1" t="n">
        <v>45705.77465277778</v>
      </c>
      <c r="C250" s="1" t="n">
        <v>46003</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32330-2024</t>
        </is>
      </c>
      <c r="B251" s="1" t="n">
        <v>45512</v>
      </c>
      <c r="C251" s="1" t="n">
        <v>46003</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10650-2022</t>
        </is>
      </c>
      <c r="B252" s="1" t="n">
        <v>44624.57945601852</v>
      </c>
      <c r="C252" s="1" t="n">
        <v>46003</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9613-2025</t>
        </is>
      </c>
      <c r="B253" s="1" t="n">
        <v>45715</v>
      </c>
      <c r="C253" s="1" t="n">
        <v>46003</v>
      </c>
      <c r="D253" t="inlineStr">
        <is>
          <t>GOTLANDS LÄN</t>
        </is>
      </c>
      <c r="E253" t="inlineStr">
        <is>
          <t>GOTLAND</t>
        </is>
      </c>
      <c r="G253" t="n">
        <v>3.5</v>
      </c>
      <c r="H253" t="n">
        <v>0</v>
      </c>
      <c r="I253" t="n">
        <v>0</v>
      </c>
      <c r="J253" t="n">
        <v>0</v>
      </c>
      <c r="K253" t="n">
        <v>0</v>
      </c>
      <c r="L253" t="n">
        <v>0</v>
      </c>
      <c r="M253" t="n">
        <v>0</v>
      </c>
      <c r="N253" t="n">
        <v>0</v>
      </c>
      <c r="O253" t="n">
        <v>0</v>
      </c>
      <c r="P253" t="n">
        <v>0</v>
      </c>
      <c r="Q253" t="n">
        <v>0</v>
      </c>
      <c r="R253" s="2" t="inlineStr"/>
    </row>
    <row r="254" ht="15" customHeight="1">
      <c r="A254" t="inlineStr">
        <is>
          <t>A 15595-2024</t>
        </is>
      </c>
      <c r="B254" s="1" t="n">
        <v>45401.81480324074</v>
      </c>
      <c r="C254" s="1" t="n">
        <v>46003</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20356-2022</t>
        </is>
      </c>
      <c r="B255" s="1" t="n">
        <v>44699</v>
      </c>
      <c r="C255" s="1" t="n">
        <v>46003</v>
      </c>
      <c r="D255" t="inlineStr">
        <is>
          <t>GOTLANDS LÄN</t>
        </is>
      </c>
      <c r="E255" t="inlineStr">
        <is>
          <t>GOTLAND</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48734-2022</t>
        </is>
      </c>
      <c r="B256" s="1" t="n">
        <v>44855</v>
      </c>
      <c r="C256" s="1" t="n">
        <v>46003</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14141-2024</t>
        </is>
      </c>
      <c r="B257" s="1" t="n">
        <v>45392.85193287037</v>
      </c>
      <c r="C257" s="1" t="n">
        <v>46003</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46003</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29809-2022</t>
        </is>
      </c>
      <c r="B259" s="1" t="n">
        <v>44755.8713425926</v>
      </c>
      <c r="C259" s="1" t="n">
        <v>46003</v>
      </c>
      <c r="D259" t="inlineStr">
        <is>
          <t>GOTLANDS LÄN</t>
        </is>
      </c>
      <c r="E259" t="inlineStr">
        <is>
          <t>GOTLAND</t>
        </is>
      </c>
      <c r="G259" t="n">
        <v>11.5</v>
      </c>
      <c r="H259" t="n">
        <v>0</v>
      </c>
      <c r="I259" t="n">
        <v>0</v>
      </c>
      <c r="J259" t="n">
        <v>0</v>
      </c>
      <c r="K259" t="n">
        <v>0</v>
      </c>
      <c r="L259" t="n">
        <v>0</v>
      </c>
      <c r="M259" t="n">
        <v>0</v>
      </c>
      <c r="N259" t="n">
        <v>0</v>
      </c>
      <c r="O259" t="n">
        <v>0</v>
      </c>
      <c r="P259" t="n">
        <v>0</v>
      </c>
      <c r="Q259" t="n">
        <v>0</v>
      </c>
      <c r="R259" s="2" t="inlineStr"/>
    </row>
    <row r="260" ht="15" customHeight="1">
      <c r="A260" t="inlineStr">
        <is>
          <t>A 11634-2024</t>
        </is>
      </c>
      <c r="B260" s="1" t="n">
        <v>45373</v>
      </c>
      <c r="C260" s="1" t="n">
        <v>46003</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24966-2023</t>
        </is>
      </c>
      <c r="B261" s="1" t="n">
        <v>45085</v>
      </c>
      <c r="C261" s="1" t="n">
        <v>46003</v>
      </c>
      <c r="D261" t="inlineStr">
        <is>
          <t>GOTLANDS LÄN</t>
        </is>
      </c>
      <c r="E261" t="inlineStr">
        <is>
          <t>GOTLAND</t>
        </is>
      </c>
      <c r="G261" t="n">
        <v>7</v>
      </c>
      <c r="H261" t="n">
        <v>0</v>
      </c>
      <c r="I261" t="n">
        <v>0</v>
      </c>
      <c r="J261" t="n">
        <v>0</v>
      </c>
      <c r="K261" t="n">
        <v>0</v>
      </c>
      <c r="L261" t="n">
        <v>0</v>
      </c>
      <c r="M261" t="n">
        <v>0</v>
      </c>
      <c r="N261" t="n">
        <v>0</v>
      </c>
      <c r="O261" t="n">
        <v>0</v>
      </c>
      <c r="P261" t="n">
        <v>0</v>
      </c>
      <c r="Q261" t="n">
        <v>0</v>
      </c>
      <c r="R261" s="2" t="inlineStr"/>
    </row>
    <row r="262" ht="15" customHeight="1">
      <c r="A262" t="inlineStr">
        <is>
          <t>A 1351-2025</t>
        </is>
      </c>
      <c r="B262" s="1" t="n">
        <v>45667.62246527777</v>
      </c>
      <c r="C262" s="1" t="n">
        <v>46003</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46189-2022</t>
        </is>
      </c>
      <c r="B263" s="1" t="n">
        <v>44847</v>
      </c>
      <c r="C263" s="1" t="n">
        <v>46003</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39496-2022</t>
        </is>
      </c>
      <c r="B264" s="1" t="n">
        <v>44818</v>
      </c>
      <c r="C264" s="1" t="n">
        <v>46003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22495-2022</t>
        </is>
      </c>
      <c r="B265" s="1" t="n">
        <v>44713.6452199074</v>
      </c>
      <c r="C265" s="1" t="n">
        <v>46003</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57685-2022</t>
        </is>
      </c>
      <c r="B266" s="1" t="n">
        <v>44897.4777662037</v>
      </c>
      <c r="C266" s="1" t="n">
        <v>46003</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49874-2024</t>
        </is>
      </c>
      <c r="B267" s="1" t="n">
        <v>45597.49274305555</v>
      </c>
      <c r="C267" s="1" t="n">
        <v>46003</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30815-2023</t>
        </is>
      </c>
      <c r="B268" s="1" t="n">
        <v>45112</v>
      </c>
      <c r="C268" s="1" t="n">
        <v>46003</v>
      </c>
      <c r="D268" t="inlineStr">
        <is>
          <t>GOTLANDS LÄN</t>
        </is>
      </c>
      <c r="E268" t="inlineStr">
        <is>
          <t>GOTLAND</t>
        </is>
      </c>
      <c r="G268" t="n">
        <v>6</v>
      </c>
      <c r="H268" t="n">
        <v>0</v>
      </c>
      <c r="I268" t="n">
        <v>0</v>
      </c>
      <c r="J268" t="n">
        <v>0</v>
      </c>
      <c r="K268" t="n">
        <v>0</v>
      </c>
      <c r="L268" t="n">
        <v>0</v>
      </c>
      <c r="M268" t="n">
        <v>0</v>
      </c>
      <c r="N268" t="n">
        <v>0</v>
      </c>
      <c r="O268" t="n">
        <v>0</v>
      </c>
      <c r="P268" t="n">
        <v>0</v>
      </c>
      <c r="Q268" t="n">
        <v>0</v>
      </c>
      <c r="R268" s="2" t="inlineStr"/>
    </row>
    <row r="269" ht="15" customHeight="1">
      <c r="A269" t="inlineStr">
        <is>
          <t>A 42201-2023</t>
        </is>
      </c>
      <c r="B269" s="1" t="n">
        <v>45179</v>
      </c>
      <c r="C269" s="1" t="n">
        <v>46003</v>
      </c>
      <c r="D269" t="inlineStr">
        <is>
          <t>GOTLANDS LÄN</t>
        </is>
      </c>
      <c r="E269" t="inlineStr">
        <is>
          <t>GOTLAND</t>
        </is>
      </c>
      <c r="G269" t="n">
        <v>11.9</v>
      </c>
      <c r="H269" t="n">
        <v>0</v>
      </c>
      <c r="I269" t="n">
        <v>0</v>
      </c>
      <c r="J269" t="n">
        <v>0</v>
      </c>
      <c r="K269" t="n">
        <v>0</v>
      </c>
      <c r="L269" t="n">
        <v>0</v>
      </c>
      <c r="M269" t="n">
        <v>0</v>
      </c>
      <c r="N269" t="n">
        <v>0</v>
      </c>
      <c r="O269" t="n">
        <v>0</v>
      </c>
      <c r="P269" t="n">
        <v>0</v>
      </c>
      <c r="Q269" t="n">
        <v>0</v>
      </c>
      <c r="R269" s="2" t="inlineStr"/>
    </row>
    <row r="270" ht="15" customHeight="1">
      <c r="A270" t="inlineStr">
        <is>
          <t>A 46400-2023</t>
        </is>
      </c>
      <c r="B270" s="1" t="n">
        <v>45197.49290509259</v>
      </c>
      <c r="C270" s="1" t="n">
        <v>46003</v>
      </c>
      <c r="D270" t="inlineStr">
        <is>
          <t>GOTLANDS LÄN</t>
        </is>
      </c>
      <c r="E270" t="inlineStr">
        <is>
          <t>GOTLAND</t>
        </is>
      </c>
      <c r="G270" t="n">
        <v>0.8</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46003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12209-2024</t>
        </is>
      </c>
      <c r="B272" s="1" t="n">
        <v>45378</v>
      </c>
      <c r="C272" s="1" t="n">
        <v>46003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12210-2024</t>
        </is>
      </c>
      <c r="B273" s="1" t="n">
        <v>45378</v>
      </c>
      <c r="C273" s="1" t="n">
        <v>46003</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9875-2025</t>
        </is>
      </c>
      <c r="B274" s="1" t="n">
        <v>45716</v>
      </c>
      <c r="C274" s="1" t="n">
        <v>46003</v>
      </c>
      <c r="D274" t="inlineStr">
        <is>
          <t>GOTLANDS LÄN</t>
        </is>
      </c>
      <c r="E274" t="inlineStr">
        <is>
          <t>GOTLAND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46003</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46003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46003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46003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46003</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21164-2024</t>
        </is>
      </c>
      <c r="B280" s="1" t="n">
        <v>45440</v>
      </c>
      <c r="C280" s="1" t="n">
        <v>46003</v>
      </c>
      <c r="D280" t="inlineStr">
        <is>
          <t>GOTLANDS LÄN</t>
        </is>
      </c>
      <c r="E280" t="inlineStr">
        <is>
          <t>GOTLAND</t>
        </is>
      </c>
      <c r="G280" t="n">
        <v>6.3</v>
      </c>
      <c r="H280" t="n">
        <v>0</v>
      </c>
      <c r="I280" t="n">
        <v>0</v>
      </c>
      <c r="J280" t="n">
        <v>0</v>
      </c>
      <c r="K280" t="n">
        <v>0</v>
      </c>
      <c r="L280" t="n">
        <v>0</v>
      </c>
      <c r="M280" t="n">
        <v>0</v>
      </c>
      <c r="N280" t="n">
        <v>0</v>
      </c>
      <c r="O280" t="n">
        <v>0</v>
      </c>
      <c r="P280" t="n">
        <v>0</v>
      </c>
      <c r="Q280" t="n">
        <v>0</v>
      </c>
      <c r="R280" s="2" t="inlineStr"/>
    </row>
    <row r="281" ht="15" customHeight="1">
      <c r="A281" t="inlineStr">
        <is>
          <t>A 44919-2022</t>
        </is>
      </c>
      <c r="B281" s="1" t="n">
        <v>44841</v>
      </c>
      <c r="C281" s="1" t="n">
        <v>46003</v>
      </c>
      <c r="D281" t="inlineStr">
        <is>
          <t>GOTLANDS LÄN</t>
        </is>
      </c>
      <c r="E281" t="inlineStr">
        <is>
          <t>GOTLAND</t>
        </is>
      </c>
      <c r="G281" t="n">
        <v>2.2</v>
      </c>
      <c r="H281" t="n">
        <v>0</v>
      </c>
      <c r="I281" t="n">
        <v>0</v>
      </c>
      <c r="J281" t="n">
        <v>0</v>
      </c>
      <c r="K281" t="n">
        <v>0</v>
      </c>
      <c r="L281" t="n">
        <v>0</v>
      </c>
      <c r="M281" t="n">
        <v>0</v>
      </c>
      <c r="N281" t="n">
        <v>0</v>
      </c>
      <c r="O281" t="n">
        <v>0</v>
      </c>
      <c r="P281" t="n">
        <v>0</v>
      </c>
      <c r="Q281" t="n">
        <v>0</v>
      </c>
      <c r="R281" s="2" t="inlineStr"/>
    </row>
    <row r="282" ht="15" customHeight="1">
      <c r="A282" t="inlineStr">
        <is>
          <t>A 1364-2025</t>
        </is>
      </c>
      <c r="B282" s="1" t="n">
        <v>45667.63929398148</v>
      </c>
      <c r="C282" s="1" t="n">
        <v>46003</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8045-2022</t>
        </is>
      </c>
      <c r="B283" s="1" t="n">
        <v>44609</v>
      </c>
      <c r="C283" s="1" t="n">
        <v>46003</v>
      </c>
      <c r="D283" t="inlineStr">
        <is>
          <t>GOTLANDS LÄN</t>
        </is>
      </c>
      <c r="E283" t="inlineStr">
        <is>
          <t>GOTLAND</t>
        </is>
      </c>
      <c r="G283" t="n">
        <v>7</v>
      </c>
      <c r="H283" t="n">
        <v>0</v>
      </c>
      <c r="I283" t="n">
        <v>0</v>
      </c>
      <c r="J283" t="n">
        <v>0</v>
      </c>
      <c r="K283" t="n">
        <v>0</v>
      </c>
      <c r="L283" t="n">
        <v>0</v>
      </c>
      <c r="M283" t="n">
        <v>0</v>
      </c>
      <c r="N283" t="n">
        <v>0</v>
      </c>
      <c r="O283" t="n">
        <v>0</v>
      </c>
      <c r="P283" t="n">
        <v>0</v>
      </c>
      <c r="Q283" t="n">
        <v>0</v>
      </c>
      <c r="R283" s="2" t="inlineStr"/>
    </row>
    <row r="284" ht="15" customHeight="1">
      <c r="A284" t="inlineStr">
        <is>
          <t>A 15042-2025</t>
        </is>
      </c>
      <c r="B284" s="1" t="n">
        <v>45743</v>
      </c>
      <c r="C284" s="1" t="n">
        <v>46003</v>
      </c>
      <c r="D284" t="inlineStr">
        <is>
          <t>GOTLANDS LÄN</t>
        </is>
      </c>
      <c r="E284" t="inlineStr">
        <is>
          <t>GOTLAND</t>
        </is>
      </c>
      <c r="G284" t="n">
        <v>8.5</v>
      </c>
      <c r="H284" t="n">
        <v>0</v>
      </c>
      <c r="I284" t="n">
        <v>0</v>
      </c>
      <c r="J284" t="n">
        <v>0</v>
      </c>
      <c r="K284" t="n">
        <v>0</v>
      </c>
      <c r="L284" t="n">
        <v>0</v>
      </c>
      <c r="M284" t="n">
        <v>0</v>
      </c>
      <c r="N284" t="n">
        <v>0</v>
      </c>
      <c r="O284" t="n">
        <v>0</v>
      </c>
      <c r="P284" t="n">
        <v>0</v>
      </c>
      <c r="Q284" t="n">
        <v>0</v>
      </c>
      <c r="R284" s="2" t="inlineStr"/>
    </row>
    <row r="285" ht="15" customHeight="1">
      <c r="A285" t="inlineStr">
        <is>
          <t>A 63763-2023</t>
        </is>
      </c>
      <c r="B285" s="1" t="n">
        <v>45278.33944444444</v>
      </c>
      <c r="C285" s="1" t="n">
        <v>46003</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22897-2023</t>
        </is>
      </c>
      <c r="B286" s="1" t="n">
        <v>45072.55239583334</v>
      </c>
      <c r="C286" s="1" t="n">
        <v>46003</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48503-2023</t>
        </is>
      </c>
      <c r="B287" s="1" t="n">
        <v>45207</v>
      </c>
      <c r="C287" s="1" t="n">
        <v>46003</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63229-2021</t>
        </is>
      </c>
      <c r="B288" s="1" t="n">
        <v>44508.34518518519</v>
      </c>
      <c r="C288" s="1" t="n">
        <v>46003</v>
      </c>
      <c r="D288" t="inlineStr">
        <is>
          <t>GOTLANDS LÄN</t>
        </is>
      </c>
      <c r="E288" t="inlineStr">
        <is>
          <t>GOTLAND</t>
        </is>
      </c>
      <c r="F288" t="inlineStr">
        <is>
          <t>Kyrkan</t>
        </is>
      </c>
      <c r="G288" t="n">
        <v>3.8</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46003</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46375-2024</t>
        </is>
      </c>
      <c r="B290" s="1" t="n">
        <v>45582</v>
      </c>
      <c r="C290" s="1" t="n">
        <v>46003</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61897-2024</t>
        </is>
      </c>
      <c r="B291" s="1" t="n">
        <v>45652.75685185185</v>
      </c>
      <c r="C291" s="1" t="n">
        <v>46003</v>
      </c>
      <c r="D291" t="inlineStr">
        <is>
          <t>GOTLANDS LÄN</t>
        </is>
      </c>
      <c r="E291" t="inlineStr">
        <is>
          <t>GOTLAND</t>
        </is>
      </c>
      <c r="G291" t="n">
        <v>6.4</v>
      </c>
      <c r="H291" t="n">
        <v>0</v>
      </c>
      <c r="I291" t="n">
        <v>0</v>
      </c>
      <c r="J291" t="n">
        <v>0</v>
      </c>
      <c r="K291" t="n">
        <v>0</v>
      </c>
      <c r="L291" t="n">
        <v>0</v>
      </c>
      <c r="M291" t="n">
        <v>0</v>
      </c>
      <c r="N291" t="n">
        <v>0</v>
      </c>
      <c r="O291" t="n">
        <v>0</v>
      </c>
      <c r="P291" t="n">
        <v>0</v>
      </c>
      <c r="Q291" t="n">
        <v>0</v>
      </c>
      <c r="R291" s="2" t="inlineStr"/>
    </row>
    <row r="292" ht="15" customHeight="1">
      <c r="A292" t="inlineStr">
        <is>
          <t>A 44649-2021</t>
        </is>
      </c>
      <c r="B292" s="1" t="n">
        <v>44437</v>
      </c>
      <c r="C292" s="1" t="n">
        <v>46003</v>
      </c>
      <c r="D292" t="inlineStr">
        <is>
          <t>GOTLANDS LÄN</t>
        </is>
      </c>
      <c r="E292" t="inlineStr">
        <is>
          <t>GOTLAND</t>
        </is>
      </c>
      <c r="G292" t="n">
        <v>8.1</v>
      </c>
      <c r="H292" t="n">
        <v>0</v>
      </c>
      <c r="I292" t="n">
        <v>0</v>
      </c>
      <c r="J292" t="n">
        <v>0</v>
      </c>
      <c r="K292" t="n">
        <v>0</v>
      </c>
      <c r="L292" t="n">
        <v>0</v>
      </c>
      <c r="M292" t="n">
        <v>0</v>
      </c>
      <c r="N292" t="n">
        <v>0</v>
      </c>
      <c r="O292" t="n">
        <v>0</v>
      </c>
      <c r="P292" t="n">
        <v>0</v>
      </c>
      <c r="Q292" t="n">
        <v>0</v>
      </c>
      <c r="R292" s="2" t="inlineStr"/>
    </row>
    <row r="293" ht="15" customHeight="1">
      <c r="A293" t="inlineStr">
        <is>
          <t>A 49962-2023</t>
        </is>
      </c>
      <c r="B293" s="1" t="n">
        <v>45215.38775462963</v>
      </c>
      <c r="C293" s="1" t="n">
        <v>46003</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9947-2024</t>
        </is>
      </c>
      <c r="B294" s="1" t="n">
        <v>45363</v>
      </c>
      <c r="C294" s="1" t="n">
        <v>46003</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2180-2025</t>
        </is>
      </c>
      <c r="B295" s="1" t="n">
        <v>45673</v>
      </c>
      <c r="C295" s="1" t="n">
        <v>46003</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15436-2025</t>
        </is>
      </c>
      <c r="B296" s="1" t="n">
        <v>45747.47462962963</v>
      </c>
      <c r="C296" s="1" t="n">
        <v>46003</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20165-2022</t>
        </is>
      </c>
      <c r="B297" s="1" t="n">
        <v>44698.49854166667</v>
      </c>
      <c r="C297" s="1" t="n">
        <v>46003</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17682-2024</t>
        </is>
      </c>
      <c r="B298" s="1" t="n">
        <v>45418.42966435185</v>
      </c>
      <c r="C298" s="1" t="n">
        <v>46003</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46003</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1734-2025</t>
        </is>
      </c>
      <c r="B300" s="1" t="n">
        <v>45671.3840625</v>
      </c>
      <c r="C300" s="1" t="n">
        <v>46003</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40294-2022</t>
        </is>
      </c>
      <c r="B301" s="1" t="n">
        <v>44821</v>
      </c>
      <c r="C301" s="1" t="n">
        <v>46003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12032-2025</t>
        </is>
      </c>
      <c r="B302" s="1" t="n">
        <v>45728.64472222222</v>
      </c>
      <c r="C302" s="1" t="n">
        <v>46003</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20993-2023</t>
        </is>
      </c>
      <c r="B303" s="1" t="n">
        <v>45056</v>
      </c>
      <c r="C303" s="1" t="n">
        <v>46003</v>
      </c>
      <c r="D303" t="inlineStr">
        <is>
          <t>GOTLANDS LÄN</t>
        </is>
      </c>
      <c r="E303" t="inlineStr">
        <is>
          <t>GOTLAND</t>
        </is>
      </c>
      <c r="G303" t="n">
        <v>7.1</v>
      </c>
      <c r="H303" t="n">
        <v>0</v>
      </c>
      <c r="I303" t="n">
        <v>0</v>
      </c>
      <c r="J303" t="n">
        <v>0</v>
      </c>
      <c r="K303" t="n">
        <v>0</v>
      </c>
      <c r="L303" t="n">
        <v>0</v>
      </c>
      <c r="M303" t="n">
        <v>0</v>
      </c>
      <c r="N303" t="n">
        <v>0</v>
      </c>
      <c r="O303" t="n">
        <v>0</v>
      </c>
      <c r="P303" t="n">
        <v>0</v>
      </c>
      <c r="Q303" t="n">
        <v>0</v>
      </c>
      <c r="R303" s="2" t="inlineStr"/>
    </row>
    <row r="304" ht="15" customHeight="1">
      <c r="A304" t="inlineStr">
        <is>
          <t>A 38787-2023</t>
        </is>
      </c>
      <c r="B304" s="1" t="n">
        <v>45163</v>
      </c>
      <c r="C304" s="1" t="n">
        <v>46003</v>
      </c>
      <c r="D304" t="inlineStr">
        <is>
          <t>GOTLANDS LÄN</t>
        </is>
      </c>
      <c r="E304" t="inlineStr">
        <is>
          <t>GOTLAND</t>
        </is>
      </c>
      <c r="G304" t="n">
        <v>0.4</v>
      </c>
      <c r="H304" t="n">
        <v>0</v>
      </c>
      <c r="I304" t="n">
        <v>0</v>
      </c>
      <c r="J304" t="n">
        <v>0</v>
      </c>
      <c r="K304" t="n">
        <v>0</v>
      </c>
      <c r="L304" t="n">
        <v>0</v>
      </c>
      <c r="M304" t="n">
        <v>0</v>
      </c>
      <c r="N304" t="n">
        <v>0</v>
      </c>
      <c r="O304" t="n">
        <v>0</v>
      </c>
      <c r="P304" t="n">
        <v>0</v>
      </c>
      <c r="Q304" t="n">
        <v>0</v>
      </c>
      <c r="R304" s="2" t="inlineStr"/>
    </row>
    <row r="305" ht="15" customHeight="1">
      <c r="A305" t="inlineStr">
        <is>
          <t>A 27593-2023</t>
        </is>
      </c>
      <c r="B305" s="1" t="n">
        <v>45097</v>
      </c>
      <c r="C305" s="1" t="n">
        <v>46003</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49257-2024</t>
        </is>
      </c>
      <c r="B306" s="1" t="n">
        <v>45595.47627314815</v>
      </c>
      <c r="C306" s="1" t="n">
        <v>46003</v>
      </c>
      <c r="D306" t="inlineStr">
        <is>
          <t>GOTLANDS LÄN</t>
        </is>
      </c>
      <c r="E306" t="inlineStr">
        <is>
          <t>GOTLAND</t>
        </is>
      </c>
      <c r="G306" t="n">
        <v>6.3</v>
      </c>
      <c r="H306" t="n">
        <v>0</v>
      </c>
      <c r="I306" t="n">
        <v>0</v>
      </c>
      <c r="J306" t="n">
        <v>0</v>
      </c>
      <c r="K306" t="n">
        <v>0</v>
      </c>
      <c r="L306" t="n">
        <v>0</v>
      </c>
      <c r="M306" t="n">
        <v>0</v>
      </c>
      <c r="N306" t="n">
        <v>0</v>
      </c>
      <c r="O306" t="n">
        <v>0</v>
      </c>
      <c r="P306" t="n">
        <v>0</v>
      </c>
      <c r="Q306" t="n">
        <v>0</v>
      </c>
      <c r="R306" s="2" t="inlineStr"/>
    </row>
    <row r="307" ht="15" customHeight="1">
      <c r="A307" t="inlineStr">
        <is>
          <t>A 43231-2023</t>
        </is>
      </c>
      <c r="B307" s="1" t="n">
        <v>45183.47025462963</v>
      </c>
      <c r="C307" s="1" t="n">
        <v>46003</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12596-2023</t>
        </is>
      </c>
      <c r="B308" s="1" t="n">
        <v>45000.43310185185</v>
      </c>
      <c r="C308" s="1" t="n">
        <v>46003</v>
      </c>
      <c r="D308" t="inlineStr">
        <is>
          <t>GOTLANDS LÄN</t>
        </is>
      </c>
      <c r="E308" t="inlineStr">
        <is>
          <t>GOTLAND</t>
        </is>
      </c>
      <c r="G308" t="n">
        <v>4.1</v>
      </c>
      <c r="H308" t="n">
        <v>0</v>
      </c>
      <c r="I308" t="n">
        <v>0</v>
      </c>
      <c r="J308" t="n">
        <v>0</v>
      </c>
      <c r="K308" t="n">
        <v>0</v>
      </c>
      <c r="L308" t="n">
        <v>0</v>
      </c>
      <c r="M308" t="n">
        <v>0</v>
      </c>
      <c r="N308" t="n">
        <v>0</v>
      </c>
      <c r="O308" t="n">
        <v>0</v>
      </c>
      <c r="P308" t="n">
        <v>0</v>
      </c>
      <c r="Q308" t="n">
        <v>0</v>
      </c>
      <c r="R308" s="2" t="inlineStr"/>
    </row>
    <row r="309" ht="15" customHeight="1">
      <c r="A309" t="inlineStr">
        <is>
          <t>A 37202-2024</t>
        </is>
      </c>
      <c r="B309" s="1" t="n">
        <v>45539.67310185185</v>
      </c>
      <c r="C309" s="1" t="n">
        <v>46003</v>
      </c>
      <c r="D309" t="inlineStr">
        <is>
          <t>GOTLANDS LÄN</t>
        </is>
      </c>
      <c r="E309" t="inlineStr">
        <is>
          <t>GOTLAND</t>
        </is>
      </c>
      <c r="G309" t="n">
        <v>0.3</v>
      </c>
      <c r="H309" t="n">
        <v>0</v>
      </c>
      <c r="I309" t="n">
        <v>0</v>
      </c>
      <c r="J309" t="n">
        <v>0</v>
      </c>
      <c r="K309" t="n">
        <v>0</v>
      </c>
      <c r="L309" t="n">
        <v>0</v>
      </c>
      <c r="M309" t="n">
        <v>0</v>
      </c>
      <c r="N309" t="n">
        <v>0</v>
      </c>
      <c r="O309" t="n">
        <v>0</v>
      </c>
      <c r="P309" t="n">
        <v>0</v>
      </c>
      <c r="Q309" t="n">
        <v>0</v>
      </c>
      <c r="R309" s="2" t="inlineStr"/>
    </row>
    <row r="310" ht="15" customHeight="1">
      <c r="A310" t="inlineStr">
        <is>
          <t>A 2125-2025</t>
        </is>
      </c>
      <c r="B310" s="1" t="n">
        <v>45672.64940972222</v>
      </c>
      <c r="C310" s="1" t="n">
        <v>46003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17532-2024</t>
        </is>
      </c>
      <c r="B311" s="1" t="n">
        <v>45415</v>
      </c>
      <c r="C311" s="1" t="n">
        <v>46003</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46003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12155-2023</t>
        </is>
      </c>
      <c r="B313" s="1" t="n">
        <v>44998.49106481481</v>
      </c>
      <c r="C313" s="1" t="n">
        <v>46003</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457-2023</t>
        </is>
      </c>
      <c r="B314" s="1" t="n">
        <v>44929.87238425926</v>
      </c>
      <c r="C314" s="1" t="n">
        <v>46003</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459-2023</t>
        </is>
      </c>
      <c r="B315" s="1" t="n">
        <v>44929.87423611111</v>
      </c>
      <c r="C315" s="1" t="n">
        <v>46003</v>
      </c>
      <c r="D315" t="inlineStr">
        <is>
          <t>GOTLANDS LÄN</t>
        </is>
      </c>
      <c r="E315" t="inlineStr">
        <is>
          <t>GOTLAND</t>
        </is>
      </c>
      <c r="G315" t="n">
        <v>4.2</v>
      </c>
      <c r="H315" t="n">
        <v>0</v>
      </c>
      <c r="I315" t="n">
        <v>0</v>
      </c>
      <c r="J315" t="n">
        <v>0</v>
      </c>
      <c r="K315" t="n">
        <v>0</v>
      </c>
      <c r="L315" t="n">
        <v>0</v>
      </c>
      <c r="M315" t="n">
        <v>0</v>
      </c>
      <c r="N315" t="n">
        <v>0</v>
      </c>
      <c r="O315" t="n">
        <v>0</v>
      </c>
      <c r="P315" t="n">
        <v>0</v>
      </c>
      <c r="Q315" t="n">
        <v>0</v>
      </c>
      <c r="R315" s="2" t="inlineStr"/>
    </row>
    <row r="316" ht="15" customHeight="1">
      <c r="A316" t="inlineStr">
        <is>
          <t>A 38234-2023</t>
        </is>
      </c>
      <c r="B316" s="1" t="n">
        <v>45161.56663194444</v>
      </c>
      <c r="C316" s="1" t="n">
        <v>46003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3935-2025</t>
        </is>
      </c>
      <c r="B317" s="1" t="n">
        <v>45684.46070601852</v>
      </c>
      <c r="C317" s="1" t="n">
        <v>46003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24001-2021</t>
        </is>
      </c>
      <c r="B318" s="1" t="n">
        <v>44335</v>
      </c>
      <c r="C318" s="1" t="n">
        <v>46003</v>
      </c>
      <c r="D318" t="inlineStr">
        <is>
          <t>GOTLANDS LÄN</t>
        </is>
      </c>
      <c r="E318" t="inlineStr">
        <is>
          <t>GOTLAND</t>
        </is>
      </c>
      <c r="G318" t="n">
        <v>3.4</v>
      </c>
      <c r="H318" t="n">
        <v>0</v>
      </c>
      <c r="I318" t="n">
        <v>0</v>
      </c>
      <c r="J318" t="n">
        <v>0</v>
      </c>
      <c r="K318" t="n">
        <v>0</v>
      </c>
      <c r="L318" t="n">
        <v>0</v>
      </c>
      <c r="M318" t="n">
        <v>0</v>
      </c>
      <c r="N318" t="n">
        <v>0</v>
      </c>
      <c r="O318" t="n">
        <v>0</v>
      </c>
      <c r="P318" t="n">
        <v>0</v>
      </c>
      <c r="Q318" t="n">
        <v>0</v>
      </c>
      <c r="R318" s="2" t="inlineStr"/>
    </row>
    <row r="319" ht="15" customHeight="1">
      <c r="A319" t="inlineStr">
        <is>
          <t>A 50744-2024</t>
        </is>
      </c>
      <c r="B319" s="1" t="n">
        <v>45602.4187037037</v>
      </c>
      <c r="C319" s="1" t="n">
        <v>46003</v>
      </c>
      <c r="D319" t="inlineStr">
        <is>
          <t>GOTLANDS LÄN</t>
        </is>
      </c>
      <c r="E319" t="inlineStr">
        <is>
          <t>GOTLAND</t>
        </is>
      </c>
      <c r="G319" t="n">
        <v>3.2</v>
      </c>
      <c r="H319" t="n">
        <v>0</v>
      </c>
      <c r="I319" t="n">
        <v>0</v>
      </c>
      <c r="J319" t="n">
        <v>0</v>
      </c>
      <c r="K319" t="n">
        <v>0</v>
      </c>
      <c r="L319" t="n">
        <v>0</v>
      </c>
      <c r="M319" t="n">
        <v>0</v>
      </c>
      <c r="N319" t="n">
        <v>0</v>
      </c>
      <c r="O319" t="n">
        <v>0</v>
      </c>
      <c r="P319" t="n">
        <v>0</v>
      </c>
      <c r="Q319" t="n">
        <v>0</v>
      </c>
      <c r="R319" s="2" t="inlineStr"/>
    </row>
    <row r="320" ht="15" customHeight="1">
      <c r="A320" t="inlineStr">
        <is>
          <t>A 53934-2024</t>
        </is>
      </c>
      <c r="B320" s="1" t="n">
        <v>45615</v>
      </c>
      <c r="C320" s="1" t="n">
        <v>46003</v>
      </c>
      <c r="D320" t="inlineStr">
        <is>
          <t>GOTLANDS LÄN</t>
        </is>
      </c>
      <c r="E320" t="inlineStr">
        <is>
          <t>GOTLAND</t>
        </is>
      </c>
      <c r="G320" t="n">
        <v>5</v>
      </c>
      <c r="H320" t="n">
        <v>0</v>
      </c>
      <c r="I320" t="n">
        <v>0</v>
      </c>
      <c r="J320" t="n">
        <v>0</v>
      </c>
      <c r="K320" t="n">
        <v>0</v>
      </c>
      <c r="L320" t="n">
        <v>0</v>
      </c>
      <c r="M320" t="n">
        <v>0</v>
      </c>
      <c r="N320" t="n">
        <v>0</v>
      </c>
      <c r="O320" t="n">
        <v>0</v>
      </c>
      <c r="P320" t="n">
        <v>0</v>
      </c>
      <c r="Q320" t="n">
        <v>0</v>
      </c>
      <c r="R320" s="2" t="inlineStr"/>
    </row>
    <row r="321" ht="15" customHeight="1">
      <c r="A321" t="inlineStr">
        <is>
          <t>A 30365-2024</t>
        </is>
      </c>
      <c r="B321" s="1" t="n">
        <v>45491.3716087963</v>
      </c>
      <c r="C321" s="1" t="n">
        <v>46003</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20225-2025</t>
        </is>
      </c>
      <c r="B322" s="1" t="n">
        <v>45772.65802083333</v>
      </c>
      <c r="C322" s="1" t="n">
        <v>46003</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1681-2023</t>
        </is>
      </c>
      <c r="B323" s="1" t="n">
        <v>44938.39715277778</v>
      </c>
      <c r="C323" s="1" t="n">
        <v>46003</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56115-2023</t>
        </is>
      </c>
      <c r="B324" s="1" t="n">
        <v>45236</v>
      </c>
      <c r="C324" s="1" t="n">
        <v>46003</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883-2025</t>
        </is>
      </c>
      <c r="B325" s="1" t="n">
        <v>45665</v>
      </c>
      <c r="C325" s="1" t="n">
        <v>46003</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6099-2024</t>
        </is>
      </c>
      <c r="B326" s="1" t="n">
        <v>45337</v>
      </c>
      <c r="C326" s="1" t="n">
        <v>46003</v>
      </c>
      <c r="D326" t="inlineStr">
        <is>
          <t>GOTLANDS LÄN</t>
        </is>
      </c>
      <c r="E326" t="inlineStr">
        <is>
          <t>GOTLAND</t>
        </is>
      </c>
      <c r="G326" t="n">
        <v>12.6</v>
      </c>
      <c r="H326" t="n">
        <v>0</v>
      </c>
      <c r="I326" t="n">
        <v>0</v>
      </c>
      <c r="J326" t="n">
        <v>0</v>
      </c>
      <c r="K326" t="n">
        <v>0</v>
      </c>
      <c r="L326" t="n">
        <v>0</v>
      </c>
      <c r="M326" t="n">
        <v>0</v>
      </c>
      <c r="N326" t="n">
        <v>0</v>
      </c>
      <c r="O326" t="n">
        <v>0</v>
      </c>
      <c r="P326" t="n">
        <v>0</v>
      </c>
      <c r="Q326" t="n">
        <v>0</v>
      </c>
      <c r="R326" s="2" t="inlineStr"/>
    </row>
    <row r="327" ht="15" customHeight="1">
      <c r="A327" t="inlineStr">
        <is>
          <t>A 1273-2023</t>
        </is>
      </c>
      <c r="B327" s="1" t="n">
        <v>44936</v>
      </c>
      <c r="C327" s="1" t="n">
        <v>46003</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1446-2025</t>
        </is>
      </c>
      <c r="B328" s="1" t="n">
        <v>45669.86035879629</v>
      </c>
      <c r="C328" s="1" t="n">
        <v>46003</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1066-2024</t>
        </is>
      </c>
      <c r="B329" s="1" t="n">
        <v>45302.285</v>
      </c>
      <c r="C329" s="1" t="n">
        <v>46003</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58780-2024</t>
        </is>
      </c>
      <c r="B330" s="1" t="n">
        <v>45635.84113425926</v>
      </c>
      <c r="C330" s="1" t="n">
        <v>46003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17144-2025</t>
        </is>
      </c>
      <c r="B331" s="1" t="n">
        <v>45755.9499537037</v>
      </c>
      <c r="C331" s="1" t="n">
        <v>46003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31264-2021</t>
        </is>
      </c>
      <c r="B332" s="1" t="n">
        <v>44368</v>
      </c>
      <c r="C332" s="1" t="n">
        <v>46003</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45692-2023</t>
        </is>
      </c>
      <c r="B333" s="1" t="n">
        <v>45195</v>
      </c>
      <c r="C333" s="1" t="n">
        <v>46003</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33876-2024</t>
        </is>
      </c>
      <c r="B334" s="1" t="n">
        <v>45521.87988425926</v>
      </c>
      <c r="C334" s="1" t="n">
        <v>46003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43901-2023</t>
        </is>
      </c>
      <c r="B335" s="1" t="n">
        <v>45187</v>
      </c>
      <c r="C335" s="1" t="n">
        <v>46003</v>
      </c>
      <c r="D335" t="inlineStr">
        <is>
          <t>GOTLANDS LÄN</t>
        </is>
      </c>
      <c r="E335" t="inlineStr">
        <is>
          <t>GOTLAND</t>
        </is>
      </c>
      <c r="G335" t="n">
        <v>5.4</v>
      </c>
      <c r="H335" t="n">
        <v>0</v>
      </c>
      <c r="I335" t="n">
        <v>0</v>
      </c>
      <c r="J335" t="n">
        <v>0</v>
      </c>
      <c r="K335" t="n">
        <v>0</v>
      </c>
      <c r="L335" t="n">
        <v>0</v>
      </c>
      <c r="M335" t="n">
        <v>0</v>
      </c>
      <c r="N335" t="n">
        <v>0</v>
      </c>
      <c r="O335" t="n">
        <v>0</v>
      </c>
      <c r="P335" t="n">
        <v>0</v>
      </c>
      <c r="Q335" t="n">
        <v>0</v>
      </c>
      <c r="R335" s="2" t="inlineStr"/>
    </row>
    <row r="336" ht="15" customHeight="1">
      <c r="A336" t="inlineStr">
        <is>
          <t>A 10746-2025</t>
        </is>
      </c>
      <c r="B336" s="1" t="n">
        <v>45722.42766203704</v>
      </c>
      <c r="C336" s="1" t="n">
        <v>46003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16501-2023</t>
        </is>
      </c>
      <c r="B337" s="1" t="n">
        <v>45029</v>
      </c>
      <c r="C337" s="1" t="n">
        <v>46003</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28285-2024</t>
        </is>
      </c>
      <c r="B338" s="1" t="n">
        <v>45477</v>
      </c>
      <c r="C338" s="1" t="n">
        <v>46003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61100-2022</t>
        </is>
      </c>
      <c r="B339" s="1" t="n">
        <v>44915</v>
      </c>
      <c r="C339" s="1" t="n">
        <v>46003</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61682-2024</t>
        </is>
      </c>
      <c r="B340" s="1" t="n">
        <v>45647.48824074074</v>
      </c>
      <c r="C340" s="1" t="n">
        <v>46003</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27930-2021</t>
        </is>
      </c>
      <c r="B341" s="1" t="n">
        <v>44354</v>
      </c>
      <c r="C341" s="1" t="n">
        <v>46003</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61962-2024</t>
        </is>
      </c>
      <c r="B342" s="1" t="n">
        <v>45653.54340277778</v>
      </c>
      <c r="C342" s="1" t="n">
        <v>46003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56009-2024</t>
        </is>
      </c>
      <c r="B343" s="1" t="n">
        <v>45623.80864583333</v>
      </c>
      <c r="C343" s="1" t="n">
        <v>46003</v>
      </c>
      <c r="D343" t="inlineStr">
        <is>
          <t>GOTLANDS LÄN</t>
        </is>
      </c>
      <c r="E343" t="inlineStr">
        <is>
          <t>GOTLAND</t>
        </is>
      </c>
      <c r="G343" t="n">
        <v>2.8</v>
      </c>
      <c r="H343" t="n">
        <v>0</v>
      </c>
      <c r="I343" t="n">
        <v>0</v>
      </c>
      <c r="J343" t="n">
        <v>0</v>
      </c>
      <c r="K343" t="n">
        <v>0</v>
      </c>
      <c r="L343" t="n">
        <v>0</v>
      </c>
      <c r="M343" t="n">
        <v>0</v>
      </c>
      <c r="N343" t="n">
        <v>0</v>
      </c>
      <c r="O343" t="n">
        <v>0</v>
      </c>
      <c r="P343" t="n">
        <v>0</v>
      </c>
      <c r="Q343" t="n">
        <v>0</v>
      </c>
      <c r="R343" s="2" t="inlineStr"/>
    </row>
    <row r="344" ht="15" customHeight="1">
      <c r="A344" t="inlineStr">
        <is>
          <t>A 10492-2023</t>
        </is>
      </c>
      <c r="B344" s="1" t="n">
        <v>44987</v>
      </c>
      <c r="C344" s="1" t="n">
        <v>46003</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42338-2023</t>
        </is>
      </c>
      <c r="B345" s="1" t="n">
        <v>45180</v>
      </c>
      <c r="C345" s="1" t="n">
        <v>46003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5909-2025</t>
        </is>
      </c>
      <c r="B346" s="1" t="n">
        <v>45695.40634259259</v>
      </c>
      <c r="C346" s="1" t="n">
        <v>46003</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2774-2024</t>
        </is>
      </c>
      <c r="B347" s="1" t="n">
        <v>45314.62375</v>
      </c>
      <c r="C347" s="1" t="n">
        <v>46003</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10653-2023</t>
        </is>
      </c>
      <c r="B348" s="1" t="n">
        <v>44988.48859953704</v>
      </c>
      <c r="C348" s="1" t="n">
        <v>46003</v>
      </c>
      <c r="D348" t="inlineStr">
        <is>
          <t>GOTLANDS LÄN</t>
        </is>
      </c>
      <c r="E348" t="inlineStr">
        <is>
          <t>GOTLAND</t>
        </is>
      </c>
      <c r="F348" t="inlineStr">
        <is>
          <t>Kyrkan</t>
        </is>
      </c>
      <c r="G348" t="n">
        <v>3</v>
      </c>
      <c r="H348" t="n">
        <v>0</v>
      </c>
      <c r="I348" t="n">
        <v>0</v>
      </c>
      <c r="J348" t="n">
        <v>0</v>
      </c>
      <c r="K348" t="n">
        <v>0</v>
      </c>
      <c r="L348" t="n">
        <v>0</v>
      </c>
      <c r="M348" t="n">
        <v>0</v>
      </c>
      <c r="N348" t="n">
        <v>0</v>
      </c>
      <c r="O348" t="n">
        <v>0</v>
      </c>
      <c r="P348" t="n">
        <v>0</v>
      </c>
      <c r="Q348" t="n">
        <v>0</v>
      </c>
      <c r="R348" s="2" t="inlineStr"/>
    </row>
    <row r="349" ht="15" customHeight="1">
      <c r="A349" t="inlineStr">
        <is>
          <t>A 58388-2022</t>
        </is>
      </c>
      <c r="B349" s="1" t="n">
        <v>44894</v>
      </c>
      <c r="C349" s="1" t="n">
        <v>46003</v>
      </c>
      <c r="D349" t="inlineStr">
        <is>
          <t>GOTLANDS LÄN</t>
        </is>
      </c>
      <c r="E349" t="inlineStr">
        <is>
          <t>GOTLAND</t>
        </is>
      </c>
      <c r="F349" t="inlineStr">
        <is>
          <t>Övriga statliga verk och myndigheter</t>
        </is>
      </c>
      <c r="G349" t="n">
        <v>3.1</v>
      </c>
      <c r="H349" t="n">
        <v>0</v>
      </c>
      <c r="I349" t="n">
        <v>0</v>
      </c>
      <c r="J349" t="n">
        <v>0</v>
      </c>
      <c r="K349" t="n">
        <v>0</v>
      </c>
      <c r="L349" t="n">
        <v>0</v>
      </c>
      <c r="M349" t="n">
        <v>0</v>
      </c>
      <c r="N349" t="n">
        <v>0</v>
      </c>
      <c r="O349" t="n">
        <v>0</v>
      </c>
      <c r="P349" t="n">
        <v>0</v>
      </c>
      <c r="Q349" t="n">
        <v>0</v>
      </c>
      <c r="R349" s="2" t="inlineStr"/>
    </row>
    <row r="350" ht="15" customHeight="1">
      <c r="A350" t="inlineStr">
        <is>
          <t>A 60709-2023</t>
        </is>
      </c>
      <c r="B350" s="1" t="n">
        <v>45260</v>
      </c>
      <c r="C350" s="1" t="n">
        <v>46003</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46003</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64208-2021</t>
        </is>
      </c>
      <c r="B352" s="1" t="n">
        <v>44510</v>
      </c>
      <c r="C352" s="1" t="n">
        <v>46003</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46003</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21792-2024</t>
        </is>
      </c>
      <c r="B354" s="1" t="n">
        <v>45442.64326388889</v>
      </c>
      <c r="C354" s="1" t="n">
        <v>46003</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58211-2024</t>
        </is>
      </c>
      <c r="B355" s="1" t="n">
        <v>45632.49292824074</v>
      </c>
      <c r="C355" s="1" t="n">
        <v>46003</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30956-2024</t>
        </is>
      </c>
      <c r="B356" s="1" t="n">
        <v>45499.42527777778</v>
      </c>
      <c r="C356" s="1" t="n">
        <v>46003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30892-2024</t>
        </is>
      </c>
      <c r="B357" s="1" t="n">
        <v>45491</v>
      </c>
      <c r="C357" s="1" t="n">
        <v>46003</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14635-2023</t>
        </is>
      </c>
      <c r="B358" s="1" t="n">
        <v>45013.69365740741</v>
      </c>
      <c r="C358" s="1" t="n">
        <v>46003</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59469-2024</t>
        </is>
      </c>
      <c r="B359" s="1" t="n">
        <v>45638</v>
      </c>
      <c r="C359" s="1" t="n">
        <v>46003</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7858-2025</t>
        </is>
      </c>
      <c r="B360" s="1" t="n">
        <v>45706.68633101852</v>
      </c>
      <c r="C360" s="1" t="n">
        <v>46003</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53935-2024</t>
        </is>
      </c>
      <c r="B361" s="1" t="n">
        <v>45615</v>
      </c>
      <c r="C361" s="1" t="n">
        <v>46003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18223-2025</t>
        </is>
      </c>
      <c r="B362" s="1" t="n">
        <v>45761</v>
      </c>
      <c r="C362" s="1" t="n">
        <v>46003</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4420-2025</t>
        </is>
      </c>
      <c r="B363" s="1" t="n">
        <v>45686.47157407407</v>
      </c>
      <c r="C363" s="1" t="n">
        <v>46003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5891-2025</t>
        </is>
      </c>
      <c r="B364" s="1" t="n">
        <v>45695.38327546296</v>
      </c>
      <c r="C364" s="1" t="n">
        <v>46003</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43081-2022</t>
        </is>
      </c>
      <c r="B365" s="1" t="n">
        <v>44833</v>
      </c>
      <c r="C365" s="1" t="n">
        <v>46003</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7835-2024</t>
        </is>
      </c>
      <c r="B366" s="1" t="n">
        <v>45349.83138888889</v>
      </c>
      <c r="C366" s="1" t="n">
        <v>46003</v>
      </c>
      <c r="D366" t="inlineStr">
        <is>
          <t>GOTLANDS LÄN</t>
        </is>
      </c>
      <c r="E366" t="inlineStr">
        <is>
          <t>GOTLAND</t>
        </is>
      </c>
      <c r="G366" t="n">
        <v>3.8</v>
      </c>
      <c r="H366" t="n">
        <v>0</v>
      </c>
      <c r="I366" t="n">
        <v>0</v>
      </c>
      <c r="J366" t="n">
        <v>0</v>
      </c>
      <c r="K366" t="n">
        <v>0</v>
      </c>
      <c r="L366" t="n">
        <v>0</v>
      </c>
      <c r="M366" t="n">
        <v>0</v>
      </c>
      <c r="N366" t="n">
        <v>0</v>
      </c>
      <c r="O366" t="n">
        <v>0</v>
      </c>
      <c r="P366" t="n">
        <v>0</v>
      </c>
      <c r="Q366" t="n">
        <v>0</v>
      </c>
      <c r="R366" s="2" t="inlineStr"/>
    </row>
    <row r="367" ht="15" customHeight="1">
      <c r="A367" t="inlineStr">
        <is>
          <t>A 20794-2025</t>
        </is>
      </c>
      <c r="B367" s="1" t="n">
        <v>45776</v>
      </c>
      <c r="C367" s="1" t="n">
        <v>46003</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46003</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5884-2025</t>
        </is>
      </c>
      <c r="B369" s="1" t="n">
        <v>45695.37482638889</v>
      </c>
      <c r="C369" s="1" t="n">
        <v>46003</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5897-2025</t>
        </is>
      </c>
      <c r="B370" s="1" t="n">
        <v>45695.39273148148</v>
      </c>
      <c r="C370" s="1" t="n">
        <v>46003</v>
      </c>
      <c r="D370" t="inlineStr">
        <is>
          <t>GOTLANDS LÄN</t>
        </is>
      </c>
      <c r="E370" t="inlineStr">
        <is>
          <t>GOTLAND</t>
        </is>
      </c>
      <c r="G370" t="n">
        <v>3.7</v>
      </c>
      <c r="H370" t="n">
        <v>0</v>
      </c>
      <c r="I370" t="n">
        <v>0</v>
      </c>
      <c r="J370" t="n">
        <v>0</v>
      </c>
      <c r="K370" t="n">
        <v>0</v>
      </c>
      <c r="L370" t="n">
        <v>0</v>
      </c>
      <c r="M370" t="n">
        <v>0</v>
      </c>
      <c r="N370" t="n">
        <v>0</v>
      </c>
      <c r="O370" t="n">
        <v>0</v>
      </c>
      <c r="P370" t="n">
        <v>0</v>
      </c>
      <c r="Q370" t="n">
        <v>0</v>
      </c>
      <c r="R370" s="2" t="inlineStr"/>
    </row>
    <row r="371" ht="15" customHeight="1">
      <c r="A371" t="inlineStr">
        <is>
          <t>A 17688-2024</t>
        </is>
      </c>
      <c r="B371" s="1" t="n">
        <v>45418.43575231481</v>
      </c>
      <c r="C371" s="1" t="n">
        <v>46003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46003</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46003</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46003</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20805-2025</t>
        </is>
      </c>
      <c r="B375" s="1" t="n">
        <v>45776</v>
      </c>
      <c r="C375" s="1" t="n">
        <v>46003</v>
      </c>
      <c r="D375" t="inlineStr">
        <is>
          <t>GOTLANDS LÄN</t>
        </is>
      </c>
      <c r="E375" t="inlineStr">
        <is>
          <t>GOTLAND</t>
        </is>
      </c>
      <c r="G375" t="n">
        <v>3.1</v>
      </c>
      <c r="H375" t="n">
        <v>0</v>
      </c>
      <c r="I375" t="n">
        <v>0</v>
      </c>
      <c r="J375" t="n">
        <v>0</v>
      </c>
      <c r="K375" t="n">
        <v>0</v>
      </c>
      <c r="L375" t="n">
        <v>0</v>
      </c>
      <c r="M375" t="n">
        <v>0</v>
      </c>
      <c r="N375" t="n">
        <v>0</v>
      </c>
      <c r="O375" t="n">
        <v>0</v>
      </c>
      <c r="P375" t="n">
        <v>0</v>
      </c>
      <c r="Q375" t="n">
        <v>0</v>
      </c>
      <c r="R375" s="2" t="inlineStr"/>
    </row>
    <row r="376" ht="15" customHeight="1">
      <c r="A376" t="inlineStr">
        <is>
          <t>A 581-2023</t>
        </is>
      </c>
      <c r="B376" s="1" t="n">
        <v>44930</v>
      </c>
      <c r="C376" s="1" t="n">
        <v>46003</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61386-2023</t>
        </is>
      </c>
      <c r="B377" s="1" t="n">
        <v>45264</v>
      </c>
      <c r="C377" s="1" t="n">
        <v>46003</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17901-2023</t>
        </is>
      </c>
      <c r="B378" s="1" t="n">
        <v>45039</v>
      </c>
      <c r="C378" s="1" t="n">
        <v>46003</v>
      </c>
      <c r="D378" t="inlineStr">
        <is>
          <t>GOTLANDS LÄN</t>
        </is>
      </c>
      <c r="E378" t="inlineStr">
        <is>
          <t>GOTLAND</t>
        </is>
      </c>
      <c r="F378" t="inlineStr">
        <is>
          <t>Kyrkan</t>
        </is>
      </c>
      <c r="G378" t="n">
        <v>0.6</v>
      </c>
      <c r="H378" t="n">
        <v>0</v>
      </c>
      <c r="I378" t="n">
        <v>0</v>
      </c>
      <c r="J378" t="n">
        <v>0</v>
      </c>
      <c r="K378" t="n">
        <v>0</v>
      </c>
      <c r="L378" t="n">
        <v>0</v>
      </c>
      <c r="M378" t="n">
        <v>0</v>
      </c>
      <c r="N378" t="n">
        <v>0</v>
      </c>
      <c r="O378" t="n">
        <v>0</v>
      </c>
      <c r="P378" t="n">
        <v>0</v>
      </c>
      <c r="Q378" t="n">
        <v>0</v>
      </c>
      <c r="R378" s="2" t="inlineStr"/>
    </row>
    <row r="379" ht="15" customHeight="1">
      <c r="A379" t="inlineStr">
        <is>
          <t>A 4568-2025</t>
        </is>
      </c>
      <c r="B379" s="1" t="n">
        <v>45687</v>
      </c>
      <c r="C379" s="1" t="n">
        <v>46003</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873-2024</t>
        </is>
      </c>
      <c r="B380" s="1" t="n">
        <v>45301</v>
      </c>
      <c r="C380" s="1" t="n">
        <v>46003</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49411-2023</t>
        </is>
      </c>
      <c r="B381" s="1" t="n">
        <v>45205</v>
      </c>
      <c r="C381" s="1" t="n">
        <v>46003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22275-2023</t>
        </is>
      </c>
      <c r="B382" s="1" t="n">
        <v>45070.39875</v>
      </c>
      <c r="C382" s="1" t="n">
        <v>46003</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12322-2025</t>
        </is>
      </c>
      <c r="B383" s="1" t="n">
        <v>45730</v>
      </c>
      <c r="C383" s="1" t="n">
        <v>46003</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52892-2021</t>
        </is>
      </c>
      <c r="B384" s="1" t="n">
        <v>44467.49048611111</v>
      </c>
      <c r="C384" s="1" t="n">
        <v>46003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14797-2024</t>
        </is>
      </c>
      <c r="B385" s="1" t="n">
        <v>45397.87030092593</v>
      </c>
      <c r="C385" s="1" t="n">
        <v>46003</v>
      </c>
      <c r="D385" t="inlineStr">
        <is>
          <t>GOTLANDS LÄN</t>
        </is>
      </c>
      <c r="E385" t="inlineStr">
        <is>
          <t>GOTLAND</t>
        </is>
      </c>
      <c r="G385" t="n">
        <v>8.1</v>
      </c>
      <c r="H385" t="n">
        <v>0</v>
      </c>
      <c r="I385" t="n">
        <v>0</v>
      </c>
      <c r="J385" t="n">
        <v>0</v>
      </c>
      <c r="K385" t="n">
        <v>0</v>
      </c>
      <c r="L385" t="n">
        <v>0</v>
      </c>
      <c r="M385" t="n">
        <v>0</v>
      </c>
      <c r="N385" t="n">
        <v>0</v>
      </c>
      <c r="O385" t="n">
        <v>0</v>
      </c>
      <c r="P385" t="n">
        <v>0</v>
      </c>
      <c r="Q385" t="n">
        <v>0</v>
      </c>
      <c r="R385" s="2" t="inlineStr"/>
    </row>
    <row r="386" ht="15" customHeight="1">
      <c r="A386" t="inlineStr">
        <is>
          <t>A 999-2024</t>
        </is>
      </c>
      <c r="B386" s="1" t="n">
        <v>45301</v>
      </c>
      <c r="C386" s="1" t="n">
        <v>46003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35512-2023</t>
        </is>
      </c>
      <c r="B387" s="1" t="n">
        <v>45147.25623842593</v>
      </c>
      <c r="C387" s="1" t="n">
        <v>46003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61596-2023</t>
        </is>
      </c>
      <c r="B388" s="1" t="n">
        <v>45265</v>
      </c>
      <c r="C388" s="1" t="n">
        <v>46003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46003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46003</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14638-2025</t>
        </is>
      </c>
      <c r="B391" s="1" t="n">
        <v>45742</v>
      </c>
      <c r="C391" s="1" t="n">
        <v>46003</v>
      </c>
      <c r="D391" t="inlineStr">
        <is>
          <t>GOTLANDS LÄN</t>
        </is>
      </c>
      <c r="E391" t="inlineStr">
        <is>
          <t>GOTLAND</t>
        </is>
      </c>
      <c r="G391" t="n">
        <v>13.4</v>
      </c>
      <c r="H391" t="n">
        <v>0</v>
      </c>
      <c r="I391" t="n">
        <v>0</v>
      </c>
      <c r="J391" t="n">
        <v>0</v>
      </c>
      <c r="K391" t="n">
        <v>0</v>
      </c>
      <c r="L391" t="n">
        <v>0</v>
      </c>
      <c r="M391" t="n">
        <v>0</v>
      </c>
      <c r="N391" t="n">
        <v>0</v>
      </c>
      <c r="O391" t="n">
        <v>0</v>
      </c>
      <c r="P391" t="n">
        <v>0</v>
      </c>
      <c r="Q391" t="n">
        <v>0</v>
      </c>
      <c r="R391" s="2" t="inlineStr"/>
    </row>
    <row r="392" ht="15" customHeight="1">
      <c r="A392" t="inlineStr">
        <is>
          <t>A 60675-2021</t>
        </is>
      </c>
      <c r="B392" s="1" t="n">
        <v>44496.64855324074</v>
      </c>
      <c r="C392" s="1" t="n">
        <v>46003</v>
      </c>
      <c r="D392" t="inlineStr">
        <is>
          <t>GOTLANDS LÄN</t>
        </is>
      </c>
      <c r="E392" t="inlineStr">
        <is>
          <t>GOTLAND</t>
        </is>
      </c>
      <c r="G392" t="n">
        <v>4.6</v>
      </c>
      <c r="H392" t="n">
        <v>0</v>
      </c>
      <c r="I392" t="n">
        <v>0</v>
      </c>
      <c r="J392" t="n">
        <v>0</v>
      </c>
      <c r="K392" t="n">
        <v>0</v>
      </c>
      <c r="L392" t="n">
        <v>0</v>
      </c>
      <c r="M392" t="n">
        <v>0</v>
      </c>
      <c r="N392" t="n">
        <v>0</v>
      </c>
      <c r="O392" t="n">
        <v>0</v>
      </c>
      <c r="P392" t="n">
        <v>0</v>
      </c>
      <c r="Q392" t="n">
        <v>0</v>
      </c>
      <c r="R392" s="2" t="inlineStr"/>
    </row>
    <row r="393" ht="15" customHeight="1">
      <c r="A393" t="inlineStr">
        <is>
          <t>A 1291-2023</t>
        </is>
      </c>
      <c r="B393" s="1" t="n">
        <v>44936.47561342592</v>
      </c>
      <c r="C393" s="1" t="n">
        <v>46003</v>
      </c>
      <c r="D393" t="inlineStr">
        <is>
          <t>GOTLANDS LÄN</t>
        </is>
      </c>
      <c r="E393" t="inlineStr">
        <is>
          <t>GOTLAND</t>
        </is>
      </c>
      <c r="G393" t="n">
        <v>7.4</v>
      </c>
      <c r="H393" t="n">
        <v>0</v>
      </c>
      <c r="I393" t="n">
        <v>0</v>
      </c>
      <c r="J393" t="n">
        <v>0</v>
      </c>
      <c r="K393" t="n">
        <v>0</v>
      </c>
      <c r="L393" t="n">
        <v>0</v>
      </c>
      <c r="M393" t="n">
        <v>0</v>
      </c>
      <c r="N393" t="n">
        <v>0</v>
      </c>
      <c r="O393" t="n">
        <v>0</v>
      </c>
      <c r="P393" t="n">
        <v>0</v>
      </c>
      <c r="Q393" t="n">
        <v>0</v>
      </c>
      <c r="R393" s="2" t="inlineStr"/>
    </row>
    <row r="394" ht="15" customHeight="1">
      <c r="A394" t="inlineStr">
        <is>
          <t>A 37728-2024</t>
        </is>
      </c>
      <c r="B394" s="1" t="n">
        <v>45541</v>
      </c>
      <c r="C394" s="1" t="n">
        <v>46003</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17724-2024</t>
        </is>
      </c>
      <c r="B395" s="1" t="n">
        <v>45418.55096064815</v>
      </c>
      <c r="C395" s="1" t="n">
        <v>46003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34312-2024</t>
        </is>
      </c>
      <c r="B396" s="1" t="n">
        <v>45524.69703703704</v>
      </c>
      <c r="C396" s="1" t="n">
        <v>46003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46003</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22287-2022</t>
        </is>
      </c>
      <c r="B398" s="1" t="n">
        <v>44712</v>
      </c>
      <c r="C398" s="1" t="n">
        <v>46003</v>
      </c>
      <c r="D398" t="inlineStr">
        <is>
          <t>GOTLANDS LÄN</t>
        </is>
      </c>
      <c r="E398" t="inlineStr">
        <is>
          <t>GOTLAND</t>
        </is>
      </c>
      <c r="G398" t="n">
        <v>6.1</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46003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54074-2022</t>
        </is>
      </c>
      <c r="B400" s="1" t="n">
        <v>44881</v>
      </c>
      <c r="C400" s="1" t="n">
        <v>46003</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69112-2021</t>
        </is>
      </c>
      <c r="B401" s="1" t="n">
        <v>44530</v>
      </c>
      <c r="C401" s="1" t="n">
        <v>46003</v>
      </c>
      <c r="D401" t="inlineStr">
        <is>
          <t>GOTLANDS LÄN</t>
        </is>
      </c>
      <c r="E401" t="inlineStr">
        <is>
          <t>GOTLAND</t>
        </is>
      </c>
      <c r="G401" t="n">
        <v>4.2</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46003</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21389-2025</t>
        </is>
      </c>
      <c r="B403" s="1" t="n">
        <v>45782</v>
      </c>
      <c r="C403" s="1" t="n">
        <v>46003</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46003</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46003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46003</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46003</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46003</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13910-2025</t>
        </is>
      </c>
      <c r="B409" s="1" t="n">
        <v>45737</v>
      </c>
      <c r="C409" s="1" t="n">
        <v>46003</v>
      </c>
      <c r="D409" t="inlineStr">
        <is>
          <t>GOTLANDS LÄN</t>
        </is>
      </c>
      <c r="E409" t="inlineStr">
        <is>
          <t>GOTLAND</t>
        </is>
      </c>
      <c r="F409" t="inlineStr">
        <is>
          <t>Kommuner</t>
        </is>
      </c>
      <c r="G409" t="n">
        <v>3.2</v>
      </c>
      <c r="H409" t="n">
        <v>0</v>
      </c>
      <c r="I409" t="n">
        <v>0</v>
      </c>
      <c r="J409" t="n">
        <v>0</v>
      </c>
      <c r="K409" t="n">
        <v>0</v>
      </c>
      <c r="L409" t="n">
        <v>0</v>
      </c>
      <c r="M409" t="n">
        <v>0</v>
      </c>
      <c r="N409" t="n">
        <v>0</v>
      </c>
      <c r="O409" t="n">
        <v>0</v>
      </c>
      <c r="P409" t="n">
        <v>0</v>
      </c>
      <c r="Q409" t="n">
        <v>0</v>
      </c>
      <c r="R409" s="2" t="inlineStr"/>
    </row>
    <row r="410" ht="15" customHeight="1">
      <c r="A410" t="inlineStr">
        <is>
          <t>A 21651-2025</t>
        </is>
      </c>
      <c r="B410" s="1" t="n">
        <v>45783</v>
      </c>
      <c r="C410" s="1" t="n">
        <v>46003</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20356-2022</t>
        </is>
      </c>
      <c r="B411" s="1" t="n">
        <v>44699</v>
      </c>
      <c r="C411" s="1" t="n">
        <v>46003</v>
      </c>
      <c r="D411" t="inlineStr">
        <is>
          <t>GOTLANDS LÄN</t>
        </is>
      </c>
      <c r="E411" t="inlineStr">
        <is>
          <t>GOTLAND</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25129-2023</t>
        </is>
      </c>
      <c r="B412" s="1" t="n">
        <v>45086.44261574074</v>
      </c>
      <c r="C412" s="1" t="n">
        <v>46003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24192-2023</t>
        </is>
      </c>
      <c r="B413" s="1" t="n">
        <v>45079</v>
      </c>
      <c r="C413" s="1" t="n">
        <v>46003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17780-2022</t>
        </is>
      </c>
      <c r="B414" s="1" t="n">
        <v>44682.82622685185</v>
      </c>
      <c r="C414" s="1" t="n">
        <v>46003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5386-2023</t>
        </is>
      </c>
      <c r="B415" s="1" t="n">
        <v>44959</v>
      </c>
      <c r="C415" s="1" t="n">
        <v>46003</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7026-2023</t>
        </is>
      </c>
      <c r="B416" s="1" t="n">
        <v>44968.30340277778</v>
      </c>
      <c r="C416" s="1" t="n">
        <v>46003</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59986-2022</t>
        </is>
      </c>
      <c r="B417" s="1" t="n">
        <v>44909</v>
      </c>
      <c r="C417" s="1" t="n">
        <v>46003</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46003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44279.66168981481</v>
      </c>
      <c r="C419" s="1" t="n">
        <v>46003</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1000-2024</t>
        </is>
      </c>
      <c r="B420" s="1" t="n">
        <v>45301.63371527778</v>
      </c>
      <c r="C420" s="1" t="n">
        <v>46003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1010-2024</t>
        </is>
      </c>
      <c r="B421" s="1" t="n">
        <v>45301</v>
      </c>
      <c r="C421" s="1" t="n">
        <v>46003</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11874-2024</t>
        </is>
      </c>
      <c r="B422" s="1" t="n">
        <v>45376.46956018519</v>
      </c>
      <c r="C422" s="1" t="n">
        <v>46003</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42041-2024</t>
        </is>
      </c>
      <c r="B423" s="1" t="n">
        <v>45561</v>
      </c>
      <c r="C423" s="1" t="n">
        <v>46003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47762-2023</t>
        </is>
      </c>
      <c r="B424" s="1" t="n">
        <v>45203.86256944444</v>
      </c>
      <c r="C424" s="1" t="n">
        <v>46003</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18993-2025</t>
        </is>
      </c>
      <c r="B425" s="1" t="n">
        <v>45764</v>
      </c>
      <c r="C425" s="1" t="n">
        <v>46003</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61694-2023</t>
        </is>
      </c>
      <c r="B426" s="1" t="n">
        <v>45264</v>
      </c>
      <c r="C426" s="1" t="n">
        <v>46003</v>
      </c>
      <c r="D426" t="inlineStr">
        <is>
          <t>GOTLANDS LÄN</t>
        </is>
      </c>
      <c r="E426" t="inlineStr">
        <is>
          <t>GOTLAND</t>
        </is>
      </c>
      <c r="G426" t="n">
        <v>4.6</v>
      </c>
      <c r="H426" t="n">
        <v>0</v>
      </c>
      <c r="I426" t="n">
        <v>0</v>
      </c>
      <c r="J426" t="n">
        <v>0</v>
      </c>
      <c r="K426" t="n">
        <v>0</v>
      </c>
      <c r="L426" t="n">
        <v>0</v>
      </c>
      <c r="M426" t="n">
        <v>0</v>
      </c>
      <c r="N426" t="n">
        <v>0</v>
      </c>
      <c r="O426" t="n">
        <v>0</v>
      </c>
      <c r="P426" t="n">
        <v>0</v>
      </c>
      <c r="Q426" t="n">
        <v>0</v>
      </c>
      <c r="R426" s="2" t="inlineStr"/>
    </row>
    <row r="427" ht="15" customHeight="1">
      <c r="A427" t="inlineStr">
        <is>
          <t>A 46545-2024</t>
        </is>
      </c>
      <c r="B427" s="1" t="n">
        <v>45582.65831018519</v>
      </c>
      <c r="C427" s="1" t="n">
        <v>46003</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30135-2025</t>
        </is>
      </c>
      <c r="B428" s="1" t="n">
        <v>45826</v>
      </c>
      <c r="C428" s="1" t="n">
        <v>46003</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60086-2022</t>
        </is>
      </c>
      <c r="B429" s="1" t="n">
        <v>44909</v>
      </c>
      <c r="C429" s="1" t="n">
        <v>46003</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12599-2025</t>
        </is>
      </c>
      <c r="B430" s="1" t="n">
        <v>45733.29546296296</v>
      </c>
      <c r="C430" s="1" t="n">
        <v>46003</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28480-2023</t>
        </is>
      </c>
      <c r="B431" s="1" t="n">
        <v>45103</v>
      </c>
      <c r="C431" s="1" t="n">
        <v>46003</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28485-2023</t>
        </is>
      </c>
      <c r="B432" s="1" t="n">
        <v>45103.43731481482</v>
      </c>
      <c r="C432" s="1" t="n">
        <v>46003</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35141-2025</t>
        </is>
      </c>
      <c r="B433" s="1" t="n">
        <v>45852.65206018519</v>
      </c>
      <c r="C433" s="1" t="n">
        <v>46003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35142-2025</t>
        </is>
      </c>
      <c r="B434" s="1" t="n">
        <v>45852.65532407408</v>
      </c>
      <c r="C434" s="1" t="n">
        <v>46003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46003</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64555-2023</t>
        </is>
      </c>
      <c r="B436" s="1" t="n">
        <v>45281</v>
      </c>
      <c r="C436" s="1" t="n">
        <v>46003</v>
      </c>
      <c r="D436" t="inlineStr">
        <is>
          <t>GOTLANDS LÄN</t>
        </is>
      </c>
      <c r="E436" t="inlineStr">
        <is>
          <t>GOTLAND</t>
        </is>
      </c>
      <c r="G436" t="n">
        <v>3.5</v>
      </c>
      <c r="H436" t="n">
        <v>0</v>
      </c>
      <c r="I436" t="n">
        <v>0</v>
      </c>
      <c r="J436" t="n">
        <v>0</v>
      </c>
      <c r="K436" t="n">
        <v>0</v>
      </c>
      <c r="L436" t="n">
        <v>0</v>
      </c>
      <c r="M436" t="n">
        <v>0</v>
      </c>
      <c r="N436" t="n">
        <v>0</v>
      </c>
      <c r="O436" t="n">
        <v>0</v>
      </c>
      <c r="P436" t="n">
        <v>0</v>
      </c>
      <c r="Q436" t="n">
        <v>0</v>
      </c>
      <c r="R436" s="2" t="inlineStr"/>
    </row>
    <row r="437" ht="15" customHeight="1">
      <c r="A437" t="inlineStr">
        <is>
          <t>A 64831-2023</t>
        </is>
      </c>
      <c r="B437" s="1" t="n">
        <v>45282.44924768519</v>
      </c>
      <c r="C437" s="1" t="n">
        <v>46003</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46003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44949-2023</t>
        </is>
      </c>
      <c r="B439" s="1" t="n">
        <v>45190.69520833333</v>
      </c>
      <c r="C439" s="1" t="n">
        <v>46003</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999-2023</t>
        </is>
      </c>
      <c r="B440" s="1" t="n">
        <v>44935</v>
      </c>
      <c r="C440" s="1" t="n">
        <v>46003</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27602-2023</t>
        </is>
      </c>
      <c r="B441" s="1" t="n">
        <v>45097</v>
      </c>
      <c r="C441" s="1" t="n">
        <v>46003</v>
      </c>
      <c r="D441" t="inlineStr">
        <is>
          <t>GOTLANDS LÄN</t>
        </is>
      </c>
      <c r="E441" t="inlineStr">
        <is>
          <t>GOTLAND</t>
        </is>
      </c>
      <c r="G441" t="n">
        <v>2.7</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46003</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39819-2025</t>
        </is>
      </c>
      <c r="B443" s="1" t="n">
        <v>45891.53418981482</v>
      </c>
      <c r="C443" s="1" t="n">
        <v>46003</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39814-2025</t>
        </is>
      </c>
      <c r="B444" s="1" t="n">
        <v>45891.52694444444</v>
      </c>
      <c r="C444" s="1" t="n">
        <v>46003</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39849-2025</t>
        </is>
      </c>
      <c r="B445" s="1" t="n">
        <v>45891.58502314815</v>
      </c>
      <c r="C445" s="1" t="n">
        <v>46003</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4377-2023</t>
        </is>
      </c>
      <c r="B446" s="1" t="n">
        <v>44955.5502662037</v>
      </c>
      <c r="C446" s="1" t="n">
        <v>46003</v>
      </c>
      <c r="D446" t="inlineStr">
        <is>
          <t>GOTLANDS LÄN</t>
        </is>
      </c>
      <c r="E446" t="inlineStr">
        <is>
          <t>GOTLAND</t>
        </is>
      </c>
      <c r="F446" t="inlineStr">
        <is>
          <t>Kyrkan</t>
        </is>
      </c>
      <c r="G446" t="n">
        <v>0.6</v>
      </c>
      <c r="H446" t="n">
        <v>0</v>
      </c>
      <c r="I446" t="n">
        <v>0</v>
      </c>
      <c r="J446" t="n">
        <v>0</v>
      </c>
      <c r="K446" t="n">
        <v>0</v>
      </c>
      <c r="L446" t="n">
        <v>0</v>
      </c>
      <c r="M446" t="n">
        <v>0</v>
      </c>
      <c r="N446" t="n">
        <v>0</v>
      </c>
      <c r="O446" t="n">
        <v>0</v>
      </c>
      <c r="P446" t="n">
        <v>0</v>
      </c>
      <c r="Q446" t="n">
        <v>0</v>
      </c>
      <c r="R446" s="2" t="inlineStr"/>
    </row>
    <row r="447" ht="15" customHeight="1">
      <c r="A447" t="inlineStr">
        <is>
          <t>A 4387-2023</t>
        </is>
      </c>
      <c r="B447" s="1" t="n">
        <v>44955.73359953704</v>
      </c>
      <c r="C447" s="1" t="n">
        <v>46003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39752-2025</t>
        </is>
      </c>
      <c r="B448" s="1" t="n">
        <v>45891</v>
      </c>
      <c r="C448" s="1" t="n">
        <v>46003</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46003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38649-2025</t>
        </is>
      </c>
      <c r="B450" s="1" t="n">
        <v>45884</v>
      </c>
      <c r="C450" s="1" t="n">
        <v>46003</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3964-2024</t>
        </is>
      </c>
      <c r="B451" s="1" t="n">
        <v>45322</v>
      </c>
      <c r="C451" s="1" t="n">
        <v>46003</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39816-2025</t>
        </is>
      </c>
      <c r="B452" s="1" t="n">
        <v>45891</v>
      </c>
      <c r="C452" s="1" t="n">
        <v>46003</v>
      </c>
      <c r="D452" t="inlineStr">
        <is>
          <t>GOTLANDS LÄN</t>
        </is>
      </c>
      <c r="E452" t="inlineStr">
        <is>
          <t>GOTLAND</t>
        </is>
      </c>
      <c r="G452" t="n">
        <v>0.9</v>
      </c>
      <c r="H452" t="n">
        <v>0</v>
      </c>
      <c r="I452" t="n">
        <v>0</v>
      </c>
      <c r="J452" t="n">
        <v>0</v>
      </c>
      <c r="K452" t="n">
        <v>0</v>
      </c>
      <c r="L452" t="n">
        <v>0</v>
      </c>
      <c r="M452" t="n">
        <v>0</v>
      </c>
      <c r="N452" t="n">
        <v>0</v>
      </c>
      <c r="O452" t="n">
        <v>0</v>
      </c>
      <c r="P452" t="n">
        <v>0</v>
      </c>
      <c r="Q452" t="n">
        <v>0</v>
      </c>
      <c r="R452" s="2" t="inlineStr"/>
    </row>
    <row r="453" ht="15" customHeight="1">
      <c r="A453" t="inlineStr">
        <is>
          <t>A 40103-2025</t>
        </is>
      </c>
      <c r="B453" s="1" t="n">
        <v>45894.4880324074</v>
      </c>
      <c r="C453" s="1" t="n">
        <v>46003</v>
      </c>
      <c r="D453" t="inlineStr">
        <is>
          <t>GOTLANDS LÄN</t>
        </is>
      </c>
      <c r="E453" t="inlineStr">
        <is>
          <t>GOTLAND</t>
        </is>
      </c>
      <c r="G453" t="n">
        <v>0.9</v>
      </c>
      <c r="H453" t="n">
        <v>0</v>
      </c>
      <c r="I453" t="n">
        <v>0</v>
      </c>
      <c r="J453" t="n">
        <v>0</v>
      </c>
      <c r="K453" t="n">
        <v>0</v>
      </c>
      <c r="L453" t="n">
        <v>0</v>
      </c>
      <c r="M453" t="n">
        <v>0</v>
      </c>
      <c r="N453" t="n">
        <v>0</v>
      </c>
      <c r="O453" t="n">
        <v>0</v>
      </c>
      <c r="P453" t="n">
        <v>0</v>
      </c>
      <c r="Q453" t="n">
        <v>0</v>
      </c>
      <c r="R453" s="2" t="inlineStr"/>
    </row>
    <row r="454" ht="15" customHeight="1">
      <c r="A454" t="inlineStr">
        <is>
          <t>A 40373-2025</t>
        </is>
      </c>
      <c r="B454" s="1" t="n">
        <v>45895.51821759259</v>
      </c>
      <c r="C454" s="1" t="n">
        <v>46003</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45084-2024</t>
        </is>
      </c>
      <c r="B455" s="1" t="n">
        <v>45575</v>
      </c>
      <c r="C455" s="1" t="n">
        <v>46003</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40499-2025</t>
        </is>
      </c>
      <c r="B456" s="1" t="n">
        <v>45896.32517361111</v>
      </c>
      <c r="C456" s="1" t="n">
        <v>46003</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40372-2025</t>
        </is>
      </c>
      <c r="B457" s="1" t="n">
        <v>45895.5162037037</v>
      </c>
      <c r="C457" s="1" t="n">
        <v>46003</v>
      </c>
      <c r="D457" t="inlineStr">
        <is>
          <t>GOTLANDS LÄN</t>
        </is>
      </c>
      <c r="E457" t="inlineStr">
        <is>
          <t>GOTLAND</t>
        </is>
      </c>
      <c r="G457" t="n">
        <v>3.3</v>
      </c>
      <c r="H457" t="n">
        <v>0</v>
      </c>
      <c r="I457" t="n">
        <v>0</v>
      </c>
      <c r="J457" t="n">
        <v>0</v>
      </c>
      <c r="K457" t="n">
        <v>0</v>
      </c>
      <c r="L457" t="n">
        <v>0</v>
      </c>
      <c r="M457" t="n">
        <v>0</v>
      </c>
      <c r="N457" t="n">
        <v>0</v>
      </c>
      <c r="O457" t="n">
        <v>0</v>
      </c>
      <c r="P457" t="n">
        <v>0</v>
      </c>
      <c r="Q457" t="n">
        <v>0</v>
      </c>
      <c r="R457" s="2" t="inlineStr"/>
    </row>
    <row r="458" ht="15" customHeight="1">
      <c r="A458" t="inlineStr">
        <is>
          <t>A 51963-2024</t>
        </is>
      </c>
      <c r="B458" s="1" t="n">
        <v>45607.64833333333</v>
      </c>
      <c r="C458" s="1" t="n">
        <v>46003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811-2023</t>
        </is>
      </c>
      <c r="B459" s="1" t="n">
        <v>44931</v>
      </c>
      <c r="C459" s="1" t="n">
        <v>46003</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46003</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39278-2025</t>
        </is>
      </c>
      <c r="B461" s="1" t="n">
        <v>45889</v>
      </c>
      <c r="C461" s="1" t="n">
        <v>46003</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26810-2021</t>
        </is>
      </c>
      <c r="B462" s="1" t="n">
        <v>44349.55087962963</v>
      </c>
      <c r="C462" s="1" t="n">
        <v>46003</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5923-2023</t>
        </is>
      </c>
      <c r="B463" s="1" t="n">
        <v>44963.69503472222</v>
      </c>
      <c r="C463" s="1" t="n">
        <v>46003</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33853-2024</t>
        </is>
      </c>
      <c r="B464" s="1" t="n">
        <v>45520.64298611111</v>
      </c>
      <c r="C464" s="1" t="n">
        <v>46003</v>
      </c>
      <c r="D464" t="inlineStr">
        <is>
          <t>GOTLANDS LÄN</t>
        </is>
      </c>
      <c r="E464" t="inlineStr">
        <is>
          <t>GOTLAND</t>
        </is>
      </c>
      <c r="G464" t="n">
        <v>3.9</v>
      </c>
      <c r="H464" t="n">
        <v>0</v>
      </c>
      <c r="I464" t="n">
        <v>0</v>
      </c>
      <c r="J464" t="n">
        <v>0</v>
      </c>
      <c r="K464" t="n">
        <v>0</v>
      </c>
      <c r="L464" t="n">
        <v>0</v>
      </c>
      <c r="M464" t="n">
        <v>0</v>
      </c>
      <c r="N464" t="n">
        <v>0</v>
      </c>
      <c r="O464" t="n">
        <v>0</v>
      </c>
      <c r="P464" t="n">
        <v>0</v>
      </c>
      <c r="Q464" t="n">
        <v>0</v>
      </c>
      <c r="R464" s="2" t="inlineStr"/>
    </row>
    <row r="465" ht="15" customHeight="1">
      <c r="A465" t="inlineStr">
        <is>
          <t>A 18918-2025</t>
        </is>
      </c>
      <c r="B465" s="1" t="n">
        <v>45764</v>
      </c>
      <c r="C465" s="1" t="n">
        <v>46003</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5217-2023</t>
        </is>
      </c>
      <c r="B466" s="1" t="n">
        <v>44959.39582175926</v>
      </c>
      <c r="C466" s="1" t="n">
        <v>46003</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2674-2023</t>
        </is>
      </c>
      <c r="B467" s="1" t="n">
        <v>44944</v>
      </c>
      <c r="C467" s="1" t="n">
        <v>46003</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41435-2025</t>
        </is>
      </c>
      <c r="B468" s="1" t="n">
        <v>45901.39974537037</v>
      </c>
      <c r="C468" s="1" t="n">
        <v>46003</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1677-2023</t>
        </is>
      </c>
      <c r="B469" s="1" t="n">
        <v>44938</v>
      </c>
      <c r="C469" s="1" t="n">
        <v>46003</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45244-2024</t>
        </is>
      </c>
      <c r="B470" s="1" t="n">
        <v>45576</v>
      </c>
      <c r="C470" s="1" t="n">
        <v>46003</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46003</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2719-2023</t>
        </is>
      </c>
      <c r="B472" s="1" t="n">
        <v>44944.55361111111</v>
      </c>
      <c r="C472" s="1" t="n">
        <v>46003</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41551-2025</t>
        </is>
      </c>
      <c r="B473" s="1" t="n">
        <v>45901.58854166666</v>
      </c>
      <c r="C473" s="1" t="n">
        <v>46003</v>
      </c>
      <c r="D473" t="inlineStr">
        <is>
          <t>GOTLANDS LÄN</t>
        </is>
      </c>
      <c r="E473" t="inlineStr">
        <is>
          <t>GOTLAND</t>
        </is>
      </c>
      <c r="G473" t="n">
        <v>5.6</v>
      </c>
      <c r="H473" t="n">
        <v>0</v>
      </c>
      <c r="I473" t="n">
        <v>0</v>
      </c>
      <c r="J473" t="n">
        <v>0</v>
      </c>
      <c r="K473" t="n">
        <v>0</v>
      </c>
      <c r="L473" t="n">
        <v>0</v>
      </c>
      <c r="M473" t="n">
        <v>0</v>
      </c>
      <c r="N473" t="n">
        <v>0</v>
      </c>
      <c r="O473" t="n">
        <v>0</v>
      </c>
      <c r="P473" t="n">
        <v>0</v>
      </c>
      <c r="Q473" t="n">
        <v>0</v>
      </c>
      <c r="R473" s="2" t="inlineStr"/>
    </row>
    <row r="474" ht="15" customHeight="1">
      <c r="A474" t="inlineStr">
        <is>
          <t>A 26891-2024</t>
        </is>
      </c>
      <c r="B474" s="1" t="n">
        <v>45470.65540509259</v>
      </c>
      <c r="C474" s="1" t="n">
        <v>46003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57356-2023</t>
        </is>
      </c>
      <c r="B475" s="1" t="n">
        <v>45240</v>
      </c>
      <c r="C475" s="1" t="n">
        <v>46003</v>
      </c>
      <c r="D475" t="inlineStr">
        <is>
          <t>GOTLANDS LÄN</t>
        </is>
      </c>
      <c r="E475" t="inlineStr">
        <is>
          <t>GOTLAND</t>
        </is>
      </c>
      <c r="G475" t="n">
        <v>6.4</v>
      </c>
      <c r="H475" t="n">
        <v>0</v>
      </c>
      <c r="I475" t="n">
        <v>0</v>
      </c>
      <c r="J475" t="n">
        <v>0</v>
      </c>
      <c r="K475" t="n">
        <v>0</v>
      </c>
      <c r="L475" t="n">
        <v>0</v>
      </c>
      <c r="M475" t="n">
        <v>0</v>
      </c>
      <c r="N475" t="n">
        <v>0</v>
      </c>
      <c r="O475" t="n">
        <v>0</v>
      </c>
      <c r="P475" t="n">
        <v>0</v>
      </c>
      <c r="Q475" t="n">
        <v>0</v>
      </c>
      <c r="R475" s="2" t="inlineStr"/>
    </row>
    <row r="476" ht="15" customHeight="1">
      <c r="A476" t="inlineStr">
        <is>
          <t>A 10656-2024</t>
        </is>
      </c>
      <c r="B476" s="1" t="n">
        <v>45368</v>
      </c>
      <c r="C476" s="1" t="n">
        <v>46003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46003</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42007-2023</t>
        </is>
      </c>
      <c r="B478" s="1" t="n">
        <v>45177</v>
      </c>
      <c r="C478" s="1" t="n">
        <v>46003</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9887-2025</t>
        </is>
      </c>
      <c r="B479" s="1" t="n">
        <v>45716</v>
      </c>
      <c r="C479" s="1" t="n">
        <v>46003</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64969-2023</t>
        </is>
      </c>
      <c r="B480" s="1" t="n">
        <v>45284.54009259259</v>
      </c>
      <c r="C480" s="1" t="n">
        <v>46003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46003</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38165-2023</t>
        </is>
      </c>
      <c r="B482" s="1" t="n">
        <v>45161</v>
      </c>
      <c r="C482" s="1" t="n">
        <v>46003</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17541-2024</t>
        </is>
      </c>
      <c r="B483" s="1" t="n">
        <v>45415</v>
      </c>
      <c r="C483" s="1" t="n">
        <v>46003</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27596-2023</t>
        </is>
      </c>
      <c r="B484" s="1" t="n">
        <v>45097</v>
      </c>
      <c r="C484" s="1" t="n">
        <v>46003</v>
      </c>
      <c r="D484" t="inlineStr">
        <is>
          <t>GOTLANDS LÄN</t>
        </is>
      </c>
      <c r="E484" t="inlineStr">
        <is>
          <t>GOTLAND</t>
        </is>
      </c>
      <c r="G484" t="n">
        <v>3.6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46003</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24825-2024</t>
        </is>
      </c>
      <c r="B486" s="1" t="n">
        <v>45461</v>
      </c>
      <c r="C486" s="1" t="n">
        <v>46003</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6696-2023</t>
        </is>
      </c>
      <c r="B487" s="1" t="n">
        <v>44966.66425925926</v>
      </c>
      <c r="C487" s="1" t="n">
        <v>46003</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44705.38832175926</v>
      </c>
      <c r="C488" s="1" t="n">
        <v>46003</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15434-2024</t>
        </is>
      </c>
      <c r="B489" s="1" t="n">
        <v>45401.38836805556</v>
      </c>
      <c r="C489" s="1" t="n">
        <v>46003</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456-2023</t>
        </is>
      </c>
      <c r="B490" s="1" t="n">
        <v>44929.87122685185</v>
      </c>
      <c r="C490" s="1" t="n">
        <v>46003</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42608-2025</t>
        </is>
      </c>
      <c r="B491" s="1" t="n">
        <v>45905</v>
      </c>
      <c r="C491" s="1" t="n">
        <v>46003</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2714-2023</t>
        </is>
      </c>
      <c r="B492" s="1" t="n">
        <v>44944.54896990741</v>
      </c>
      <c r="C492" s="1" t="n">
        <v>46003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28506-2023</t>
        </is>
      </c>
      <c r="B493" s="1" t="n">
        <v>45103</v>
      </c>
      <c r="C493" s="1" t="n">
        <v>46003</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4421-2024</t>
        </is>
      </c>
      <c r="B494" s="1" t="n">
        <v>45327.45173611111</v>
      </c>
      <c r="C494" s="1" t="n">
        <v>46003</v>
      </c>
      <c r="D494" t="inlineStr">
        <is>
          <t>GOTLANDS LÄN</t>
        </is>
      </c>
      <c r="E494" t="inlineStr">
        <is>
          <t>GOTLAND</t>
        </is>
      </c>
      <c r="G494" t="n">
        <v>5.1</v>
      </c>
      <c r="H494" t="n">
        <v>0</v>
      </c>
      <c r="I494" t="n">
        <v>0</v>
      </c>
      <c r="J494" t="n">
        <v>0</v>
      </c>
      <c r="K494" t="n">
        <v>0</v>
      </c>
      <c r="L494" t="n">
        <v>0</v>
      </c>
      <c r="M494" t="n">
        <v>0</v>
      </c>
      <c r="N494" t="n">
        <v>0</v>
      </c>
      <c r="O494" t="n">
        <v>0</v>
      </c>
      <c r="P494" t="n">
        <v>0</v>
      </c>
      <c r="Q494" t="n">
        <v>0</v>
      </c>
      <c r="R494" s="2" t="inlineStr"/>
    </row>
    <row r="495" ht="15" customHeight="1">
      <c r="A495" t="inlineStr">
        <is>
          <t>A 5943-2024</t>
        </is>
      </c>
      <c r="B495" s="1" t="n">
        <v>45336</v>
      </c>
      <c r="C495" s="1" t="n">
        <v>46003</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21420-2024</t>
        </is>
      </c>
      <c r="B496" s="1" t="n">
        <v>45441.38293981482</v>
      </c>
      <c r="C496" s="1" t="n">
        <v>46003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16373-2025</t>
        </is>
      </c>
      <c r="B497" s="1" t="n">
        <v>45751</v>
      </c>
      <c r="C497" s="1" t="n">
        <v>46003</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51782-2023</t>
        </is>
      </c>
      <c r="B498" s="1" t="n">
        <v>45222.80952546297</v>
      </c>
      <c r="C498" s="1" t="n">
        <v>46003</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54268-2022</t>
        </is>
      </c>
      <c r="B499" s="1" t="n">
        <v>44882</v>
      </c>
      <c r="C499" s="1" t="n">
        <v>46003</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54073-2022</t>
        </is>
      </c>
      <c r="B500" s="1" t="n">
        <v>44881.50380787037</v>
      </c>
      <c r="C500" s="1" t="n">
        <v>46003</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16361-2024</t>
        </is>
      </c>
      <c r="B501" s="1" t="n">
        <v>45407</v>
      </c>
      <c r="C501" s="1" t="n">
        <v>46003</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41038-2023</t>
        </is>
      </c>
      <c r="B502" s="1" t="n">
        <v>45173.60959490741</v>
      </c>
      <c r="C502" s="1" t="n">
        <v>46003</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57534-2022</t>
        </is>
      </c>
      <c r="B503" s="1" t="n">
        <v>44896</v>
      </c>
      <c r="C503" s="1" t="n">
        <v>46003</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46003</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43229-2023</t>
        </is>
      </c>
      <c r="B505" s="1" t="n">
        <v>45183.46704861111</v>
      </c>
      <c r="C505" s="1" t="n">
        <v>46003</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1175-2025</t>
        </is>
      </c>
      <c r="B506" s="1" t="n">
        <v>45667.34449074074</v>
      </c>
      <c r="C506" s="1" t="n">
        <v>46003</v>
      </c>
      <c r="D506" t="inlineStr">
        <is>
          <t>GOTLANDS LÄN</t>
        </is>
      </c>
      <c r="E506" t="inlineStr">
        <is>
          <t>GOTLAND</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46003</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22899-2023</t>
        </is>
      </c>
      <c r="B508" s="1" t="n">
        <v>45072</v>
      </c>
      <c r="C508" s="1" t="n">
        <v>46003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23188-2025</t>
        </is>
      </c>
      <c r="B509" s="1" t="n">
        <v>45791</v>
      </c>
      <c r="C509" s="1" t="n">
        <v>46003</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10158-2025</t>
        </is>
      </c>
      <c r="B510" s="1" t="n">
        <v>45719</v>
      </c>
      <c r="C510" s="1" t="n">
        <v>46003</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23978-2023</t>
        </is>
      </c>
      <c r="B511" s="1" t="n">
        <v>45078</v>
      </c>
      <c r="C511" s="1" t="n">
        <v>46003</v>
      </c>
      <c r="D511" t="inlineStr">
        <is>
          <t>GOTLANDS LÄN</t>
        </is>
      </c>
      <c r="E511" t="inlineStr">
        <is>
          <t>GOTLAND</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34407-2023</t>
        </is>
      </c>
      <c r="B512" s="1" t="n">
        <v>45132</v>
      </c>
      <c r="C512" s="1" t="n">
        <v>46003</v>
      </c>
      <c r="D512" t="inlineStr">
        <is>
          <t>GOTLANDS LÄN</t>
        </is>
      </c>
      <c r="E512" t="inlineStr">
        <is>
          <t>GOTLAND</t>
        </is>
      </c>
      <c r="G512" t="n">
        <v>4.4</v>
      </c>
      <c r="H512" t="n">
        <v>0</v>
      </c>
      <c r="I512" t="n">
        <v>0</v>
      </c>
      <c r="J512" t="n">
        <v>0</v>
      </c>
      <c r="K512" t="n">
        <v>0</v>
      </c>
      <c r="L512" t="n">
        <v>0</v>
      </c>
      <c r="M512" t="n">
        <v>0</v>
      </c>
      <c r="N512" t="n">
        <v>0</v>
      </c>
      <c r="O512" t="n">
        <v>0</v>
      </c>
      <c r="P512" t="n">
        <v>0</v>
      </c>
      <c r="Q512" t="n">
        <v>0</v>
      </c>
      <c r="R512" s="2" t="inlineStr"/>
    </row>
    <row r="513" ht="15" customHeight="1">
      <c r="A513" t="inlineStr">
        <is>
          <t>A 11013-2024</t>
        </is>
      </c>
      <c r="B513" s="1" t="n">
        <v>45370</v>
      </c>
      <c r="C513" s="1" t="n">
        <v>46003</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27694-2024</t>
        </is>
      </c>
      <c r="B514" s="1" t="n">
        <v>45475</v>
      </c>
      <c r="C514" s="1" t="n">
        <v>46003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14427-2024</t>
        </is>
      </c>
      <c r="B515" s="1" t="n">
        <v>45394</v>
      </c>
      <c r="C515" s="1" t="n">
        <v>46003</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15083-2025</t>
        </is>
      </c>
      <c r="B516" s="1" t="n">
        <v>45743</v>
      </c>
      <c r="C516" s="1" t="n">
        <v>46003</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43911-2025</t>
        </is>
      </c>
      <c r="B517" s="1" t="n">
        <v>45914.3881712963</v>
      </c>
      <c r="C517" s="1" t="n">
        <v>46003</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46003</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44410-2025</t>
        </is>
      </c>
      <c r="B519" s="1" t="n">
        <v>45916.53699074074</v>
      </c>
      <c r="C519" s="1" t="n">
        <v>46003</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13037-2025</t>
        </is>
      </c>
      <c r="B520" s="1" t="n">
        <v>45734</v>
      </c>
      <c r="C520" s="1" t="n">
        <v>46003</v>
      </c>
      <c r="D520" t="inlineStr">
        <is>
          <t>GOTLANDS LÄN</t>
        </is>
      </c>
      <c r="E520" t="inlineStr">
        <is>
          <t>GOTLAND</t>
        </is>
      </c>
      <c r="G520" t="n">
        <v>9.5</v>
      </c>
      <c r="H520" t="n">
        <v>0</v>
      </c>
      <c r="I520" t="n">
        <v>0</v>
      </c>
      <c r="J520" t="n">
        <v>0</v>
      </c>
      <c r="K520" t="n">
        <v>0</v>
      </c>
      <c r="L520" t="n">
        <v>0</v>
      </c>
      <c r="M520" t="n">
        <v>0</v>
      </c>
      <c r="N520" t="n">
        <v>0</v>
      </c>
      <c r="O520" t="n">
        <v>0</v>
      </c>
      <c r="P520" t="n">
        <v>0</v>
      </c>
      <c r="Q520" t="n">
        <v>0</v>
      </c>
      <c r="R520" s="2" t="inlineStr"/>
    </row>
    <row r="521" ht="15" customHeight="1">
      <c r="A521" t="inlineStr">
        <is>
          <t>A 43951-2025</t>
        </is>
      </c>
      <c r="B521" s="1" t="n">
        <v>45915.38119212963</v>
      </c>
      <c r="C521" s="1" t="n">
        <v>46003</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458-2023</t>
        </is>
      </c>
      <c r="B522" s="1" t="n">
        <v>44929</v>
      </c>
      <c r="C522" s="1" t="n">
        <v>46003</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44405-2025</t>
        </is>
      </c>
      <c r="B523" s="1" t="n">
        <v>45916.52405092592</v>
      </c>
      <c r="C523" s="1" t="n">
        <v>46003</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44839.51599537037</v>
      </c>
      <c r="C524" s="1" t="n">
        <v>46003</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58132-2023</t>
        </is>
      </c>
      <c r="B525" s="1" t="n">
        <v>45250</v>
      </c>
      <c r="C525" s="1" t="n">
        <v>46003</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23473-2025</t>
        </is>
      </c>
      <c r="B526" s="1" t="n">
        <v>45792</v>
      </c>
      <c r="C526" s="1" t="n">
        <v>46003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49884-2023</t>
        </is>
      </c>
      <c r="B527" s="1" t="n">
        <v>45213</v>
      </c>
      <c r="C527" s="1" t="n">
        <v>46003</v>
      </c>
      <c r="D527" t="inlineStr">
        <is>
          <t>GOTLANDS LÄN</t>
        </is>
      </c>
      <c r="E527" t="inlineStr">
        <is>
          <t>GOTLAND</t>
        </is>
      </c>
      <c r="G527" t="n">
        <v>8.9</v>
      </c>
      <c r="H527" t="n">
        <v>0</v>
      </c>
      <c r="I527" t="n">
        <v>0</v>
      </c>
      <c r="J527" t="n">
        <v>0</v>
      </c>
      <c r="K527" t="n">
        <v>0</v>
      </c>
      <c r="L527" t="n">
        <v>0</v>
      </c>
      <c r="M527" t="n">
        <v>0</v>
      </c>
      <c r="N527" t="n">
        <v>0</v>
      </c>
      <c r="O527" t="n">
        <v>0</v>
      </c>
      <c r="P527" t="n">
        <v>0</v>
      </c>
      <c r="Q527" t="n">
        <v>0</v>
      </c>
      <c r="R527" s="2" t="inlineStr"/>
    </row>
    <row r="528" ht="15" customHeight="1">
      <c r="A528" t="inlineStr">
        <is>
          <t>A 876-2024</t>
        </is>
      </c>
      <c r="B528" s="1" t="n">
        <v>45301</v>
      </c>
      <c r="C528" s="1" t="n">
        <v>46003</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23856-2025</t>
        </is>
      </c>
      <c r="B529" s="1" t="n">
        <v>45793</v>
      </c>
      <c r="C529" s="1" t="n">
        <v>46003</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22704-2023</t>
        </is>
      </c>
      <c r="B530" s="1" t="n">
        <v>45071</v>
      </c>
      <c r="C530" s="1" t="n">
        <v>46003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46003</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28425-2023</t>
        </is>
      </c>
      <c r="B532" s="1" t="n">
        <v>45102</v>
      </c>
      <c r="C532" s="1" t="n">
        <v>46003</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15073-2025</t>
        </is>
      </c>
      <c r="B533" s="1" t="n">
        <v>45743</v>
      </c>
      <c r="C533" s="1" t="n">
        <v>46003</v>
      </c>
      <c r="D533" t="inlineStr">
        <is>
          <t>GOTLANDS LÄN</t>
        </is>
      </c>
      <c r="E533" t="inlineStr">
        <is>
          <t>GOTLAND</t>
        </is>
      </c>
      <c r="G533" t="n">
        <v>12.1</v>
      </c>
      <c r="H533" t="n">
        <v>0</v>
      </c>
      <c r="I533" t="n">
        <v>0</v>
      </c>
      <c r="J533" t="n">
        <v>0</v>
      </c>
      <c r="K533" t="n">
        <v>0</v>
      </c>
      <c r="L533" t="n">
        <v>0</v>
      </c>
      <c r="M533" t="n">
        <v>0</v>
      </c>
      <c r="N533" t="n">
        <v>0</v>
      </c>
      <c r="O533" t="n">
        <v>0</v>
      </c>
      <c r="P533" t="n">
        <v>0</v>
      </c>
      <c r="Q533" t="n">
        <v>0</v>
      </c>
      <c r="R533" s="2" t="inlineStr"/>
    </row>
    <row r="534" ht="15" customHeight="1">
      <c r="A534" t="inlineStr">
        <is>
          <t>A 58476-2022</t>
        </is>
      </c>
      <c r="B534" s="1" t="n">
        <v>44902</v>
      </c>
      <c r="C534" s="1" t="n">
        <v>46003</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43200-2023</t>
        </is>
      </c>
      <c r="B535" s="1" t="n">
        <v>45183</v>
      </c>
      <c r="C535" s="1" t="n">
        <v>46003</v>
      </c>
      <c r="D535" t="inlineStr">
        <is>
          <t>GOTLANDS LÄN</t>
        </is>
      </c>
      <c r="E535" t="inlineStr">
        <is>
          <t>GOTLAND</t>
        </is>
      </c>
      <c r="G535" t="n">
        <v>0.5</v>
      </c>
      <c r="H535" t="n">
        <v>0</v>
      </c>
      <c r="I535" t="n">
        <v>0</v>
      </c>
      <c r="J535" t="n">
        <v>0</v>
      </c>
      <c r="K535" t="n">
        <v>0</v>
      </c>
      <c r="L535" t="n">
        <v>0</v>
      </c>
      <c r="M535" t="n">
        <v>0</v>
      </c>
      <c r="N535" t="n">
        <v>0</v>
      </c>
      <c r="O535" t="n">
        <v>0</v>
      </c>
      <c r="P535" t="n">
        <v>0</v>
      </c>
      <c r="Q535" t="n">
        <v>0</v>
      </c>
      <c r="R535" s="2" t="inlineStr"/>
    </row>
    <row r="536" ht="15" customHeight="1">
      <c r="A536" t="inlineStr">
        <is>
          <t>A 43223-2023</t>
        </is>
      </c>
      <c r="B536" s="1" t="n">
        <v>45183.45642361111</v>
      </c>
      <c r="C536" s="1" t="n">
        <v>46003</v>
      </c>
      <c r="D536" t="inlineStr">
        <is>
          <t>GOTLANDS LÄN</t>
        </is>
      </c>
      <c r="E536" t="inlineStr">
        <is>
          <t>GOTLAND</t>
        </is>
      </c>
      <c r="G536" t="n">
        <v>1.8</v>
      </c>
      <c r="H536" t="n">
        <v>0</v>
      </c>
      <c r="I536" t="n">
        <v>0</v>
      </c>
      <c r="J536" t="n">
        <v>0</v>
      </c>
      <c r="K536" t="n">
        <v>0</v>
      </c>
      <c r="L536" t="n">
        <v>0</v>
      </c>
      <c r="M536" t="n">
        <v>0</v>
      </c>
      <c r="N536" t="n">
        <v>0</v>
      </c>
      <c r="O536" t="n">
        <v>0</v>
      </c>
      <c r="P536" t="n">
        <v>0</v>
      </c>
      <c r="Q536" t="n">
        <v>0</v>
      </c>
      <c r="R536" s="2" t="inlineStr"/>
    </row>
    <row r="537" ht="15" customHeight="1">
      <c r="A537" t="inlineStr">
        <is>
          <t>A 6749-2025</t>
        </is>
      </c>
      <c r="B537" s="1" t="n">
        <v>45700</v>
      </c>
      <c r="C537" s="1" t="n">
        <v>46003</v>
      </c>
      <c r="D537" t="inlineStr">
        <is>
          <t>GOTLANDS LÄN</t>
        </is>
      </c>
      <c r="E537" t="inlineStr">
        <is>
          <t>GOTLAND</t>
        </is>
      </c>
      <c r="G537" t="n">
        <v>4.5</v>
      </c>
      <c r="H537" t="n">
        <v>0</v>
      </c>
      <c r="I537" t="n">
        <v>0</v>
      </c>
      <c r="J537" t="n">
        <v>0</v>
      </c>
      <c r="K537" t="n">
        <v>0</v>
      </c>
      <c r="L537" t="n">
        <v>0</v>
      </c>
      <c r="M537" t="n">
        <v>0</v>
      </c>
      <c r="N537" t="n">
        <v>0</v>
      </c>
      <c r="O537" t="n">
        <v>0</v>
      </c>
      <c r="P537" t="n">
        <v>0</v>
      </c>
      <c r="Q537" t="n">
        <v>0</v>
      </c>
      <c r="R537" s="2" t="inlineStr"/>
    </row>
    <row r="538" ht="15" customHeight="1">
      <c r="A538" t="inlineStr">
        <is>
          <t>A 12327-2025</t>
        </is>
      </c>
      <c r="B538" s="1" t="n">
        <v>45730</v>
      </c>
      <c r="C538" s="1" t="n">
        <v>46003</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3431-2025</t>
        </is>
      </c>
      <c r="B539" s="1" t="n">
        <v>45680.42935185185</v>
      </c>
      <c r="C539" s="1" t="n">
        <v>46003</v>
      </c>
      <c r="D539" t="inlineStr">
        <is>
          <t>GOTLANDS LÄN</t>
        </is>
      </c>
      <c r="E539" t="inlineStr">
        <is>
          <t>GOTLAND</t>
        </is>
      </c>
      <c r="G539" t="n">
        <v>4.8</v>
      </c>
      <c r="H539" t="n">
        <v>0</v>
      </c>
      <c r="I539" t="n">
        <v>0</v>
      </c>
      <c r="J539" t="n">
        <v>0</v>
      </c>
      <c r="K539" t="n">
        <v>0</v>
      </c>
      <c r="L539" t="n">
        <v>0</v>
      </c>
      <c r="M539" t="n">
        <v>0</v>
      </c>
      <c r="N539" t="n">
        <v>0</v>
      </c>
      <c r="O539" t="n">
        <v>0</v>
      </c>
      <c r="P539" t="n">
        <v>0</v>
      </c>
      <c r="Q539" t="n">
        <v>0</v>
      </c>
      <c r="R539" s="2" t="inlineStr"/>
    </row>
    <row r="540" ht="15" customHeight="1">
      <c r="A540" t="inlineStr">
        <is>
          <t>A 23698-2025</t>
        </is>
      </c>
      <c r="B540" s="1" t="n">
        <v>45793</v>
      </c>
      <c r="C540" s="1" t="n">
        <v>46003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26391-2025</t>
        </is>
      </c>
      <c r="B541" s="1" t="n">
        <v>45806</v>
      </c>
      <c r="C541" s="1" t="n">
        <v>46003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46836-2025</t>
        </is>
      </c>
      <c r="B542" s="1" t="n">
        <v>45928.31511574074</v>
      </c>
      <c r="C542" s="1" t="n">
        <v>46003</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46003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46003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26457-2025</t>
        </is>
      </c>
      <c r="B545" s="1" t="n">
        <v>45807.42773148148</v>
      </c>
      <c r="C545" s="1" t="n">
        <v>46003</v>
      </c>
      <c r="D545" t="inlineStr">
        <is>
          <t>GOTLANDS LÄN</t>
        </is>
      </c>
      <c r="E545" t="inlineStr">
        <is>
          <t>GOTLAND</t>
        </is>
      </c>
      <c r="G545" t="n">
        <v>5.7</v>
      </c>
      <c r="H545" t="n">
        <v>0</v>
      </c>
      <c r="I545" t="n">
        <v>0</v>
      </c>
      <c r="J545" t="n">
        <v>0</v>
      </c>
      <c r="K545" t="n">
        <v>0</v>
      </c>
      <c r="L545" t="n">
        <v>0</v>
      </c>
      <c r="M545" t="n">
        <v>0</v>
      </c>
      <c r="N545" t="n">
        <v>0</v>
      </c>
      <c r="O545" t="n">
        <v>0</v>
      </c>
      <c r="P545" t="n">
        <v>0</v>
      </c>
      <c r="Q545" t="n">
        <v>0</v>
      </c>
      <c r="R545" s="2" t="inlineStr"/>
    </row>
    <row r="546" ht="15" customHeight="1">
      <c r="A546" t="inlineStr">
        <is>
          <t>A 26467-2025</t>
        </is>
      </c>
      <c r="B546" s="1" t="n">
        <v>45807.44640046296</v>
      </c>
      <c r="C546" s="1" t="n">
        <v>46003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26465-2025</t>
        </is>
      </c>
      <c r="B547" s="1" t="n">
        <v>45807.44377314814</v>
      </c>
      <c r="C547" s="1" t="n">
        <v>46003</v>
      </c>
      <c r="D547" t="inlineStr">
        <is>
          <t>GOTLANDS LÄN</t>
        </is>
      </c>
      <c r="E547" t="inlineStr">
        <is>
          <t>GOTLAND</t>
        </is>
      </c>
      <c r="G547" t="n">
        <v>4.5</v>
      </c>
      <c r="H547" t="n">
        <v>0</v>
      </c>
      <c r="I547" t="n">
        <v>0</v>
      </c>
      <c r="J547" t="n">
        <v>0</v>
      </c>
      <c r="K547" t="n">
        <v>0</v>
      </c>
      <c r="L547" t="n">
        <v>0</v>
      </c>
      <c r="M547" t="n">
        <v>0</v>
      </c>
      <c r="N547" t="n">
        <v>0</v>
      </c>
      <c r="O547" t="n">
        <v>0</v>
      </c>
      <c r="P547" t="n">
        <v>0</v>
      </c>
      <c r="Q547" t="n">
        <v>0</v>
      </c>
      <c r="R547" s="2" t="inlineStr"/>
    </row>
    <row r="548" ht="15" customHeight="1">
      <c r="A548" t="inlineStr">
        <is>
          <t>A 26660-2025</t>
        </is>
      </c>
      <c r="B548" s="1" t="n">
        <v>45810.39737268518</v>
      </c>
      <c r="C548" s="1" t="n">
        <v>46003</v>
      </c>
      <c r="D548" t="inlineStr">
        <is>
          <t>GOTLANDS LÄN</t>
        </is>
      </c>
      <c r="E548" t="inlineStr">
        <is>
          <t>GOTLAND</t>
        </is>
      </c>
      <c r="G548" t="n">
        <v>1.8</v>
      </c>
      <c r="H548" t="n">
        <v>0</v>
      </c>
      <c r="I548" t="n">
        <v>0</v>
      </c>
      <c r="J548" t="n">
        <v>0</v>
      </c>
      <c r="K548" t="n">
        <v>0</v>
      </c>
      <c r="L548" t="n">
        <v>0</v>
      </c>
      <c r="M548" t="n">
        <v>0</v>
      </c>
      <c r="N548" t="n">
        <v>0</v>
      </c>
      <c r="O548" t="n">
        <v>0</v>
      </c>
      <c r="P548" t="n">
        <v>0</v>
      </c>
      <c r="Q548" t="n">
        <v>0</v>
      </c>
      <c r="R548" s="2" t="inlineStr"/>
    </row>
    <row r="549" ht="15" customHeight="1">
      <c r="A549" t="inlineStr">
        <is>
          <t>A 47637-2025</t>
        </is>
      </c>
      <c r="B549" s="1" t="n">
        <v>45931.49753472222</v>
      </c>
      <c r="C549" s="1" t="n">
        <v>46003</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56799-2025</t>
        </is>
      </c>
      <c r="B550" s="1" t="n">
        <v>45978.43392361111</v>
      </c>
      <c r="C550" s="1" t="n">
        <v>46003</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27371-2025</t>
        </is>
      </c>
      <c r="B551" s="1" t="n">
        <v>45812</v>
      </c>
      <c r="C551" s="1" t="n">
        <v>46003</v>
      </c>
      <c r="D551" t="inlineStr">
        <is>
          <t>GOTLANDS LÄN</t>
        </is>
      </c>
      <c r="E551" t="inlineStr">
        <is>
          <t>GOTLAND</t>
        </is>
      </c>
      <c r="G551" t="n">
        <v>8</v>
      </c>
      <c r="H551" t="n">
        <v>0</v>
      </c>
      <c r="I551" t="n">
        <v>0</v>
      </c>
      <c r="J551" t="n">
        <v>0</v>
      </c>
      <c r="K551" t="n">
        <v>0</v>
      </c>
      <c r="L551" t="n">
        <v>0</v>
      </c>
      <c r="M551" t="n">
        <v>0</v>
      </c>
      <c r="N551" t="n">
        <v>0</v>
      </c>
      <c r="O551" t="n">
        <v>0</v>
      </c>
      <c r="P551" t="n">
        <v>0</v>
      </c>
      <c r="Q551" t="n">
        <v>0</v>
      </c>
      <c r="R551" s="2" t="inlineStr"/>
    </row>
    <row r="552" ht="15" customHeight="1">
      <c r="A552" t="inlineStr">
        <is>
          <t>A 27355-2025</t>
        </is>
      </c>
      <c r="B552" s="1" t="n">
        <v>45812</v>
      </c>
      <c r="C552" s="1" t="n">
        <v>46003</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6739-2025</t>
        </is>
      </c>
      <c r="B553" s="1" t="n">
        <v>45700</v>
      </c>
      <c r="C553" s="1" t="n">
        <v>46003</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7850-2025</t>
        </is>
      </c>
      <c r="B554" s="1" t="n">
        <v>45706</v>
      </c>
      <c r="C554" s="1" t="n">
        <v>46003</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47147-2025</t>
        </is>
      </c>
      <c r="B555" s="1" t="n">
        <v>45929</v>
      </c>
      <c r="C555" s="1" t="n">
        <v>46003</v>
      </c>
      <c r="D555" t="inlineStr">
        <is>
          <t>GOTLANDS LÄN</t>
        </is>
      </c>
      <c r="E555" t="inlineStr">
        <is>
          <t>GOTLAND</t>
        </is>
      </c>
      <c r="G555" t="n">
        <v>2.3</v>
      </c>
      <c r="H555" t="n">
        <v>0</v>
      </c>
      <c r="I555" t="n">
        <v>0</v>
      </c>
      <c r="J555" t="n">
        <v>0</v>
      </c>
      <c r="K555" t="n">
        <v>0</v>
      </c>
      <c r="L555" t="n">
        <v>0</v>
      </c>
      <c r="M555" t="n">
        <v>0</v>
      </c>
      <c r="N555" t="n">
        <v>0</v>
      </c>
      <c r="O555" t="n">
        <v>0</v>
      </c>
      <c r="P555" t="n">
        <v>0</v>
      </c>
      <c r="Q555" t="n">
        <v>0</v>
      </c>
      <c r="R555" s="2" t="inlineStr"/>
    </row>
    <row r="556" ht="15" customHeight="1">
      <c r="A556" t="inlineStr">
        <is>
          <t>A 32378-2025</t>
        </is>
      </c>
      <c r="B556" s="1" t="n">
        <v>45837</v>
      </c>
      <c r="C556" s="1" t="n">
        <v>46003</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8444-2025</t>
        </is>
      </c>
      <c r="B557" s="1" t="n">
        <v>45709</v>
      </c>
      <c r="C557" s="1" t="n">
        <v>46003</v>
      </c>
      <c r="D557" t="inlineStr">
        <is>
          <t>GOTLANDS LÄN</t>
        </is>
      </c>
      <c r="E557" t="inlineStr">
        <is>
          <t>GOTLAND</t>
        </is>
      </c>
      <c r="G557" t="n">
        <v>5.2</v>
      </c>
      <c r="H557" t="n">
        <v>0</v>
      </c>
      <c r="I557" t="n">
        <v>0</v>
      </c>
      <c r="J557" t="n">
        <v>0</v>
      </c>
      <c r="K557" t="n">
        <v>0</v>
      </c>
      <c r="L557" t="n">
        <v>0</v>
      </c>
      <c r="M557" t="n">
        <v>0</v>
      </c>
      <c r="N557" t="n">
        <v>0</v>
      </c>
      <c r="O557" t="n">
        <v>0</v>
      </c>
      <c r="P557" t="n">
        <v>0</v>
      </c>
      <c r="Q557" t="n">
        <v>0</v>
      </c>
      <c r="R557" s="2" t="inlineStr"/>
    </row>
    <row r="558" ht="15" customHeight="1">
      <c r="A558" t="inlineStr">
        <is>
          <t>A 35550-2025</t>
        </is>
      </c>
      <c r="B558" s="1" t="n">
        <v>45856.49324074074</v>
      </c>
      <c r="C558" s="1" t="n">
        <v>46003</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56688-2025</t>
        </is>
      </c>
      <c r="B559" s="1" t="n">
        <v>45975.84331018518</v>
      </c>
      <c r="C559" s="1" t="n">
        <v>46003</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46003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29196-2025</t>
        </is>
      </c>
      <c r="B561" s="1" t="n">
        <v>45822</v>
      </c>
      <c r="C561" s="1" t="n">
        <v>46003</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47578-2025</t>
        </is>
      </c>
      <c r="B562" s="1" t="n">
        <v>45931</v>
      </c>
      <c r="C562" s="1" t="n">
        <v>46003</v>
      </c>
      <c r="D562" t="inlineStr">
        <is>
          <t>GOTLANDS LÄN</t>
        </is>
      </c>
      <c r="E562" t="inlineStr">
        <is>
          <t>GOTLAND</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29207-2025</t>
        </is>
      </c>
      <c r="B563" s="1" t="n">
        <v>45823</v>
      </c>
      <c r="C563" s="1" t="n">
        <v>46003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49724-2025</t>
        </is>
      </c>
      <c r="B564" s="1" t="n">
        <v>45939.83730324074</v>
      </c>
      <c r="C564" s="1" t="n">
        <v>46003</v>
      </c>
      <c r="D564" t="inlineStr">
        <is>
          <t>GOTLANDS LÄN</t>
        </is>
      </c>
      <c r="E564" t="inlineStr">
        <is>
          <t>GOTLAND</t>
        </is>
      </c>
      <c r="F564" t="inlineStr">
        <is>
          <t>Kyrkan</t>
        </is>
      </c>
      <c r="G564" t="n">
        <v>3.1</v>
      </c>
      <c r="H564" t="n">
        <v>0</v>
      </c>
      <c r="I564" t="n">
        <v>0</v>
      </c>
      <c r="J564" t="n">
        <v>0</v>
      </c>
      <c r="K564" t="n">
        <v>0</v>
      </c>
      <c r="L564" t="n">
        <v>0</v>
      </c>
      <c r="M564" t="n">
        <v>0</v>
      </c>
      <c r="N564" t="n">
        <v>0</v>
      </c>
      <c r="O564" t="n">
        <v>0</v>
      </c>
      <c r="P564" t="n">
        <v>0</v>
      </c>
      <c r="Q564" t="n">
        <v>0</v>
      </c>
      <c r="R564" s="2" t="inlineStr"/>
    </row>
    <row r="565" ht="15" customHeight="1">
      <c r="A565" t="inlineStr">
        <is>
          <t>A 49730-2025</t>
        </is>
      </c>
      <c r="B565" s="1" t="n">
        <v>45939.87613425926</v>
      </c>
      <c r="C565" s="1" t="n">
        <v>46003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46003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49690-2025</t>
        </is>
      </c>
      <c r="B567" s="1" t="n">
        <v>45939.66730324074</v>
      </c>
      <c r="C567" s="1" t="n">
        <v>46003</v>
      </c>
      <c r="D567" t="inlineStr">
        <is>
          <t>GOTLANDS LÄN</t>
        </is>
      </c>
      <c r="E567" t="inlineStr">
        <is>
          <t>GOTLAND</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58160-2024</t>
        </is>
      </c>
      <c r="B568" s="1" t="n">
        <v>45632.44927083333</v>
      </c>
      <c r="C568" s="1" t="n">
        <v>46003</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33011-2025</t>
        </is>
      </c>
      <c r="B569" s="1" t="n">
        <v>45840</v>
      </c>
      <c r="C569" s="1" t="n">
        <v>46003</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50421-2025</t>
        </is>
      </c>
      <c r="B570" s="1" t="n">
        <v>45944.66049768519</v>
      </c>
      <c r="C570" s="1" t="n">
        <v>46003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50431-2025</t>
        </is>
      </c>
      <c r="B571" s="1" t="n">
        <v>45944.68453703704</v>
      </c>
      <c r="C571" s="1" t="n">
        <v>46003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50928-2025</t>
        </is>
      </c>
      <c r="B572" s="1" t="n">
        <v>45946.67896990741</v>
      </c>
      <c r="C572" s="1" t="n">
        <v>46003</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32379-2025</t>
        </is>
      </c>
      <c r="B573" s="1" t="n">
        <v>45837</v>
      </c>
      <c r="C573" s="1" t="n">
        <v>46003</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32467-2025</t>
        </is>
      </c>
      <c r="B574" s="1" t="n">
        <v>45838.42111111111</v>
      </c>
      <c r="C574" s="1" t="n">
        <v>46003</v>
      </c>
      <c r="D574" t="inlineStr">
        <is>
          <t>GOTLANDS LÄN</t>
        </is>
      </c>
      <c r="E574" t="inlineStr">
        <is>
          <t>GOTLAND</t>
        </is>
      </c>
      <c r="G574" t="n">
        <v>4.3</v>
      </c>
      <c r="H574" t="n">
        <v>0</v>
      </c>
      <c r="I574" t="n">
        <v>0</v>
      </c>
      <c r="J574" t="n">
        <v>0</v>
      </c>
      <c r="K574" t="n">
        <v>0</v>
      </c>
      <c r="L574" t="n">
        <v>0</v>
      </c>
      <c r="M574" t="n">
        <v>0</v>
      </c>
      <c r="N574" t="n">
        <v>0</v>
      </c>
      <c r="O574" t="n">
        <v>0</v>
      </c>
      <c r="P574" t="n">
        <v>0</v>
      </c>
      <c r="Q574" t="n">
        <v>0</v>
      </c>
      <c r="R574" s="2" t="inlineStr"/>
    </row>
    <row r="575" ht="15" customHeight="1">
      <c r="A575" t="inlineStr">
        <is>
          <t>A 59197-2025</t>
        </is>
      </c>
      <c r="B575" s="1" t="n">
        <v>45988.59846064815</v>
      </c>
      <c r="C575" s="1" t="n">
        <v>46003</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16109-2025</t>
        </is>
      </c>
      <c r="B576" s="1" t="n">
        <v>45750</v>
      </c>
      <c r="C576" s="1" t="n">
        <v>46003</v>
      </c>
      <c r="D576" t="inlineStr">
        <is>
          <t>GOTLANDS LÄN</t>
        </is>
      </c>
      <c r="E576" t="inlineStr">
        <is>
          <t>GOTLAND</t>
        </is>
      </c>
      <c r="G576" t="n">
        <v>4.9</v>
      </c>
      <c r="H576" t="n">
        <v>0</v>
      </c>
      <c r="I576" t="n">
        <v>0</v>
      </c>
      <c r="J576" t="n">
        <v>0</v>
      </c>
      <c r="K576" t="n">
        <v>0</v>
      </c>
      <c r="L576" t="n">
        <v>0</v>
      </c>
      <c r="M576" t="n">
        <v>0</v>
      </c>
      <c r="N576" t="n">
        <v>0</v>
      </c>
      <c r="O576" t="n">
        <v>0</v>
      </c>
      <c r="P576" t="n">
        <v>0</v>
      </c>
      <c r="Q576" t="n">
        <v>0</v>
      </c>
      <c r="R576" s="2" t="inlineStr"/>
    </row>
    <row r="577" ht="15" customHeight="1">
      <c r="A577" t="inlineStr">
        <is>
          <t>A 33007-2025</t>
        </is>
      </c>
      <c r="B577" s="1" t="n">
        <v>45840</v>
      </c>
      <c r="C577" s="1" t="n">
        <v>46003</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51262-2025</t>
        </is>
      </c>
      <c r="B578" s="1" t="n">
        <v>45949.49872685185</v>
      </c>
      <c r="C578" s="1" t="n">
        <v>46003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15413-2025</t>
        </is>
      </c>
      <c r="B579" s="1" t="n">
        <v>45747.451875</v>
      </c>
      <c r="C579" s="1" t="n">
        <v>46003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35123-2025</t>
        </is>
      </c>
      <c r="B580" s="1" t="n">
        <v>45852.614375</v>
      </c>
      <c r="C580" s="1" t="n">
        <v>46003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35096-2025</t>
        </is>
      </c>
      <c r="B581" s="1" t="n">
        <v>45852.54356481481</v>
      </c>
      <c r="C581" s="1" t="n">
        <v>46003</v>
      </c>
      <c r="D581" t="inlineStr">
        <is>
          <t>GOTLANDS LÄN</t>
        </is>
      </c>
      <c r="E581" t="inlineStr">
        <is>
          <t>GOTLAND</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46003</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46003</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46003</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52249-2025</t>
        </is>
      </c>
      <c r="B585" s="1" t="n">
        <v>45953.48637731482</v>
      </c>
      <c r="C585" s="1" t="n">
        <v>46003</v>
      </c>
      <c r="D585" t="inlineStr">
        <is>
          <t>GOTLANDS LÄN</t>
        </is>
      </c>
      <c r="E585" t="inlineStr">
        <is>
          <t>GOTLAND</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60384-2025</t>
        </is>
      </c>
      <c r="B586" s="1" t="n">
        <v>45995.37947916667</v>
      </c>
      <c r="C586" s="1" t="n">
        <v>46003</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46003</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15216-2025</t>
        </is>
      </c>
      <c r="B588" s="1" t="n">
        <v>45744</v>
      </c>
      <c r="C588" s="1" t="n">
        <v>46003</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43790-2024</t>
        </is>
      </c>
      <c r="B589" s="1" t="n">
        <v>45571</v>
      </c>
      <c r="C589" s="1" t="n">
        <v>46003</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46003</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30488-2025</t>
        </is>
      </c>
      <c r="B591" s="1" t="n">
        <v>45830</v>
      </c>
      <c r="C591" s="1" t="n">
        <v>46003</v>
      </c>
      <c r="D591" t="inlineStr">
        <is>
          <t>GOTLANDS LÄN</t>
        </is>
      </c>
      <c r="E591" t="inlineStr">
        <is>
          <t>GOTLAND</t>
        </is>
      </c>
      <c r="F591" t="inlineStr">
        <is>
          <t>Kyrkan</t>
        </is>
      </c>
      <c r="G591" t="n">
        <v>3.9</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46003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52637-2025</t>
        </is>
      </c>
      <c r="B593" s="1" t="n">
        <v>45954.75099537037</v>
      </c>
      <c r="C593" s="1" t="n">
        <v>46003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18742-2025</t>
        </is>
      </c>
      <c r="B594" s="1" t="n">
        <v>45763</v>
      </c>
      <c r="C594" s="1" t="n">
        <v>46003</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36319-2025</t>
        </is>
      </c>
      <c r="B595" s="1" t="n">
        <v>45868</v>
      </c>
      <c r="C595" s="1" t="n">
        <v>46003</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46003</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61080-2025</t>
        </is>
      </c>
      <c r="B597" s="1" t="n">
        <v>46000.40390046296</v>
      </c>
      <c r="C597" s="1" t="n">
        <v>46003</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61078-2025</t>
        </is>
      </c>
      <c r="B598" s="1" t="n">
        <v>46000.3996875</v>
      </c>
      <c r="C598" s="1" t="n">
        <v>46003</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53569-2025</t>
        </is>
      </c>
      <c r="B599" s="1" t="n">
        <v>45960.41155092593</v>
      </c>
      <c r="C599" s="1" t="n">
        <v>46003</v>
      </c>
      <c r="D599" t="inlineStr">
        <is>
          <t>GOTLANDS LÄN</t>
        </is>
      </c>
      <c r="E599" t="inlineStr">
        <is>
          <t>GOTLAND</t>
        </is>
      </c>
      <c r="F599" t="inlineStr">
        <is>
          <t>Övriga Aktiebolag</t>
        </is>
      </c>
      <c r="G599" t="n">
        <v>11.3</v>
      </c>
      <c r="H599" t="n">
        <v>0</v>
      </c>
      <c r="I599" t="n">
        <v>0</v>
      </c>
      <c r="J599" t="n">
        <v>0</v>
      </c>
      <c r="K599" t="n">
        <v>0</v>
      </c>
      <c r="L599" t="n">
        <v>0</v>
      </c>
      <c r="M599" t="n">
        <v>0</v>
      </c>
      <c r="N599" t="n">
        <v>0</v>
      </c>
      <c r="O599" t="n">
        <v>0</v>
      </c>
      <c r="P599" t="n">
        <v>0</v>
      </c>
      <c r="Q599" t="n">
        <v>0</v>
      </c>
      <c r="R599" s="2" t="inlineStr"/>
    </row>
    <row r="600" ht="15" customHeight="1">
      <c r="A600" t="inlineStr">
        <is>
          <t>A 53561-2025</t>
        </is>
      </c>
      <c r="B600" s="1" t="n">
        <v>45960.4059375</v>
      </c>
      <c r="C600" s="1" t="n">
        <v>46003</v>
      </c>
      <c r="D600" t="inlineStr">
        <is>
          <t>GOTLANDS LÄN</t>
        </is>
      </c>
      <c r="E600" t="inlineStr">
        <is>
          <t>GOTLAND</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53577-2025</t>
        </is>
      </c>
      <c r="B601" s="1" t="n">
        <v>45960.42224537037</v>
      </c>
      <c r="C601" s="1" t="n">
        <v>46003</v>
      </c>
      <c r="D601" t="inlineStr">
        <is>
          <t>GOTLANDS LÄN</t>
        </is>
      </c>
      <c r="E601" t="inlineStr">
        <is>
          <t>GOTLAND</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53587-2025</t>
        </is>
      </c>
      <c r="B602" s="1" t="n">
        <v>45960.43681712963</v>
      </c>
      <c r="C602" s="1" t="n">
        <v>46003</v>
      </c>
      <c r="D602" t="inlineStr">
        <is>
          <t>GOTLANDS LÄN</t>
        </is>
      </c>
      <c r="E602" t="inlineStr">
        <is>
          <t>GOTLAND</t>
        </is>
      </c>
      <c r="F602" t="inlineStr">
        <is>
          <t>Övriga Aktiebolag</t>
        </is>
      </c>
      <c r="G602" t="n">
        <v>1.7</v>
      </c>
      <c r="H602" t="n">
        <v>0</v>
      </c>
      <c r="I602" t="n">
        <v>0</v>
      </c>
      <c r="J602" t="n">
        <v>0</v>
      </c>
      <c r="K602" t="n">
        <v>0</v>
      </c>
      <c r="L602" t="n">
        <v>0</v>
      </c>
      <c r="M602" t="n">
        <v>0</v>
      </c>
      <c r="N602" t="n">
        <v>0</v>
      </c>
      <c r="O602" t="n">
        <v>0</v>
      </c>
      <c r="P602" t="n">
        <v>0</v>
      </c>
      <c r="Q602" t="n">
        <v>0</v>
      </c>
      <c r="R602" s="2" t="inlineStr"/>
    </row>
    <row r="603" ht="15" customHeight="1">
      <c r="A603" t="inlineStr">
        <is>
          <t>A 6108-2025</t>
        </is>
      </c>
      <c r="B603" s="1" t="n">
        <v>45698.29880787037</v>
      </c>
      <c r="C603" s="1" t="n">
        <v>46003</v>
      </c>
      <c r="D603" t="inlineStr">
        <is>
          <t>GOTLANDS LÄN</t>
        </is>
      </c>
      <c r="E603" t="inlineStr">
        <is>
          <t>GOTLAND</t>
        </is>
      </c>
      <c r="G603" t="n">
        <v>2.8</v>
      </c>
      <c r="H603" t="n">
        <v>0</v>
      </c>
      <c r="I603" t="n">
        <v>0</v>
      </c>
      <c r="J603" t="n">
        <v>0</v>
      </c>
      <c r="K603" t="n">
        <v>0</v>
      </c>
      <c r="L603" t="n">
        <v>0</v>
      </c>
      <c r="M603" t="n">
        <v>0</v>
      </c>
      <c r="N603" t="n">
        <v>0</v>
      </c>
      <c r="O603" t="n">
        <v>0</v>
      </c>
      <c r="P603" t="n">
        <v>0</v>
      </c>
      <c r="Q603" t="n">
        <v>0</v>
      </c>
      <c r="R603" s="2" t="inlineStr"/>
    </row>
    <row r="604" ht="15" customHeight="1">
      <c r="A604" t="inlineStr">
        <is>
          <t>A 21142-2025</t>
        </is>
      </c>
      <c r="B604" s="1" t="n">
        <v>45779</v>
      </c>
      <c r="C604" s="1" t="n">
        <v>46003</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17343-2025</t>
        </is>
      </c>
      <c r="B605" s="1" t="n">
        <v>45756.6687037037</v>
      </c>
      <c r="C605" s="1" t="n">
        <v>46003</v>
      </c>
      <c r="D605" t="inlineStr">
        <is>
          <t>GOTLANDS LÄN</t>
        </is>
      </c>
      <c r="E605" t="inlineStr">
        <is>
          <t>GOTLAND</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18938-2025</t>
        </is>
      </c>
      <c r="B606" s="1" t="n">
        <v>45764.49172453704</v>
      </c>
      <c r="C606" s="1" t="n">
        <v>46003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c r="A607" t="inlineStr">
        <is>
          <t>A 30489-2025</t>
        </is>
      </c>
      <c r="B607" s="1" t="n">
        <v>45830</v>
      </c>
      <c r="C607" s="1" t="n">
        <v>46003</v>
      </c>
      <c r="D607" t="inlineStr">
        <is>
          <t>GOTLANDS LÄN</t>
        </is>
      </c>
      <c r="E607" t="inlineStr">
        <is>
          <t>GOTLAND</t>
        </is>
      </c>
      <c r="G607" t="n">
        <v>4.6</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2025-12-12T10:29:31Z</dcterms:created>
  <dcterms:modified xmlns:dcterms="http://purl.org/dc/terms/" xmlns:xsi="http://www.w3.org/2001/XMLSchema-instance" xsi:type="dcterms:W3CDTF">2025-12-12T10:29:31Z</dcterms:modified>
</cp:coreProperties>
</file>