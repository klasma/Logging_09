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46019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46019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46019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46019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46019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46019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46019</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46019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46019</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46019</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46019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46019</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46019</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46019</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46019</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46019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46019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46019</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46019</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46019</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46019</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46019</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46019</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46019</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46019</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46019</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46019</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46019</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46019</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46019</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46019</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46019</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46019</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445-2023</t>
        </is>
      </c>
      <c r="B35" s="1" t="n">
        <v>44929</v>
      </c>
      <c r="C35" s="1" t="n">
        <v>46019</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2804-2023</t>
        </is>
      </c>
      <c r="B36" s="1" t="n">
        <v>44944</v>
      </c>
      <c r="C36" s="1" t="n">
        <v>46019</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46019</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46019</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46019</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46019</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46019</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46019</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46019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46019</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46019</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46019</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46019</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46019</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46019</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46019</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46019</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46019</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46019</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46019</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46019</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46019</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46019</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46019</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46019</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46019</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46019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46019</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46019</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46019</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46019</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46019</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46019</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46019</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46019</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46019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46019</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46019</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57773-2025</t>
        </is>
      </c>
      <c r="B73" s="1" t="n">
        <v>45981.56349537037</v>
      </c>
      <c r="C73" s="1" t="n">
        <v>46019</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7038-2023</t>
        </is>
      </c>
      <c r="B74" s="1" t="n">
        <v>44968</v>
      </c>
      <c r="C74" s="1" t="n">
        <v>46019</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46019</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53584-2025</t>
        </is>
      </c>
      <c r="B76" s="1" t="n">
        <v>45960.43130787037</v>
      </c>
      <c r="C76" s="1" t="n">
        <v>46019</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46019</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46019</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46019</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46019</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46019</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46019</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46019</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46019</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46019</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46019</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46019</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46019</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40099-2025</t>
        </is>
      </c>
      <c r="B89" s="1" t="n">
        <v>45894.48462962963</v>
      </c>
      <c r="C89" s="1" t="n">
        <v>46019</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56717-2024</t>
        </is>
      </c>
      <c r="B90" s="1" t="n">
        <v>45628.3166550926</v>
      </c>
      <c r="C90" s="1" t="n">
        <v>46019</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57463-2025</t>
        </is>
      </c>
      <c r="B91" s="1" t="n">
        <v>45980.54174768519</v>
      </c>
      <c r="C91" s="1" t="n">
        <v>46019</v>
      </c>
      <c r="D91" t="inlineStr">
        <is>
          <t>GOTLANDS LÄN</t>
        </is>
      </c>
      <c r="E91" t="inlineStr">
        <is>
          <t>GOTLAND</t>
        </is>
      </c>
      <c r="G91" t="n">
        <v>3.8</v>
      </c>
      <c r="H91" t="n">
        <v>0</v>
      </c>
      <c r="I91" t="n">
        <v>1</v>
      </c>
      <c r="J91" t="n">
        <v>1</v>
      </c>
      <c r="K91" t="n">
        <v>2</v>
      </c>
      <c r="L91" t="n">
        <v>0</v>
      </c>
      <c r="M91" t="n">
        <v>0</v>
      </c>
      <c r="N91" t="n">
        <v>0</v>
      </c>
      <c r="O91" t="n">
        <v>3</v>
      </c>
      <c r="P91" t="n">
        <v>2</v>
      </c>
      <c r="Q91" t="n">
        <v>4</v>
      </c>
      <c r="R91" s="2" t="inlineStr">
        <is>
          <t>Gulsträngad fagerspindling
Tvillingspindling
Odörspindling
Blå slemspindling</t>
        </is>
      </c>
      <c r="S91">
        <f>HYPERLINK("https://klasma.github.io/Logging_0980/artfynd/A 57463-2025 artfynd.xlsx", "A 57463-2025")</f>
        <v/>
      </c>
      <c r="T91">
        <f>HYPERLINK("https://klasma.github.io/Logging_0980/kartor/A 57463-2025 karta.png", "A 57463-2025")</f>
        <v/>
      </c>
      <c r="V91">
        <f>HYPERLINK("https://klasma.github.io/Logging_0980/klagomål/A 57463-2025 FSC-klagomål.docx", "A 57463-2025")</f>
        <v/>
      </c>
      <c r="W91">
        <f>HYPERLINK("https://klasma.github.io/Logging_0980/klagomålsmail/A 57463-2025 FSC-klagomål mail.docx", "A 57463-2025")</f>
        <v/>
      </c>
      <c r="X91">
        <f>HYPERLINK("https://klasma.github.io/Logging_0980/tillsyn/A 57463-2025 tillsynsbegäran.docx", "A 57463-2025")</f>
        <v/>
      </c>
      <c r="Y91">
        <f>HYPERLINK("https://klasma.github.io/Logging_0980/tillsynsmail/A 57463-2025 tillsynsbegäran mail.docx", "A 57463-2025")</f>
        <v/>
      </c>
    </row>
    <row r="92" ht="15" customHeight="1">
      <c r="A92" t="inlineStr">
        <is>
          <t>A 20833-2024</t>
        </is>
      </c>
      <c r="B92" s="1" t="n">
        <v>45439</v>
      </c>
      <c r="C92" s="1" t="n">
        <v>46019</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54523-2023</t>
        </is>
      </c>
      <c r="B93" s="1" t="n">
        <v>45233</v>
      </c>
      <c r="C93" s="1" t="n">
        <v>46019</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2485-2025</t>
        </is>
      </c>
      <c r="B94" s="1" t="n">
        <v>45673</v>
      </c>
      <c r="C94" s="1" t="n">
        <v>46019</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5904-2024</t>
        </is>
      </c>
      <c r="B95" s="1" t="n">
        <v>45335</v>
      </c>
      <c r="C95" s="1" t="n">
        <v>46019</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6159-2023</t>
        </is>
      </c>
      <c r="B96" s="1" t="n">
        <v>44964</v>
      </c>
      <c r="C96" s="1" t="n">
        <v>46019</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43197-2023</t>
        </is>
      </c>
      <c r="B97" s="1" t="n">
        <v>45183</v>
      </c>
      <c r="C97" s="1" t="n">
        <v>46019</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52250-2025</t>
        </is>
      </c>
      <c r="B98" s="1" t="n">
        <v>45953.48998842593</v>
      </c>
      <c r="C98" s="1" t="n">
        <v>46019</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52309-2025</t>
        </is>
      </c>
      <c r="B99" s="1" t="n">
        <v>45953.64381944444</v>
      </c>
      <c r="C99" s="1" t="n">
        <v>46019</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1971-2023</t>
        </is>
      </c>
      <c r="B100" s="1" t="n">
        <v>44939</v>
      </c>
      <c r="C100" s="1" t="n">
        <v>46019</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46019</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46019</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46019</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46019</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46019</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46019</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46019</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46019</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46019</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46019</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46019</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46019</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30490-2025</t>
        </is>
      </c>
      <c r="B113" s="1" t="n">
        <v>45830</v>
      </c>
      <c r="C113" s="1" t="n">
        <v>46019</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48126-2022</t>
        </is>
      </c>
      <c r="B114" s="1" t="n">
        <v>44857</v>
      </c>
      <c r="C114" s="1" t="n">
        <v>46019</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55334-2024</t>
        </is>
      </c>
      <c r="B115" s="1" t="n">
        <v>45621</v>
      </c>
      <c r="C115" s="1" t="n">
        <v>46019</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46019</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20831-2024</t>
        </is>
      </c>
      <c r="B117" s="1" t="n">
        <v>45439</v>
      </c>
      <c r="C117" s="1" t="n">
        <v>46019</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46019</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46019</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46019</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46019</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46019</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46019</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46019</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46019</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46019</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46019</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46019</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46019</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7070-2022</t>
        </is>
      </c>
      <c r="B130" s="1" t="n">
        <v>44603</v>
      </c>
      <c r="C130" s="1" t="n">
        <v>46019</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12914-2025</t>
        </is>
      </c>
      <c r="B131" s="1" t="n">
        <v>45733</v>
      </c>
      <c r="C131" s="1" t="n">
        <v>46019</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54357-2024</t>
        </is>
      </c>
      <c r="B132" s="1" t="n">
        <v>45617.40662037037</v>
      </c>
      <c r="C132" s="1" t="n">
        <v>46019</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62760-2025</t>
        </is>
      </c>
      <c r="B133" s="1" t="n">
        <v>46008.59275462963</v>
      </c>
      <c r="C133" s="1" t="n">
        <v>46019</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20838-2024</t>
        </is>
      </c>
      <c r="B134" s="1" t="n">
        <v>45439</v>
      </c>
      <c r="C134" s="1" t="n">
        <v>46019</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63162-2025</t>
        </is>
      </c>
      <c r="B135" s="1" t="n">
        <v>46010.37629629629</v>
      </c>
      <c r="C135" s="1" t="n">
        <v>46019</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26077-2024</t>
        </is>
      </c>
      <c r="B136" s="1" t="n">
        <v>45467</v>
      </c>
      <c r="C136" s="1" t="n">
        <v>46019</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43219-2023</t>
        </is>
      </c>
      <c r="B137" s="1" t="n">
        <v>45183</v>
      </c>
      <c r="C137" s="1" t="n">
        <v>46019</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46019</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46019</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24-2021</t>
        </is>
      </c>
      <c r="B140" s="1" t="n">
        <v>44197</v>
      </c>
      <c r="C140" s="1" t="n">
        <v>46019</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46019</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46019</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46019</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22883-2024</t>
        </is>
      </c>
      <c r="B144" s="1" t="n">
        <v>45448.66368055555</v>
      </c>
      <c r="C144" s="1" t="n">
        <v>46019</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24245-2022</t>
        </is>
      </c>
      <c r="B145" s="1" t="n">
        <v>44725</v>
      </c>
      <c r="C145" s="1" t="n">
        <v>46019</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44308-2021</t>
        </is>
      </c>
      <c r="B146" s="1" t="n">
        <v>44434</v>
      </c>
      <c r="C146" s="1" t="n">
        <v>46019</v>
      </c>
      <c r="D146" t="inlineStr">
        <is>
          <t>GOTLANDS LÄN</t>
        </is>
      </c>
      <c r="E146" t="inlineStr">
        <is>
          <t>GOTLAND</t>
        </is>
      </c>
      <c r="G146" t="n">
        <v>5.9</v>
      </c>
      <c r="H146" t="n">
        <v>0</v>
      </c>
      <c r="I146" t="n">
        <v>1</v>
      </c>
      <c r="J146" t="n">
        <v>0</v>
      </c>
      <c r="K146" t="n">
        <v>0</v>
      </c>
      <c r="L146" t="n">
        <v>0</v>
      </c>
      <c r="M146" t="n">
        <v>0</v>
      </c>
      <c r="N146" t="n">
        <v>0</v>
      </c>
      <c r="O146" t="n">
        <v>0</v>
      </c>
      <c r="P146" t="n">
        <v>0</v>
      </c>
      <c r="Q146" t="n">
        <v>1</v>
      </c>
      <c r="R146" s="2" t="inlineStr">
        <is>
          <t>Svavelriska</t>
        </is>
      </c>
      <c r="S146">
        <f>HYPERLINK("https://klasma.github.io/Logging_0980/artfynd/A 44308-2021 artfynd.xlsx", "A 44308-2021")</f>
        <v/>
      </c>
      <c r="T146">
        <f>HYPERLINK("https://klasma.github.io/Logging_0980/kartor/A 44308-2021 karta.png", "A 44308-2021")</f>
        <v/>
      </c>
      <c r="V146">
        <f>HYPERLINK("https://klasma.github.io/Logging_0980/klagomål/A 44308-2021 FSC-klagomål.docx", "A 44308-2021")</f>
        <v/>
      </c>
      <c r="W146">
        <f>HYPERLINK("https://klasma.github.io/Logging_0980/klagomålsmail/A 44308-2021 FSC-klagomål mail.docx", "A 44308-2021")</f>
        <v/>
      </c>
      <c r="X146">
        <f>HYPERLINK("https://klasma.github.io/Logging_0980/tillsyn/A 44308-2021 tillsynsbegäran.docx", "A 44308-2021")</f>
        <v/>
      </c>
      <c r="Y146">
        <f>HYPERLINK("https://klasma.github.io/Logging_0980/tillsynsmail/A 44308-2021 tillsynsbegäran mail.docx", "A 44308-2021")</f>
        <v/>
      </c>
    </row>
    <row r="147" ht="15" customHeight="1">
      <c r="A147" t="inlineStr">
        <is>
          <t>A 39812-2025</t>
        </is>
      </c>
      <c r="B147" s="1" t="n">
        <v>45891</v>
      </c>
      <c r="C147" s="1" t="n">
        <v>46019</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46527-2023</t>
        </is>
      </c>
      <c r="B148" s="1" t="n">
        <v>45197</v>
      </c>
      <c r="C148" s="1" t="n">
        <v>46019</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26461-2025</t>
        </is>
      </c>
      <c r="B149" s="1" t="n">
        <v>45807.43337962963</v>
      </c>
      <c r="C149" s="1" t="n">
        <v>46019</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17723-2021</t>
        </is>
      </c>
      <c r="B150" s="1" t="n">
        <v>44300</v>
      </c>
      <c r="C150" s="1" t="n">
        <v>46019</v>
      </c>
      <c r="D150" t="inlineStr">
        <is>
          <t>GOTLANDS LÄN</t>
        </is>
      </c>
      <c r="E150" t="inlineStr">
        <is>
          <t>GOTLAND</t>
        </is>
      </c>
      <c r="G150" t="n">
        <v>1.5</v>
      </c>
      <c r="H150" t="n">
        <v>1</v>
      </c>
      <c r="I150" t="n">
        <v>1</v>
      </c>
      <c r="J150" t="n">
        <v>0</v>
      </c>
      <c r="K150" t="n">
        <v>0</v>
      </c>
      <c r="L150" t="n">
        <v>0</v>
      </c>
      <c r="M150" t="n">
        <v>0</v>
      </c>
      <c r="N150" t="n">
        <v>0</v>
      </c>
      <c r="O150" t="n">
        <v>0</v>
      </c>
      <c r="P150" t="n">
        <v>0</v>
      </c>
      <c r="Q150" t="n">
        <v>1</v>
      </c>
      <c r="R150" s="2" t="inlineStr">
        <is>
          <t>Vit skogslilja</t>
        </is>
      </c>
      <c r="S150">
        <f>HYPERLINK("https://klasma.github.io/Logging_0980/artfynd/A 17723-2021 artfynd.xlsx", "A 17723-2021")</f>
        <v/>
      </c>
      <c r="T150">
        <f>HYPERLINK("https://klasma.github.io/Logging_0980/kartor/A 17723-2021 karta.png", "A 17723-2021")</f>
        <v/>
      </c>
      <c r="V150">
        <f>HYPERLINK("https://klasma.github.io/Logging_0980/klagomål/A 17723-2021 FSC-klagomål.docx", "A 17723-2021")</f>
        <v/>
      </c>
      <c r="W150">
        <f>HYPERLINK("https://klasma.github.io/Logging_0980/klagomålsmail/A 17723-2021 FSC-klagomål mail.docx", "A 17723-2021")</f>
        <v/>
      </c>
      <c r="X150">
        <f>HYPERLINK("https://klasma.github.io/Logging_0980/tillsyn/A 17723-2021 tillsynsbegäran.docx", "A 17723-2021")</f>
        <v/>
      </c>
      <c r="Y150">
        <f>HYPERLINK("https://klasma.github.io/Logging_0980/tillsynsmail/A 17723-2021 tillsynsbegäran mail.docx", "A 17723-2021")</f>
        <v/>
      </c>
    </row>
    <row r="151" ht="15" customHeight="1">
      <c r="A151" t="inlineStr">
        <is>
          <t>A 35467-2021</t>
        </is>
      </c>
      <c r="B151" s="1" t="n">
        <v>44385</v>
      </c>
      <c r="C151" s="1" t="n">
        <v>46019</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44619-2025</t>
        </is>
      </c>
      <c r="B152" s="1" t="n">
        <v>45917</v>
      </c>
      <c r="C152" s="1" t="n">
        <v>46019</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6303-2024</t>
        </is>
      </c>
      <c r="B153" s="1" t="n">
        <v>45338.35376157407</v>
      </c>
      <c r="C153" s="1" t="n">
        <v>46019</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46019</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25977-2024</t>
        </is>
      </c>
      <c r="B155" s="1" t="n">
        <v>45467.69356481481</v>
      </c>
      <c r="C155" s="1" t="n">
        <v>46019</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46019</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9862-2024</t>
        </is>
      </c>
      <c r="B157" s="1" t="n">
        <v>45363</v>
      </c>
      <c r="C157" s="1" t="n">
        <v>46019</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34141-2024</t>
        </is>
      </c>
      <c r="B158" s="1" t="n">
        <v>45524.36229166666</v>
      </c>
      <c r="C158" s="1" t="n">
        <v>46019</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65927-2021</t>
        </is>
      </c>
      <c r="B159" s="1" t="n">
        <v>44516</v>
      </c>
      <c r="C159" s="1" t="n">
        <v>46019</v>
      </c>
      <c r="D159" t="inlineStr">
        <is>
          <t>GOTLANDS LÄN</t>
        </is>
      </c>
      <c r="E159" t="inlineStr">
        <is>
          <t>GOTLAND</t>
        </is>
      </c>
      <c r="G159" t="n">
        <v>3.1</v>
      </c>
      <c r="H159" t="n">
        <v>1</v>
      </c>
      <c r="I159" t="n">
        <v>0</v>
      </c>
      <c r="J159" t="n">
        <v>0</v>
      </c>
      <c r="K159" t="n">
        <v>1</v>
      </c>
      <c r="L159" t="n">
        <v>0</v>
      </c>
      <c r="M159" t="n">
        <v>0</v>
      </c>
      <c r="N159" t="n">
        <v>0</v>
      </c>
      <c r="O159" t="n">
        <v>1</v>
      </c>
      <c r="P159" t="n">
        <v>1</v>
      </c>
      <c r="Q159" t="n">
        <v>1</v>
      </c>
      <c r="R159" s="2" t="inlineStr">
        <is>
          <t>Grenigt kungsljus</t>
        </is>
      </c>
      <c r="S159">
        <f>HYPERLINK("https://klasma.github.io/Logging_0980/artfynd/A 65927-2021 artfynd.xlsx", "A 65927-2021")</f>
        <v/>
      </c>
      <c r="T159">
        <f>HYPERLINK("https://klasma.github.io/Logging_0980/kartor/A 65927-2021 karta.png", "A 65927-2021")</f>
        <v/>
      </c>
      <c r="V159">
        <f>HYPERLINK("https://klasma.github.io/Logging_0980/klagomål/A 65927-2021 FSC-klagomål.docx", "A 65927-2021")</f>
        <v/>
      </c>
      <c r="W159">
        <f>HYPERLINK("https://klasma.github.io/Logging_0980/klagomålsmail/A 65927-2021 FSC-klagomål mail.docx", "A 65927-2021")</f>
        <v/>
      </c>
      <c r="X159">
        <f>HYPERLINK("https://klasma.github.io/Logging_0980/tillsyn/A 65927-2021 tillsynsbegäran.docx", "A 65927-2021")</f>
        <v/>
      </c>
      <c r="Y159">
        <f>HYPERLINK("https://klasma.github.io/Logging_0980/tillsynsmail/A 65927-2021 tillsynsbegäran mail.docx", "A 65927-2021")</f>
        <v/>
      </c>
    </row>
    <row r="160" ht="15" customHeight="1">
      <c r="A160" t="inlineStr">
        <is>
          <t>A 947-2023</t>
        </is>
      </c>
      <c r="B160" s="1" t="n">
        <v>44934</v>
      </c>
      <c r="C160" s="1" t="n">
        <v>46019</v>
      </c>
      <c r="D160" t="inlineStr">
        <is>
          <t>GOTLANDS LÄN</t>
        </is>
      </c>
      <c r="E160" t="inlineStr">
        <is>
          <t>GOTLAND</t>
        </is>
      </c>
      <c r="G160" t="n">
        <v>0.7</v>
      </c>
      <c r="H160" t="n">
        <v>1</v>
      </c>
      <c r="I160" t="n">
        <v>0</v>
      </c>
      <c r="J160" t="n">
        <v>0</v>
      </c>
      <c r="K160" t="n">
        <v>1</v>
      </c>
      <c r="L160" t="n">
        <v>0</v>
      </c>
      <c r="M160" t="n">
        <v>0</v>
      </c>
      <c r="N160" t="n">
        <v>0</v>
      </c>
      <c r="O160" t="n">
        <v>1</v>
      </c>
      <c r="P160" t="n">
        <v>1</v>
      </c>
      <c r="Q160" t="n">
        <v>1</v>
      </c>
      <c r="R160" s="2" t="inlineStr">
        <is>
          <t>Garderönn</t>
        </is>
      </c>
      <c r="S160">
        <f>HYPERLINK("https://klasma.github.io/Logging_0980/artfynd/A 947-2023 artfynd.xlsx", "A 947-2023")</f>
        <v/>
      </c>
      <c r="T160">
        <f>HYPERLINK("https://klasma.github.io/Logging_0980/kartor/A 947-2023 karta.png", "A 947-2023")</f>
        <v/>
      </c>
      <c r="V160">
        <f>HYPERLINK("https://klasma.github.io/Logging_0980/klagomål/A 947-2023 FSC-klagomål.docx", "A 947-2023")</f>
        <v/>
      </c>
      <c r="W160">
        <f>HYPERLINK("https://klasma.github.io/Logging_0980/klagomålsmail/A 947-2023 FSC-klagomål mail.docx", "A 947-2023")</f>
        <v/>
      </c>
      <c r="X160">
        <f>HYPERLINK("https://klasma.github.io/Logging_0980/tillsyn/A 947-2023 tillsynsbegäran.docx", "A 947-2023")</f>
        <v/>
      </c>
      <c r="Y160">
        <f>HYPERLINK("https://klasma.github.io/Logging_0980/tillsynsmail/A 947-2023 tillsynsbegäran mail.docx", "A 947-2023")</f>
        <v/>
      </c>
    </row>
    <row r="161" ht="15" customHeight="1">
      <c r="A161" t="inlineStr">
        <is>
          <t>A 20429-2025</t>
        </is>
      </c>
      <c r="B161" s="1" t="n">
        <v>45775.47728009259</v>
      </c>
      <c r="C161" s="1" t="n">
        <v>46019</v>
      </c>
      <c r="D161" t="inlineStr">
        <is>
          <t>GOTLANDS LÄN</t>
        </is>
      </c>
      <c r="E161" t="inlineStr">
        <is>
          <t>GOTLAND</t>
        </is>
      </c>
      <c r="G161" t="n">
        <v>1.4</v>
      </c>
      <c r="H161" t="n">
        <v>1</v>
      </c>
      <c r="I161" t="n">
        <v>0</v>
      </c>
      <c r="J161" t="n">
        <v>0</v>
      </c>
      <c r="K161" t="n">
        <v>0</v>
      </c>
      <c r="L161" t="n">
        <v>0</v>
      </c>
      <c r="M161" t="n">
        <v>0</v>
      </c>
      <c r="N161" t="n">
        <v>0</v>
      </c>
      <c r="O161" t="n">
        <v>0</v>
      </c>
      <c r="P161" t="n">
        <v>0</v>
      </c>
      <c r="Q161" t="n">
        <v>1</v>
      </c>
      <c r="R161" s="2" t="inlineStr">
        <is>
          <t>Äkta lopplummer</t>
        </is>
      </c>
      <c r="S161">
        <f>HYPERLINK("https://klasma.github.io/Logging_0980/artfynd/A 20429-2025 artfynd.xlsx", "A 20429-2025")</f>
        <v/>
      </c>
      <c r="T161">
        <f>HYPERLINK("https://klasma.github.io/Logging_0980/kartor/A 20429-2025 karta.png", "A 20429-2025")</f>
        <v/>
      </c>
      <c r="V161">
        <f>HYPERLINK("https://klasma.github.io/Logging_0980/klagomål/A 20429-2025 FSC-klagomål.docx", "A 20429-2025")</f>
        <v/>
      </c>
      <c r="W161">
        <f>HYPERLINK("https://klasma.github.io/Logging_0980/klagomålsmail/A 20429-2025 FSC-klagomål mail.docx", "A 20429-2025")</f>
        <v/>
      </c>
      <c r="X161">
        <f>HYPERLINK("https://klasma.github.io/Logging_0980/tillsyn/A 20429-2025 tillsynsbegäran.docx", "A 20429-2025")</f>
        <v/>
      </c>
      <c r="Y161">
        <f>HYPERLINK("https://klasma.github.io/Logging_0980/tillsynsmail/A 20429-2025 tillsynsbegäran mail.docx", "A 20429-2025")</f>
        <v/>
      </c>
    </row>
    <row r="162" ht="15" customHeight="1">
      <c r="A162" t="inlineStr">
        <is>
          <t>A 49726-2025</t>
        </is>
      </c>
      <c r="B162" s="1" t="n">
        <v>45939.84466435185</v>
      </c>
      <c r="C162" s="1" t="n">
        <v>46019</v>
      </c>
      <c r="D162" t="inlineStr">
        <is>
          <t>GOTLANDS LÄN</t>
        </is>
      </c>
      <c r="E162" t="inlineStr">
        <is>
          <t>GOTLAND</t>
        </is>
      </c>
      <c r="F162" t="inlineStr">
        <is>
          <t>Kyrkan</t>
        </is>
      </c>
      <c r="G162" t="n">
        <v>5.4</v>
      </c>
      <c r="H162" t="n">
        <v>0</v>
      </c>
      <c r="I162" t="n">
        <v>0</v>
      </c>
      <c r="J162" t="n">
        <v>1</v>
      </c>
      <c r="K162" t="n">
        <v>0</v>
      </c>
      <c r="L162" t="n">
        <v>0</v>
      </c>
      <c r="M162" t="n">
        <v>0</v>
      </c>
      <c r="N162" t="n">
        <v>0</v>
      </c>
      <c r="O162" t="n">
        <v>1</v>
      </c>
      <c r="P162" t="n">
        <v>0</v>
      </c>
      <c r="Q162" t="n">
        <v>1</v>
      </c>
      <c r="R162" s="2" t="inlineStr">
        <is>
          <t>Odörspindling</t>
        </is>
      </c>
      <c r="S162">
        <f>HYPERLINK("https://klasma.github.io/Logging_0980/artfynd/A 49726-2025 artfynd.xlsx", "A 49726-2025")</f>
        <v/>
      </c>
      <c r="T162">
        <f>HYPERLINK("https://klasma.github.io/Logging_0980/kartor/A 49726-2025 karta.png", "A 49726-2025")</f>
        <v/>
      </c>
      <c r="V162">
        <f>HYPERLINK("https://klasma.github.io/Logging_0980/klagomål/A 49726-2025 FSC-klagomål.docx", "A 49726-2025")</f>
        <v/>
      </c>
      <c r="W162">
        <f>HYPERLINK("https://klasma.github.io/Logging_0980/klagomålsmail/A 49726-2025 FSC-klagomål mail.docx", "A 49726-2025")</f>
        <v/>
      </c>
      <c r="X162">
        <f>HYPERLINK("https://klasma.github.io/Logging_0980/tillsyn/A 49726-2025 tillsynsbegäran.docx", "A 49726-2025")</f>
        <v/>
      </c>
      <c r="Y162">
        <f>HYPERLINK("https://klasma.github.io/Logging_0980/tillsynsmail/A 49726-2025 tillsynsbegäran mail.docx", "A 49726-2025")</f>
        <v/>
      </c>
    </row>
    <row r="163" ht="15" customHeight="1">
      <c r="A163" t="inlineStr">
        <is>
          <t>A 61561-2023</t>
        </is>
      </c>
      <c r="B163" s="1" t="n">
        <v>45265</v>
      </c>
      <c r="C163" s="1" t="n">
        <v>46019</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12924-2025</t>
        </is>
      </c>
      <c r="B164" s="1" t="n">
        <v>45734</v>
      </c>
      <c r="C164" s="1" t="n">
        <v>46019</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13939-2021</t>
        </is>
      </c>
      <c r="B165" s="1" t="n">
        <v>44277</v>
      </c>
      <c r="C165" s="1" t="n">
        <v>46019</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46019</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2476-2025</t>
        </is>
      </c>
      <c r="B167" s="1" t="n">
        <v>45673</v>
      </c>
      <c r="C167" s="1" t="n">
        <v>46019</v>
      </c>
      <c r="D167" t="inlineStr">
        <is>
          <t>GOTLANDS LÄN</t>
        </is>
      </c>
      <c r="E167" t="inlineStr">
        <is>
          <t>GOTLAND</t>
        </is>
      </c>
      <c r="G167" t="n">
        <v>3.1</v>
      </c>
      <c r="H167" t="n">
        <v>0</v>
      </c>
      <c r="I167" t="n">
        <v>1</v>
      </c>
      <c r="J167" t="n">
        <v>0</v>
      </c>
      <c r="K167" t="n">
        <v>0</v>
      </c>
      <c r="L167" t="n">
        <v>0</v>
      </c>
      <c r="M167" t="n">
        <v>0</v>
      </c>
      <c r="N167" t="n">
        <v>0</v>
      </c>
      <c r="O167" t="n">
        <v>0</v>
      </c>
      <c r="P167" t="n">
        <v>0</v>
      </c>
      <c r="Q167" t="n">
        <v>1</v>
      </c>
      <c r="R167" s="2" t="inlineStr">
        <is>
          <t>Kryddspindling</t>
        </is>
      </c>
      <c r="S167">
        <f>HYPERLINK("https://klasma.github.io/Logging_0980/artfynd/A 2476-2025 artfynd.xlsx", "A 2476-2025")</f>
        <v/>
      </c>
      <c r="T167">
        <f>HYPERLINK("https://klasma.github.io/Logging_0980/kartor/A 2476-2025 karta.png", "A 2476-2025")</f>
        <v/>
      </c>
      <c r="V167">
        <f>HYPERLINK("https://klasma.github.io/Logging_0980/klagomål/A 2476-2025 FSC-klagomål.docx", "A 2476-2025")</f>
        <v/>
      </c>
      <c r="W167">
        <f>HYPERLINK("https://klasma.github.io/Logging_0980/klagomålsmail/A 2476-2025 FSC-klagomål mail.docx", "A 2476-2025")</f>
        <v/>
      </c>
      <c r="X167">
        <f>HYPERLINK("https://klasma.github.io/Logging_0980/tillsyn/A 2476-2025 tillsynsbegäran.docx", "A 2476-2025")</f>
        <v/>
      </c>
      <c r="Y167">
        <f>HYPERLINK("https://klasma.github.io/Logging_0980/tillsynsmail/A 2476-2025 tillsynsbegäran mail.docx", "A 2476-2025")</f>
        <v/>
      </c>
    </row>
    <row r="168" ht="15" customHeight="1">
      <c r="A168" t="inlineStr">
        <is>
          <t>A 44304-2021</t>
        </is>
      </c>
      <c r="B168" s="1" t="n">
        <v>44434</v>
      </c>
      <c r="C168" s="1" t="n">
        <v>46019</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Svinrot</t>
        </is>
      </c>
      <c r="S168">
        <f>HYPERLINK("https://klasma.github.io/Logging_0980/artfynd/A 44304-2021 artfynd.xlsx", "A 44304-2021")</f>
        <v/>
      </c>
      <c r="T168">
        <f>HYPERLINK("https://klasma.github.io/Logging_0980/kartor/A 44304-2021 karta.png", "A 44304-2021")</f>
        <v/>
      </c>
      <c r="V168">
        <f>HYPERLINK("https://klasma.github.io/Logging_0980/klagomål/A 44304-2021 FSC-klagomål.docx", "A 44304-2021")</f>
        <v/>
      </c>
      <c r="W168">
        <f>HYPERLINK("https://klasma.github.io/Logging_0980/klagomålsmail/A 44304-2021 FSC-klagomål mail.docx", "A 44304-2021")</f>
        <v/>
      </c>
      <c r="X168">
        <f>HYPERLINK("https://klasma.github.io/Logging_0980/tillsyn/A 44304-2021 tillsynsbegäran.docx", "A 44304-2021")</f>
        <v/>
      </c>
      <c r="Y168">
        <f>HYPERLINK("https://klasma.github.io/Logging_0980/tillsynsmail/A 44304-2021 tillsynsbegäran mail.docx", "A 44304-2021")</f>
        <v/>
      </c>
    </row>
    <row r="169" ht="15" customHeight="1">
      <c r="A169" t="inlineStr">
        <is>
          <t>A 447-2023</t>
        </is>
      </c>
      <c r="B169" s="1" t="n">
        <v>44929</v>
      </c>
      <c r="C169" s="1" t="n">
        <v>46019</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63149-2025</t>
        </is>
      </c>
      <c r="B170" s="1" t="n">
        <v>46010.35664351852</v>
      </c>
      <c r="C170" s="1" t="n">
        <v>46019</v>
      </c>
      <c r="D170" t="inlineStr">
        <is>
          <t>GOTLANDS LÄN</t>
        </is>
      </c>
      <c r="E170" t="inlineStr">
        <is>
          <t>GOTLAND</t>
        </is>
      </c>
      <c r="G170" t="n">
        <v>4.3</v>
      </c>
      <c r="H170" t="n">
        <v>0</v>
      </c>
      <c r="I170" t="n">
        <v>1</v>
      </c>
      <c r="J170" t="n">
        <v>0</v>
      </c>
      <c r="K170" t="n">
        <v>0</v>
      </c>
      <c r="L170" t="n">
        <v>0</v>
      </c>
      <c r="M170" t="n">
        <v>0</v>
      </c>
      <c r="N170" t="n">
        <v>0</v>
      </c>
      <c r="O170" t="n">
        <v>0</v>
      </c>
      <c r="P170" t="n">
        <v>0</v>
      </c>
      <c r="Q170" t="n">
        <v>1</v>
      </c>
      <c r="R170" s="2" t="inlineStr">
        <is>
          <t>Anisspindling</t>
        </is>
      </c>
      <c r="S170">
        <f>HYPERLINK("https://klasma.github.io/Logging_0980/artfynd/A 63149-2025 artfynd.xlsx", "A 63149-2025")</f>
        <v/>
      </c>
      <c r="T170">
        <f>HYPERLINK("https://klasma.github.io/Logging_0980/kartor/A 63149-2025 karta.png", "A 63149-2025")</f>
        <v/>
      </c>
      <c r="V170">
        <f>HYPERLINK("https://klasma.github.io/Logging_0980/klagomål/A 63149-2025 FSC-klagomål.docx", "A 63149-2025")</f>
        <v/>
      </c>
      <c r="W170">
        <f>HYPERLINK("https://klasma.github.io/Logging_0980/klagomålsmail/A 63149-2025 FSC-klagomål mail.docx", "A 63149-2025")</f>
        <v/>
      </c>
      <c r="X170">
        <f>HYPERLINK("https://klasma.github.io/Logging_0980/tillsyn/A 63149-2025 tillsynsbegäran.docx", "A 63149-2025")</f>
        <v/>
      </c>
      <c r="Y170">
        <f>HYPERLINK("https://klasma.github.io/Logging_0980/tillsynsmail/A 63149-2025 tillsynsbegäran mail.docx", "A 63149-2025")</f>
        <v/>
      </c>
    </row>
    <row r="171" ht="15" customHeight="1">
      <c r="A171" t="inlineStr">
        <is>
          <t>A 34809-2024</t>
        </is>
      </c>
      <c r="B171" s="1" t="n">
        <v>45526</v>
      </c>
      <c r="C171" s="1" t="n">
        <v>46019</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46019</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46019</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46019</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46019</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46019</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46019</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46019</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46019</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46019</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46019</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46019</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46019</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46019</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46019</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46019</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46019</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46019</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19901-2021</t>
        </is>
      </c>
      <c r="B189" s="1" t="n">
        <v>44312</v>
      </c>
      <c r="C189" s="1" t="n">
        <v>46019</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46019</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46019</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46019</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46019</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46019</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46019</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46019</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46019</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46019</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46019</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46019</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46019</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46019</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46019</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46019</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46019</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46019</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46019</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46019</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46019</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46019</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46019</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46019</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46019</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46019</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46019</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46019</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46019</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46019</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46019</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46019</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46019</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46019</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46019</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46019</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46019</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46019</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46019</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46019</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46019</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46019</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46019</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1229-2021</t>
        </is>
      </c>
      <c r="B232" s="1" t="n">
        <v>44208</v>
      </c>
      <c r="C232" s="1" t="n">
        <v>46019</v>
      </c>
      <c r="D232" t="inlineStr">
        <is>
          <t>GOTLANDS LÄN</t>
        </is>
      </c>
      <c r="E232" t="inlineStr">
        <is>
          <t>GOTLAND</t>
        </is>
      </c>
      <c r="G232" t="n">
        <v>5.3</v>
      </c>
      <c r="H232" t="n">
        <v>0</v>
      </c>
      <c r="I232" t="n">
        <v>0</v>
      </c>
      <c r="J232" t="n">
        <v>0</v>
      </c>
      <c r="K232" t="n">
        <v>0</v>
      </c>
      <c r="L232" t="n">
        <v>0</v>
      </c>
      <c r="M232" t="n">
        <v>0</v>
      </c>
      <c r="N232" t="n">
        <v>0</v>
      </c>
      <c r="O232" t="n">
        <v>0</v>
      </c>
      <c r="P232" t="n">
        <v>0</v>
      </c>
      <c r="Q232" t="n">
        <v>0</v>
      </c>
      <c r="R232" s="2" t="inlineStr"/>
    </row>
    <row r="233" ht="15" customHeight="1">
      <c r="A233" t="inlineStr">
        <is>
          <t>A 3271-2021</t>
        </is>
      </c>
      <c r="B233" s="1" t="n">
        <v>44217</v>
      </c>
      <c r="C233" s="1" t="n">
        <v>46019</v>
      </c>
      <c r="D233" t="inlineStr">
        <is>
          <t>GOTLANDS LÄN</t>
        </is>
      </c>
      <c r="E233" t="inlineStr">
        <is>
          <t>GOTLAND</t>
        </is>
      </c>
      <c r="G233" t="n">
        <v>0.7</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46019</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56951-2021</t>
        </is>
      </c>
      <c r="B235" s="1" t="n">
        <v>44482.37388888889</v>
      </c>
      <c r="C235" s="1" t="n">
        <v>46019</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13498-2022</t>
        </is>
      </c>
      <c r="B236" s="1" t="n">
        <v>44647.78866898148</v>
      </c>
      <c r="C236" s="1" t="n">
        <v>46019</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13500-2022</t>
        </is>
      </c>
      <c r="B237" s="1" t="n">
        <v>44647.79513888889</v>
      </c>
      <c r="C237" s="1" t="n">
        <v>46019</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21507-2021</t>
        </is>
      </c>
      <c r="B238" s="1" t="n">
        <v>44321</v>
      </c>
      <c r="C238" s="1" t="n">
        <v>46019</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57219-2021</t>
        </is>
      </c>
      <c r="B239" s="1" t="n">
        <v>44483</v>
      </c>
      <c r="C239" s="1" t="n">
        <v>46019</v>
      </c>
      <c r="D239" t="inlineStr">
        <is>
          <t>GOTLANDS LÄN</t>
        </is>
      </c>
      <c r="E239" t="inlineStr">
        <is>
          <t>GOTLAND</t>
        </is>
      </c>
      <c r="F239" t="inlineStr">
        <is>
          <t>Kyrkan</t>
        </is>
      </c>
      <c r="G239" t="n">
        <v>4</v>
      </c>
      <c r="H239" t="n">
        <v>0</v>
      </c>
      <c r="I239" t="n">
        <v>0</v>
      </c>
      <c r="J239" t="n">
        <v>0</v>
      </c>
      <c r="K239" t="n">
        <v>0</v>
      </c>
      <c r="L239" t="n">
        <v>0</v>
      </c>
      <c r="M239" t="n">
        <v>0</v>
      </c>
      <c r="N239" t="n">
        <v>0</v>
      </c>
      <c r="O239" t="n">
        <v>0</v>
      </c>
      <c r="P239" t="n">
        <v>0</v>
      </c>
      <c r="Q239" t="n">
        <v>0</v>
      </c>
      <c r="R239" s="2" t="inlineStr"/>
    </row>
    <row r="240" ht="15" customHeight="1">
      <c r="A240" t="inlineStr">
        <is>
          <t>A 17901-2023</t>
        </is>
      </c>
      <c r="B240" s="1" t="n">
        <v>45039</v>
      </c>
      <c r="C240" s="1" t="n">
        <v>46019</v>
      </c>
      <c r="D240" t="inlineStr">
        <is>
          <t>GOTLANDS LÄN</t>
        </is>
      </c>
      <c r="E240" t="inlineStr">
        <is>
          <t>GOTLAND</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46019</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58476-2022</t>
        </is>
      </c>
      <c r="B242" s="1" t="n">
        <v>44902</v>
      </c>
      <c r="C242" s="1" t="n">
        <v>46019</v>
      </c>
      <c r="D242" t="inlineStr">
        <is>
          <t>GOTLANDS LÄN</t>
        </is>
      </c>
      <c r="E242" t="inlineStr">
        <is>
          <t>GOTLAND</t>
        </is>
      </c>
      <c r="G242" t="n">
        <v>0.9</v>
      </c>
      <c r="H242" t="n">
        <v>0</v>
      </c>
      <c r="I242" t="n">
        <v>0</v>
      </c>
      <c r="J242" t="n">
        <v>0</v>
      </c>
      <c r="K242" t="n">
        <v>0</v>
      </c>
      <c r="L242" t="n">
        <v>0</v>
      </c>
      <c r="M242" t="n">
        <v>0</v>
      </c>
      <c r="N242" t="n">
        <v>0</v>
      </c>
      <c r="O242" t="n">
        <v>0</v>
      </c>
      <c r="P242" t="n">
        <v>0</v>
      </c>
      <c r="Q242" t="n">
        <v>0</v>
      </c>
      <c r="R242" s="2" t="inlineStr"/>
    </row>
    <row r="243" ht="15" customHeight="1">
      <c r="A243" t="inlineStr">
        <is>
          <t>A 63229-2021</t>
        </is>
      </c>
      <c r="B243" s="1" t="n">
        <v>44508.34518518519</v>
      </c>
      <c r="C243" s="1" t="n">
        <v>46019</v>
      </c>
      <c r="D243" t="inlineStr">
        <is>
          <t>GOTLANDS LÄN</t>
        </is>
      </c>
      <c r="E243" t="inlineStr">
        <is>
          <t>GOTLAND</t>
        </is>
      </c>
      <c r="F243" t="inlineStr">
        <is>
          <t>Kyrkan</t>
        </is>
      </c>
      <c r="G243" t="n">
        <v>3.8</v>
      </c>
      <c r="H243" t="n">
        <v>0</v>
      </c>
      <c r="I243" t="n">
        <v>0</v>
      </c>
      <c r="J243" t="n">
        <v>0</v>
      </c>
      <c r="K243" t="n">
        <v>0</v>
      </c>
      <c r="L243" t="n">
        <v>0</v>
      </c>
      <c r="M243" t="n">
        <v>0</v>
      </c>
      <c r="N243" t="n">
        <v>0</v>
      </c>
      <c r="O243" t="n">
        <v>0</v>
      </c>
      <c r="P243" t="n">
        <v>0</v>
      </c>
      <c r="Q243" t="n">
        <v>0</v>
      </c>
      <c r="R243" s="2" t="inlineStr"/>
    </row>
    <row r="244" ht="15" customHeight="1">
      <c r="A244" t="inlineStr">
        <is>
          <t>A 61596-2023</t>
        </is>
      </c>
      <c r="B244" s="1" t="n">
        <v>45265</v>
      </c>
      <c r="C244" s="1" t="n">
        <v>46019</v>
      </c>
      <c r="D244" t="inlineStr">
        <is>
          <t>GOTLANDS LÄN</t>
        </is>
      </c>
      <c r="E244" t="inlineStr">
        <is>
          <t>GOTLAND</t>
        </is>
      </c>
      <c r="G244" t="n">
        <v>1.7</v>
      </c>
      <c r="H244" t="n">
        <v>0</v>
      </c>
      <c r="I244" t="n">
        <v>0</v>
      </c>
      <c r="J244" t="n">
        <v>0</v>
      </c>
      <c r="K244" t="n">
        <v>0</v>
      </c>
      <c r="L244" t="n">
        <v>0</v>
      </c>
      <c r="M244" t="n">
        <v>0</v>
      </c>
      <c r="N244" t="n">
        <v>0</v>
      </c>
      <c r="O244" t="n">
        <v>0</v>
      </c>
      <c r="P244" t="n">
        <v>0</v>
      </c>
      <c r="Q244" t="n">
        <v>0</v>
      </c>
      <c r="R244" s="2" t="inlineStr"/>
    </row>
    <row r="245" ht="15" customHeight="1">
      <c r="A245" t="inlineStr">
        <is>
          <t>A 873-2024</t>
        </is>
      </c>
      <c r="B245" s="1" t="n">
        <v>45301</v>
      </c>
      <c r="C245" s="1" t="n">
        <v>46019</v>
      </c>
      <c r="D245" t="inlineStr">
        <is>
          <t>GOTLANDS LÄN</t>
        </is>
      </c>
      <c r="E245" t="inlineStr">
        <is>
          <t>GOTLAND</t>
        </is>
      </c>
      <c r="G245" t="n">
        <v>2.7</v>
      </c>
      <c r="H245" t="n">
        <v>0</v>
      </c>
      <c r="I245" t="n">
        <v>0</v>
      </c>
      <c r="J245" t="n">
        <v>0</v>
      </c>
      <c r="K245" t="n">
        <v>0</v>
      </c>
      <c r="L245" t="n">
        <v>0</v>
      </c>
      <c r="M245" t="n">
        <v>0</v>
      </c>
      <c r="N245" t="n">
        <v>0</v>
      </c>
      <c r="O245" t="n">
        <v>0</v>
      </c>
      <c r="P245" t="n">
        <v>0</v>
      </c>
      <c r="Q245" t="n">
        <v>0</v>
      </c>
      <c r="R245" s="2" t="inlineStr"/>
    </row>
    <row r="246" ht="15" customHeight="1">
      <c r="A246" t="inlineStr">
        <is>
          <t>A 44228-2022</t>
        </is>
      </c>
      <c r="B246" s="1" t="n">
        <v>44839.51599537037</v>
      </c>
      <c r="C246" s="1" t="n">
        <v>46019</v>
      </c>
      <c r="D246" t="inlineStr">
        <is>
          <t>GOTLANDS LÄN</t>
        </is>
      </c>
      <c r="E246" t="inlineStr">
        <is>
          <t>GOTLAND</t>
        </is>
      </c>
      <c r="G246" t="n">
        <v>2.1</v>
      </c>
      <c r="H246" t="n">
        <v>0</v>
      </c>
      <c r="I246" t="n">
        <v>0</v>
      </c>
      <c r="J246" t="n">
        <v>0</v>
      </c>
      <c r="K246" t="n">
        <v>0</v>
      </c>
      <c r="L246" t="n">
        <v>0</v>
      </c>
      <c r="M246" t="n">
        <v>0</v>
      </c>
      <c r="N246" t="n">
        <v>0</v>
      </c>
      <c r="O246" t="n">
        <v>0</v>
      </c>
      <c r="P246" t="n">
        <v>0</v>
      </c>
      <c r="Q246" t="n">
        <v>0</v>
      </c>
      <c r="R246" s="2" t="inlineStr"/>
    </row>
    <row r="247" ht="15" customHeight="1">
      <c r="A247" t="inlineStr">
        <is>
          <t>A 27593-2023</t>
        </is>
      </c>
      <c r="B247" s="1" t="n">
        <v>45097</v>
      </c>
      <c r="C247" s="1" t="n">
        <v>46019</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25129-2023</t>
        </is>
      </c>
      <c r="B248" s="1" t="n">
        <v>45086.44261574074</v>
      </c>
      <c r="C248" s="1" t="n">
        <v>46019</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61386-2023</t>
        </is>
      </c>
      <c r="B249" s="1" t="n">
        <v>45264</v>
      </c>
      <c r="C249" s="1" t="n">
        <v>46019</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45106-2024</t>
        </is>
      </c>
      <c r="B250" s="1" t="n">
        <v>45575</v>
      </c>
      <c r="C250" s="1" t="n">
        <v>46019</v>
      </c>
      <c r="D250" t="inlineStr">
        <is>
          <t>GOTLANDS LÄN</t>
        </is>
      </c>
      <c r="E250" t="inlineStr">
        <is>
          <t>GOTLAND</t>
        </is>
      </c>
      <c r="G250" t="n">
        <v>10</v>
      </c>
      <c r="H250" t="n">
        <v>0</v>
      </c>
      <c r="I250" t="n">
        <v>0</v>
      </c>
      <c r="J250" t="n">
        <v>0</v>
      </c>
      <c r="K250" t="n">
        <v>0</v>
      </c>
      <c r="L250" t="n">
        <v>0</v>
      </c>
      <c r="M250" t="n">
        <v>0</v>
      </c>
      <c r="N250" t="n">
        <v>0</v>
      </c>
      <c r="O250" t="n">
        <v>0</v>
      </c>
      <c r="P250" t="n">
        <v>0</v>
      </c>
      <c r="Q250" t="n">
        <v>0</v>
      </c>
      <c r="R250" s="2" t="inlineStr"/>
    </row>
    <row r="251" ht="15" customHeight="1">
      <c r="A251" t="inlineStr">
        <is>
          <t>A 45112-2024</t>
        </is>
      </c>
      <c r="B251" s="1" t="n">
        <v>45575</v>
      </c>
      <c r="C251" s="1" t="n">
        <v>46019</v>
      </c>
      <c r="D251" t="inlineStr">
        <is>
          <t>GOTLANDS LÄN</t>
        </is>
      </c>
      <c r="E251" t="inlineStr">
        <is>
          <t>GOTLAND</t>
        </is>
      </c>
      <c r="G251" t="n">
        <v>5.1</v>
      </c>
      <c r="H251" t="n">
        <v>0</v>
      </c>
      <c r="I251" t="n">
        <v>0</v>
      </c>
      <c r="J251" t="n">
        <v>0</v>
      </c>
      <c r="K251" t="n">
        <v>0</v>
      </c>
      <c r="L251" t="n">
        <v>0</v>
      </c>
      <c r="M251" t="n">
        <v>0</v>
      </c>
      <c r="N251" t="n">
        <v>0</v>
      </c>
      <c r="O251" t="n">
        <v>0</v>
      </c>
      <c r="P251" t="n">
        <v>0</v>
      </c>
      <c r="Q251" t="n">
        <v>0</v>
      </c>
      <c r="R251" s="2" t="inlineStr"/>
    </row>
    <row r="252" ht="15" customHeight="1">
      <c r="A252" t="inlineStr">
        <is>
          <t>A 3964-2024</t>
        </is>
      </c>
      <c r="B252" s="1" t="n">
        <v>45322</v>
      </c>
      <c r="C252" s="1" t="n">
        <v>46019</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49874-2024</t>
        </is>
      </c>
      <c r="B253" s="1" t="n">
        <v>45597.49274305555</v>
      </c>
      <c r="C253" s="1" t="n">
        <v>46019</v>
      </c>
      <c r="D253" t="inlineStr">
        <is>
          <t>GOTLANDS LÄN</t>
        </is>
      </c>
      <c r="E253" t="inlineStr">
        <is>
          <t>GOTLAND</t>
        </is>
      </c>
      <c r="G253" t="n">
        <v>1.1</v>
      </c>
      <c r="H253" t="n">
        <v>0</v>
      </c>
      <c r="I253" t="n">
        <v>0</v>
      </c>
      <c r="J253" t="n">
        <v>0</v>
      </c>
      <c r="K253" t="n">
        <v>0</v>
      </c>
      <c r="L253" t="n">
        <v>0</v>
      </c>
      <c r="M253" t="n">
        <v>0</v>
      </c>
      <c r="N253" t="n">
        <v>0</v>
      </c>
      <c r="O253" t="n">
        <v>0</v>
      </c>
      <c r="P253" t="n">
        <v>0</v>
      </c>
      <c r="Q253" t="n">
        <v>0</v>
      </c>
      <c r="R253" s="2" t="inlineStr"/>
    </row>
    <row r="254" ht="15" customHeight="1">
      <c r="A254" t="inlineStr">
        <is>
          <t>A 7026-2023</t>
        </is>
      </c>
      <c r="B254" s="1" t="n">
        <v>44968.30340277778</v>
      </c>
      <c r="C254" s="1" t="n">
        <v>46019</v>
      </c>
      <c r="D254" t="inlineStr">
        <is>
          <t>GOTLANDS LÄN</t>
        </is>
      </c>
      <c r="E254" t="inlineStr">
        <is>
          <t>GOTLAND</t>
        </is>
      </c>
      <c r="G254" t="n">
        <v>2.9</v>
      </c>
      <c r="H254" t="n">
        <v>0</v>
      </c>
      <c r="I254" t="n">
        <v>0</v>
      </c>
      <c r="J254" t="n">
        <v>0</v>
      </c>
      <c r="K254" t="n">
        <v>0</v>
      </c>
      <c r="L254" t="n">
        <v>0</v>
      </c>
      <c r="M254" t="n">
        <v>0</v>
      </c>
      <c r="N254" t="n">
        <v>0</v>
      </c>
      <c r="O254" t="n">
        <v>0</v>
      </c>
      <c r="P254" t="n">
        <v>0</v>
      </c>
      <c r="Q254" t="n">
        <v>0</v>
      </c>
      <c r="R254" s="2" t="inlineStr"/>
    </row>
    <row r="255" ht="15" customHeight="1">
      <c r="A255" t="inlineStr">
        <is>
          <t>A 52892-2021</t>
        </is>
      </c>
      <c r="B255" s="1" t="n">
        <v>44467.49048611111</v>
      </c>
      <c r="C255" s="1" t="n">
        <v>46019</v>
      </c>
      <c r="D255" t="inlineStr">
        <is>
          <t>GOTLANDS LÄN</t>
        </is>
      </c>
      <c r="E255" t="inlineStr">
        <is>
          <t>GOTLAND</t>
        </is>
      </c>
      <c r="G255" t="n">
        <v>2</v>
      </c>
      <c r="H255" t="n">
        <v>0</v>
      </c>
      <c r="I255" t="n">
        <v>0</v>
      </c>
      <c r="J255" t="n">
        <v>0</v>
      </c>
      <c r="K255" t="n">
        <v>0</v>
      </c>
      <c r="L255" t="n">
        <v>0</v>
      </c>
      <c r="M255" t="n">
        <v>0</v>
      </c>
      <c r="N255" t="n">
        <v>0</v>
      </c>
      <c r="O255" t="n">
        <v>0</v>
      </c>
      <c r="P255" t="n">
        <v>0</v>
      </c>
      <c r="Q255" t="n">
        <v>0</v>
      </c>
      <c r="R255" s="2" t="inlineStr"/>
    </row>
    <row r="256" ht="15" customHeight="1">
      <c r="A256" t="inlineStr">
        <is>
          <t>A 1351-2025</t>
        </is>
      </c>
      <c r="B256" s="1" t="n">
        <v>45667.62246527777</v>
      </c>
      <c r="C256" s="1" t="n">
        <v>46019</v>
      </c>
      <c r="D256" t="inlineStr">
        <is>
          <t>GOTLANDS LÄN</t>
        </is>
      </c>
      <c r="E256" t="inlineStr">
        <is>
          <t>GOTLAND</t>
        </is>
      </c>
      <c r="G256" t="n">
        <v>1.3</v>
      </c>
      <c r="H256" t="n">
        <v>0</v>
      </c>
      <c r="I256" t="n">
        <v>0</v>
      </c>
      <c r="J256" t="n">
        <v>0</v>
      </c>
      <c r="K256" t="n">
        <v>0</v>
      </c>
      <c r="L256" t="n">
        <v>0</v>
      </c>
      <c r="M256" t="n">
        <v>0</v>
      </c>
      <c r="N256" t="n">
        <v>0</v>
      </c>
      <c r="O256" t="n">
        <v>0</v>
      </c>
      <c r="P256" t="n">
        <v>0</v>
      </c>
      <c r="Q256" t="n">
        <v>0</v>
      </c>
      <c r="R256" s="2" t="inlineStr"/>
    </row>
    <row r="257" ht="15" customHeight="1">
      <c r="A257" t="inlineStr">
        <is>
          <t>A 23188-2025</t>
        </is>
      </c>
      <c r="B257" s="1" t="n">
        <v>45791</v>
      </c>
      <c r="C257" s="1" t="n">
        <v>46019</v>
      </c>
      <c r="D257" t="inlineStr">
        <is>
          <t>GOTLANDS LÄN</t>
        </is>
      </c>
      <c r="E257" t="inlineStr">
        <is>
          <t>GOTLAND</t>
        </is>
      </c>
      <c r="G257" t="n">
        <v>6.2</v>
      </c>
      <c r="H257" t="n">
        <v>0</v>
      </c>
      <c r="I257" t="n">
        <v>0</v>
      </c>
      <c r="J257" t="n">
        <v>0</v>
      </c>
      <c r="K257" t="n">
        <v>0</v>
      </c>
      <c r="L257" t="n">
        <v>0</v>
      </c>
      <c r="M257" t="n">
        <v>0</v>
      </c>
      <c r="N257" t="n">
        <v>0</v>
      </c>
      <c r="O257" t="n">
        <v>0</v>
      </c>
      <c r="P257" t="n">
        <v>0</v>
      </c>
      <c r="Q257" t="n">
        <v>0</v>
      </c>
      <c r="R257" s="2" t="inlineStr"/>
    </row>
    <row r="258" ht="15" customHeight="1">
      <c r="A258" t="inlineStr">
        <is>
          <t>A 56009-2024</t>
        </is>
      </c>
      <c r="B258" s="1" t="n">
        <v>45623.80864583333</v>
      </c>
      <c r="C258" s="1" t="n">
        <v>46019</v>
      </c>
      <c r="D258" t="inlineStr">
        <is>
          <t>GOTLANDS LÄN</t>
        </is>
      </c>
      <c r="E258" t="inlineStr">
        <is>
          <t>GOTLAND</t>
        </is>
      </c>
      <c r="G258" t="n">
        <v>2.8</v>
      </c>
      <c r="H258" t="n">
        <v>0</v>
      </c>
      <c r="I258" t="n">
        <v>0</v>
      </c>
      <c r="J258" t="n">
        <v>0</v>
      </c>
      <c r="K258" t="n">
        <v>0</v>
      </c>
      <c r="L258" t="n">
        <v>0</v>
      </c>
      <c r="M258" t="n">
        <v>0</v>
      </c>
      <c r="N258" t="n">
        <v>0</v>
      </c>
      <c r="O258" t="n">
        <v>0</v>
      </c>
      <c r="P258" t="n">
        <v>0</v>
      </c>
      <c r="Q258" t="n">
        <v>0</v>
      </c>
      <c r="R258" s="2" t="inlineStr"/>
    </row>
    <row r="259" ht="15" customHeight="1">
      <c r="A259" t="inlineStr">
        <is>
          <t>A 54073-2022</t>
        </is>
      </c>
      <c r="B259" s="1" t="n">
        <v>44881.50380787037</v>
      </c>
      <c r="C259" s="1" t="n">
        <v>46019</v>
      </c>
      <c r="D259" t="inlineStr">
        <is>
          <t>GOTLANDS LÄN</t>
        </is>
      </c>
      <c r="E259" t="inlineStr">
        <is>
          <t>GOTLAND</t>
        </is>
      </c>
      <c r="G259" t="n">
        <v>3.8</v>
      </c>
      <c r="H259" t="n">
        <v>0</v>
      </c>
      <c r="I259" t="n">
        <v>0</v>
      </c>
      <c r="J259" t="n">
        <v>0</v>
      </c>
      <c r="K259" t="n">
        <v>0</v>
      </c>
      <c r="L259" t="n">
        <v>0</v>
      </c>
      <c r="M259" t="n">
        <v>0</v>
      </c>
      <c r="N259" t="n">
        <v>0</v>
      </c>
      <c r="O259" t="n">
        <v>0</v>
      </c>
      <c r="P259" t="n">
        <v>0</v>
      </c>
      <c r="Q259" t="n">
        <v>0</v>
      </c>
      <c r="R259" s="2" t="inlineStr"/>
    </row>
    <row r="260" ht="15" customHeight="1">
      <c r="A260" t="inlineStr">
        <is>
          <t>A 51782-2023</t>
        </is>
      </c>
      <c r="B260" s="1" t="n">
        <v>45222.80952546297</v>
      </c>
      <c r="C260" s="1" t="n">
        <v>46019</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20356-2022</t>
        </is>
      </c>
      <c r="B261" s="1" t="n">
        <v>44699</v>
      </c>
      <c r="C261" s="1" t="n">
        <v>46019</v>
      </c>
      <c r="D261" t="inlineStr">
        <is>
          <t>GOTLANDS LÄN</t>
        </is>
      </c>
      <c r="E261" t="inlineStr">
        <is>
          <t>GOTLAND</t>
        </is>
      </c>
      <c r="F261" t="inlineStr">
        <is>
          <t>Övriga Aktiebolag</t>
        </is>
      </c>
      <c r="G261" t="n">
        <v>4.4</v>
      </c>
      <c r="H261" t="n">
        <v>0</v>
      </c>
      <c r="I261" t="n">
        <v>0</v>
      </c>
      <c r="J261" t="n">
        <v>0</v>
      </c>
      <c r="K261" t="n">
        <v>0</v>
      </c>
      <c r="L261" t="n">
        <v>0</v>
      </c>
      <c r="M261" t="n">
        <v>0</v>
      </c>
      <c r="N261" t="n">
        <v>0</v>
      </c>
      <c r="O261" t="n">
        <v>0</v>
      </c>
      <c r="P261" t="n">
        <v>0</v>
      </c>
      <c r="Q261" t="n">
        <v>0</v>
      </c>
      <c r="R261" s="2" t="inlineStr"/>
    </row>
    <row r="262" ht="15" customHeight="1">
      <c r="A262" t="inlineStr">
        <is>
          <t>A 23856-2025</t>
        </is>
      </c>
      <c r="B262" s="1" t="n">
        <v>45793</v>
      </c>
      <c r="C262" s="1" t="n">
        <v>46019</v>
      </c>
      <c r="D262" t="inlineStr">
        <is>
          <t>GOTLANDS LÄN</t>
        </is>
      </c>
      <c r="E262" t="inlineStr">
        <is>
          <t>GOTLAND</t>
        </is>
      </c>
      <c r="G262" t="n">
        <v>4.4</v>
      </c>
      <c r="H262" t="n">
        <v>0</v>
      </c>
      <c r="I262" t="n">
        <v>0</v>
      </c>
      <c r="J262" t="n">
        <v>0</v>
      </c>
      <c r="K262" t="n">
        <v>0</v>
      </c>
      <c r="L262" t="n">
        <v>0</v>
      </c>
      <c r="M262" t="n">
        <v>0</v>
      </c>
      <c r="N262" t="n">
        <v>0</v>
      </c>
      <c r="O262" t="n">
        <v>0</v>
      </c>
      <c r="P262" t="n">
        <v>0</v>
      </c>
      <c r="Q262" t="n">
        <v>0</v>
      </c>
      <c r="R262" s="2" t="inlineStr"/>
    </row>
    <row r="263" ht="15" customHeight="1">
      <c r="A263" t="inlineStr">
        <is>
          <t>A 23473-2025</t>
        </is>
      </c>
      <c r="B263" s="1" t="n">
        <v>45792</v>
      </c>
      <c r="C263" s="1" t="n">
        <v>46019</v>
      </c>
      <c r="D263" t="inlineStr">
        <is>
          <t>GOTLANDS LÄN</t>
        </is>
      </c>
      <c r="E263" t="inlineStr">
        <is>
          <t>GOTLAND</t>
        </is>
      </c>
      <c r="G263" t="n">
        <v>3.6</v>
      </c>
      <c r="H263" t="n">
        <v>0</v>
      </c>
      <c r="I263" t="n">
        <v>0</v>
      </c>
      <c r="J263" t="n">
        <v>0</v>
      </c>
      <c r="K263" t="n">
        <v>0</v>
      </c>
      <c r="L263" t="n">
        <v>0</v>
      </c>
      <c r="M263" t="n">
        <v>0</v>
      </c>
      <c r="N263" t="n">
        <v>0</v>
      </c>
      <c r="O263" t="n">
        <v>0</v>
      </c>
      <c r="P263" t="n">
        <v>0</v>
      </c>
      <c r="Q263" t="n">
        <v>0</v>
      </c>
      <c r="R263" s="2" t="inlineStr"/>
    </row>
    <row r="264" ht="15" customHeight="1">
      <c r="A264" t="inlineStr">
        <is>
          <t>A 60675-2021</t>
        </is>
      </c>
      <c r="B264" s="1" t="n">
        <v>44496.64855324074</v>
      </c>
      <c r="C264" s="1" t="n">
        <v>46019</v>
      </c>
      <c r="D264" t="inlineStr">
        <is>
          <t>GOTLANDS LÄN</t>
        </is>
      </c>
      <c r="E264" t="inlineStr">
        <is>
          <t>GOTLAND</t>
        </is>
      </c>
      <c r="G264" t="n">
        <v>4.6</v>
      </c>
      <c r="H264" t="n">
        <v>0</v>
      </c>
      <c r="I264" t="n">
        <v>0</v>
      </c>
      <c r="J264" t="n">
        <v>0</v>
      </c>
      <c r="K264" t="n">
        <v>0</v>
      </c>
      <c r="L264" t="n">
        <v>0</v>
      </c>
      <c r="M264" t="n">
        <v>0</v>
      </c>
      <c r="N264" t="n">
        <v>0</v>
      </c>
      <c r="O264" t="n">
        <v>0</v>
      </c>
      <c r="P264" t="n">
        <v>0</v>
      </c>
      <c r="Q264" t="n">
        <v>0</v>
      </c>
      <c r="R264" s="2" t="inlineStr"/>
    </row>
    <row r="265" ht="15" customHeight="1">
      <c r="A265" t="inlineStr">
        <is>
          <t>A 23698-2025</t>
        </is>
      </c>
      <c r="B265" s="1" t="n">
        <v>45793</v>
      </c>
      <c r="C265" s="1" t="n">
        <v>46019</v>
      </c>
      <c r="D265" t="inlineStr">
        <is>
          <t>GOTLANDS LÄN</t>
        </is>
      </c>
      <c r="E265" t="inlineStr">
        <is>
          <t>GOTLAND</t>
        </is>
      </c>
      <c r="G265" t="n">
        <v>0.8</v>
      </c>
      <c r="H265" t="n">
        <v>0</v>
      </c>
      <c r="I265" t="n">
        <v>0</v>
      </c>
      <c r="J265" t="n">
        <v>0</v>
      </c>
      <c r="K265" t="n">
        <v>0</v>
      </c>
      <c r="L265" t="n">
        <v>0</v>
      </c>
      <c r="M265" t="n">
        <v>0</v>
      </c>
      <c r="N265" t="n">
        <v>0</v>
      </c>
      <c r="O265" t="n">
        <v>0</v>
      </c>
      <c r="P265" t="n">
        <v>0</v>
      </c>
      <c r="Q265" t="n">
        <v>0</v>
      </c>
      <c r="R265" s="2" t="inlineStr"/>
    </row>
    <row r="266" ht="15" customHeight="1">
      <c r="A266" t="inlineStr">
        <is>
          <t>A 5217-2023</t>
        </is>
      </c>
      <c r="B266" s="1" t="n">
        <v>44959.39582175926</v>
      </c>
      <c r="C266" s="1" t="n">
        <v>46019</v>
      </c>
      <c r="D266" t="inlineStr">
        <is>
          <t>GOTLANDS LÄN</t>
        </is>
      </c>
      <c r="E266" t="inlineStr">
        <is>
          <t>GOTLAND</t>
        </is>
      </c>
      <c r="G266" t="n">
        <v>1.9</v>
      </c>
      <c r="H266" t="n">
        <v>0</v>
      </c>
      <c r="I266" t="n">
        <v>0</v>
      </c>
      <c r="J266" t="n">
        <v>0</v>
      </c>
      <c r="K266" t="n">
        <v>0</v>
      </c>
      <c r="L266" t="n">
        <v>0</v>
      </c>
      <c r="M266" t="n">
        <v>0</v>
      </c>
      <c r="N266" t="n">
        <v>0</v>
      </c>
      <c r="O266" t="n">
        <v>0</v>
      </c>
      <c r="P266" t="n">
        <v>0</v>
      </c>
      <c r="Q266" t="n">
        <v>0</v>
      </c>
      <c r="R266" s="2" t="inlineStr"/>
    </row>
    <row r="267" ht="15" customHeight="1">
      <c r="A267" t="inlineStr">
        <is>
          <t>A 15073-2025</t>
        </is>
      </c>
      <c r="B267" s="1" t="n">
        <v>45743</v>
      </c>
      <c r="C267" s="1" t="n">
        <v>46019</v>
      </c>
      <c r="D267" t="inlineStr">
        <is>
          <t>GOTLANDS LÄN</t>
        </is>
      </c>
      <c r="E267" t="inlineStr">
        <is>
          <t>GOTLAND</t>
        </is>
      </c>
      <c r="G267" t="n">
        <v>12.1</v>
      </c>
      <c r="H267" t="n">
        <v>0</v>
      </c>
      <c r="I267" t="n">
        <v>0</v>
      </c>
      <c r="J267" t="n">
        <v>0</v>
      </c>
      <c r="K267" t="n">
        <v>0</v>
      </c>
      <c r="L267" t="n">
        <v>0</v>
      </c>
      <c r="M267" t="n">
        <v>0</v>
      </c>
      <c r="N267" t="n">
        <v>0</v>
      </c>
      <c r="O267" t="n">
        <v>0</v>
      </c>
      <c r="P267" t="n">
        <v>0</v>
      </c>
      <c r="Q267" t="n">
        <v>0</v>
      </c>
      <c r="R267" s="2" t="inlineStr"/>
    </row>
    <row r="268" ht="15" customHeight="1">
      <c r="A268" t="inlineStr">
        <is>
          <t>A 14638-2025</t>
        </is>
      </c>
      <c r="B268" s="1" t="n">
        <v>45742</v>
      </c>
      <c r="C268" s="1" t="n">
        <v>46019</v>
      </c>
      <c r="D268" t="inlineStr">
        <is>
          <t>GOTLANDS LÄN</t>
        </is>
      </c>
      <c r="E268" t="inlineStr">
        <is>
          <t>GOTLAND</t>
        </is>
      </c>
      <c r="G268" t="n">
        <v>13.4</v>
      </c>
      <c r="H268" t="n">
        <v>0</v>
      </c>
      <c r="I268" t="n">
        <v>0</v>
      </c>
      <c r="J268" t="n">
        <v>0</v>
      </c>
      <c r="K268" t="n">
        <v>0</v>
      </c>
      <c r="L268" t="n">
        <v>0</v>
      </c>
      <c r="M268" t="n">
        <v>0</v>
      </c>
      <c r="N268" t="n">
        <v>0</v>
      </c>
      <c r="O268" t="n">
        <v>0</v>
      </c>
      <c r="P268" t="n">
        <v>0</v>
      </c>
      <c r="Q268" t="n">
        <v>0</v>
      </c>
      <c r="R268" s="2" t="inlineStr"/>
    </row>
    <row r="269" ht="15" customHeight="1">
      <c r="A269" t="inlineStr">
        <is>
          <t>A 4421-2024</t>
        </is>
      </c>
      <c r="B269" s="1" t="n">
        <v>45327.45173611111</v>
      </c>
      <c r="C269" s="1" t="n">
        <v>46019</v>
      </c>
      <c r="D269" t="inlineStr">
        <is>
          <t>GOTLANDS LÄN</t>
        </is>
      </c>
      <c r="E269" t="inlineStr">
        <is>
          <t>GOTLAND</t>
        </is>
      </c>
      <c r="G269" t="n">
        <v>5.1</v>
      </c>
      <c r="H269" t="n">
        <v>0</v>
      </c>
      <c r="I269" t="n">
        <v>0</v>
      </c>
      <c r="J269" t="n">
        <v>0</v>
      </c>
      <c r="K269" t="n">
        <v>0</v>
      </c>
      <c r="L269" t="n">
        <v>0</v>
      </c>
      <c r="M269" t="n">
        <v>0</v>
      </c>
      <c r="N269" t="n">
        <v>0</v>
      </c>
      <c r="O269" t="n">
        <v>0</v>
      </c>
      <c r="P269" t="n">
        <v>0</v>
      </c>
      <c r="Q269" t="n">
        <v>0</v>
      </c>
      <c r="R269" s="2" t="inlineStr"/>
    </row>
    <row r="270" ht="15" customHeight="1">
      <c r="A270" t="inlineStr">
        <is>
          <t>A 2292-2021</t>
        </is>
      </c>
      <c r="B270" s="1" t="n">
        <v>44212</v>
      </c>
      <c r="C270" s="1" t="n">
        <v>46019</v>
      </c>
      <c r="D270" t="inlineStr">
        <is>
          <t>GOTLANDS LÄN</t>
        </is>
      </c>
      <c r="E270" t="inlineStr">
        <is>
          <t>GOTLAND</t>
        </is>
      </c>
      <c r="G270" t="n">
        <v>3</v>
      </c>
      <c r="H270" t="n">
        <v>0</v>
      </c>
      <c r="I270" t="n">
        <v>0</v>
      </c>
      <c r="J270" t="n">
        <v>0</v>
      </c>
      <c r="K270" t="n">
        <v>0</v>
      </c>
      <c r="L270" t="n">
        <v>0</v>
      </c>
      <c r="M270" t="n">
        <v>0</v>
      </c>
      <c r="N270" t="n">
        <v>0</v>
      </c>
      <c r="O270" t="n">
        <v>0</v>
      </c>
      <c r="P270" t="n">
        <v>0</v>
      </c>
      <c r="Q270" t="n">
        <v>0</v>
      </c>
      <c r="R270" s="2" t="inlineStr"/>
    </row>
    <row r="271" ht="15" customHeight="1">
      <c r="A271" t="inlineStr">
        <is>
          <t>A 35142-2025</t>
        </is>
      </c>
      <c r="B271" s="1" t="n">
        <v>45852.65532407408</v>
      </c>
      <c r="C271" s="1" t="n">
        <v>46019</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35141-2025</t>
        </is>
      </c>
      <c r="B272" s="1" t="n">
        <v>45852.65206018519</v>
      </c>
      <c r="C272" s="1" t="n">
        <v>46019</v>
      </c>
      <c r="D272" t="inlineStr">
        <is>
          <t>GOTLANDS LÄN</t>
        </is>
      </c>
      <c r="E272" t="inlineStr">
        <is>
          <t>GOTLAND</t>
        </is>
      </c>
      <c r="G272" t="n">
        <v>1</v>
      </c>
      <c r="H272" t="n">
        <v>0</v>
      </c>
      <c r="I272" t="n">
        <v>0</v>
      </c>
      <c r="J272" t="n">
        <v>0</v>
      </c>
      <c r="K272" t="n">
        <v>0</v>
      </c>
      <c r="L272" t="n">
        <v>0</v>
      </c>
      <c r="M272" t="n">
        <v>0</v>
      </c>
      <c r="N272" t="n">
        <v>0</v>
      </c>
      <c r="O272" t="n">
        <v>0</v>
      </c>
      <c r="P272" t="n">
        <v>0</v>
      </c>
      <c r="Q272" t="n">
        <v>0</v>
      </c>
      <c r="R272" s="2" t="inlineStr"/>
    </row>
    <row r="273" ht="15" customHeight="1">
      <c r="A273" t="inlineStr">
        <is>
          <t>A 20165-2022</t>
        </is>
      </c>
      <c r="B273" s="1" t="n">
        <v>44698.49854166667</v>
      </c>
      <c r="C273" s="1" t="n">
        <v>46019</v>
      </c>
      <c r="D273" t="inlineStr">
        <is>
          <t>GOTLANDS LÄN</t>
        </is>
      </c>
      <c r="E273" t="inlineStr">
        <is>
          <t>GOTLAND</t>
        </is>
      </c>
      <c r="G273" t="n">
        <v>4.1</v>
      </c>
      <c r="H273" t="n">
        <v>0</v>
      </c>
      <c r="I273" t="n">
        <v>0</v>
      </c>
      <c r="J273" t="n">
        <v>0</v>
      </c>
      <c r="K273" t="n">
        <v>0</v>
      </c>
      <c r="L273" t="n">
        <v>0</v>
      </c>
      <c r="M273" t="n">
        <v>0</v>
      </c>
      <c r="N273" t="n">
        <v>0</v>
      </c>
      <c r="O273" t="n">
        <v>0</v>
      </c>
      <c r="P273" t="n">
        <v>0</v>
      </c>
      <c r="Q273" t="n">
        <v>0</v>
      </c>
      <c r="R273" s="2" t="inlineStr"/>
    </row>
    <row r="274" ht="15" customHeight="1">
      <c r="A274" t="inlineStr">
        <is>
          <t>A 6749-2025</t>
        </is>
      </c>
      <c r="B274" s="1" t="n">
        <v>45700</v>
      </c>
      <c r="C274" s="1" t="n">
        <v>46019</v>
      </c>
      <c r="D274" t="inlineStr">
        <is>
          <t>GOTLANDS LÄN</t>
        </is>
      </c>
      <c r="E274" t="inlineStr">
        <is>
          <t>GOTLAND</t>
        </is>
      </c>
      <c r="G274" t="n">
        <v>4.5</v>
      </c>
      <c r="H274" t="n">
        <v>0</v>
      </c>
      <c r="I274" t="n">
        <v>0</v>
      </c>
      <c r="J274" t="n">
        <v>0</v>
      </c>
      <c r="K274" t="n">
        <v>0</v>
      </c>
      <c r="L274" t="n">
        <v>0</v>
      </c>
      <c r="M274" t="n">
        <v>0</v>
      </c>
      <c r="N274" t="n">
        <v>0</v>
      </c>
      <c r="O274" t="n">
        <v>0</v>
      </c>
      <c r="P274" t="n">
        <v>0</v>
      </c>
      <c r="Q274" t="n">
        <v>0</v>
      </c>
      <c r="R274" s="2" t="inlineStr"/>
    </row>
    <row r="275" ht="15" customHeight="1">
      <c r="A275" t="inlineStr">
        <is>
          <t>A 31264-2021</t>
        </is>
      </c>
      <c r="B275" s="1" t="n">
        <v>44368</v>
      </c>
      <c r="C275" s="1" t="n">
        <v>46019</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5462-2025</t>
        </is>
      </c>
      <c r="B276" s="1" t="n">
        <v>45693.29331018519</v>
      </c>
      <c r="C276" s="1" t="n">
        <v>46019</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33876-2024</t>
        </is>
      </c>
      <c r="B277" s="1" t="n">
        <v>45521.87988425926</v>
      </c>
      <c r="C277" s="1" t="n">
        <v>46019</v>
      </c>
      <c r="D277" t="inlineStr">
        <is>
          <t>GOTLANDS LÄN</t>
        </is>
      </c>
      <c r="E277" t="inlineStr">
        <is>
          <t>GOTLAND</t>
        </is>
      </c>
      <c r="G277" t="n">
        <v>1.3</v>
      </c>
      <c r="H277" t="n">
        <v>0</v>
      </c>
      <c r="I277" t="n">
        <v>0</v>
      </c>
      <c r="J277" t="n">
        <v>0</v>
      </c>
      <c r="K277" t="n">
        <v>0</v>
      </c>
      <c r="L277" t="n">
        <v>0</v>
      </c>
      <c r="M277" t="n">
        <v>0</v>
      </c>
      <c r="N277" t="n">
        <v>0</v>
      </c>
      <c r="O277" t="n">
        <v>0</v>
      </c>
      <c r="P277" t="n">
        <v>0</v>
      </c>
      <c r="Q277" t="n">
        <v>0</v>
      </c>
      <c r="R277" s="2" t="inlineStr"/>
    </row>
    <row r="278" ht="15" customHeight="1">
      <c r="A278" t="inlineStr">
        <is>
          <t>A 43223-2023</t>
        </is>
      </c>
      <c r="B278" s="1" t="n">
        <v>45183.45642361111</v>
      </c>
      <c r="C278" s="1" t="n">
        <v>46019</v>
      </c>
      <c r="D278" t="inlineStr">
        <is>
          <t>GOTLANDS LÄN</t>
        </is>
      </c>
      <c r="E278" t="inlineStr">
        <is>
          <t>GOTLAND</t>
        </is>
      </c>
      <c r="G278" t="n">
        <v>1.8</v>
      </c>
      <c r="H278" t="n">
        <v>0</v>
      </c>
      <c r="I278" t="n">
        <v>0</v>
      </c>
      <c r="J278" t="n">
        <v>0</v>
      </c>
      <c r="K278" t="n">
        <v>0</v>
      </c>
      <c r="L278" t="n">
        <v>0</v>
      </c>
      <c r="M278" t="n">
        <v>0</v>
      </c>
      <c r="N278" t="n">
        <v>0</v>
      </c>
      <c r="O278" t="n">
        <v>0</v>
      </c>
      <c r="P278" t="n">
        <v>0</v>
      </c>
      <c r="Q278" t="n">
        <v>0</v>
      </c>
      <c r="R278" s="2" t="inlineStr"/>
    </row>
    <row r="279" ht="15" customHeight="1">
      <c r="A279" t="inlineStr">
        <is>
          <t>A 61962-2024</t>
        </is>
      </c>
      <c r="B279" s="1" t="n">
        <v>45653.54340277778</v>
      </c>
      <c r="C279" s="1" t="n">
        <v>46019</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27930-2021</t>
        </is>
      </c>
      <c r="B280" s="1" t="n">
        <v>44354</v>
      </c>
      <c r="C280" s="1" t="n">
        <v>46019</v>
      </c>
      <c r="D280" t="inlineStr">
        <is>
          <t>GOTLANDS LÄN</t>
        </is>
      </c>
      <c r="E280" t="inlineStr">
        <is>
          <t>GOTLAND</t>
        </is>
      </c>
      <c r="G280" t="n">
        <v>2.5</v>
      </c>
      <c r="H280" t="n">
        <v>0</v>
      </c>
      <c r="I280" t="n">
        <v>0</v>
      </c>
      <c r="J280" t="n">
        <v>0</v>
      </c>
      <c r="K280" t="n">
        <v>0</v>
      </c>
      <c r="L280" t="n">
        <v>0</v>
      </c>
      <c r="M280" t="n">
        <v>0</v>
      </c>
      <c r="N280" t="n">
        <v>0</v>
      </c>
      <c r="O280" t="n">
        <v>0</v>
      </c>
      <c r="P280" t="n">
        <v>0</v>
      </c>
      <c r="Q280" t="n">
        <v>0</v>
      </c>
      <c r="R280" s="2" t="inlineStr"/>
    </row>
    <row r="281" ht="15" customHeight="1">
      <c r="A281" t="inlineStr">
        <is>
          <t>A 59469-2024</t>
        </is>
      </c>
      <c r="B281" s="1" t="n">
        <v>45638</v>
      </c>
      <c r="C281" s="1" t="n">
        <v>46019</v>
      </c>
      <c r="D281" t="inlineStr">
        <is>
          <t>GOTLANDS LÄN</t>
        </is>
      </c>
      <c r="E281" t="inlineStr">
        <is>
          <t>GOTLAND</t>
        </is>
      </c>
      <c r="G281" t="n">
        <v>0.4</v>
      </c>
      <c r="H281" t="n">
        <v>0</v>
      </c>
      <c r="I281" t="n">
        <v>0</v>
      </c>
      <c r="J281" t="n">
        <v>0</v>
      </c>
      <c r="K281" t="n">
        <v>0</v>
      </c>
      <c r="L281" t="n">
        <v>0</v>
      </c>
      <c r="M281" t="n">
        <v>0</v>
      </c>
      <c r="N281" t="n">
        <v>0</v>
      </c>
      <c r="O281" t="n">
        <v>0</v>
      </c>
      <c r="P281" t="n">
        <v>0</v>
      </c>
      <c r="Q281" t="n">
        <v>0</v>
      </c>
      <c r="R281" s="2" t="inlineStr"/>
    </row>
    <row r="282" ht="15" customHeight="1">
      <c r="A282" t="inlineStr">
        <is>
          <t>A 39849-2025</t>
        </is>
      </c>
      <c r="B282" s="1" t="n">
        <v>45891.58502314815</v>
      </c>
      <c r="C282" s="1" t="n">
        <v>46019</v>
      </c>
      <c r="D282" t="inlineStr">
        <is>
          <t>GOTLANDS LÄN</t>
        </is>
      </c>
      <c r="E282" t="inlineStr">
        <is>
          <t>GOTLAND</t>
        </is>
      </c>
      <c r="G282" t="n">
        <v>6.1</v>
      </c>
      <c r="H282" t="n">
        <v>0</v>
      </c>
      <c r="I282" t="n">
        <v>0</v>
      </c>
      <c r="J282" t="n">
        <v>0</v>
      </c>
      <c r="K282" t="n">
        <v>0</v>
      </c>
      <c r="L282" t="n">
        <v>0</v>
      </c>
      <c r="M282" t="n">
        <v>0</v>
      </c>
      <c r="N282" t="n">
        <v>0</v>
      </c>
      <c r="O282" t="n">
        <v>0</v>
      </c>
      <c r="P282" t="n">
        <v>0</v>
      </c>
      <c r="Q282" t="n">
        <v>0</v>
      </c>
      <c r="R282" s="2" t="inlineStr"/>
    </row>
    <row r="283" ht="15" customHeight="1">
      <c r="A283" t="inlineStr">
        <is>
          <t>A 39814-2025</t>
        </is>
      </c>
      <c r="B283" s="1" t="n">
        <v>45891.52694444444</v>
      </c>
      <c r="C283" s="1" t="n">
        <v>46019</v>
      </c>
      <c r="D283" t="inlineStr">
        <is>
          <t>GOTLANDS LÄN</t>
        </is>
      </c>
      <c r="E283" t="inlineStr">
        <is>
          <t>GOTLAND</t>
        </is>
      </c>
      <c r="G283" t="n">
        <v>4.5</v>
      </c>
      <c r="H283" t="n">
        <v>0</v>
      </c>
      <c r="I283" t="n">
        <v>0</v>
      </c>
      <c r="J283" t="n">
        <v>0</v>
      </c>
      <c r="K283" t="n">
        <v>0</v>
      </c>
      <c r="L283" t="n">
        <v>0</v>
      </c>
      <c r="M283" t="n">
        <v>0</v>
      </c>
      <c r="N283" t="n">
        <v>0</v>
      </c>
      <c r="O283" t="n">
        <v>0</v>
      </c>
      <c r="P283" t="n">
        <v>0</v>
      </c>
      <c r="Q283" t="n">
        <v>0</v>
      </c>
      <c r="R283" s="2" t="inlineStr"/>
    </row>
    <row r="284" ht="15" customHeight="1">
      <c r="A284" t="inlineStr">
        <is>
          <t>A 39819-2025</t>
        </is>
      </c>
      <c r="B284" s="1" t="n">
        <v>45891.53418981482</v>
      </c>
      <c r="C284" s="1" t="n">
        <v>46019</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39752-2025</t>
        </is>
      </c>
      <c r="B285" s="1" t="n">
        <v>45891</v>
      </c>
      <c r="C285" s="1" t="n">
        <v>46019</v>
      </c>
      <c r="D285" t="inlineStr">
        <is>
          <t>GOTLANDS LÄN</t>
        </is>
      </c>
      <c r="E285" t="inlineStr">
        <is>
          <t>GOTLAND</t>
        </is>
      </c>
      <c r="G285" t="n">
        <v>5.3</v>
      </c>
      <c r="H285" t="n">
        <v>0</v>
      </c>
      <c r="I285" t="n">
        <v>0</v>
      </c>
      <c r="J285" t="n">
        <v>0</v>
      </c>
      <c r="K285" t="n">
        <v>0</v>
      </c>
      <c r="L285" t="n">
        <v>0</v>
      </c>
      <c r="M285" t="n">
        <v>0</v>
      </c>
      <c r="N285" t="n">
        <v>0</v>
      </c>
      <c r="O285" t="n">
        <v>0</v>
      </c>
      <c r="P285" t="n">
        <v>0</v>
      </c>
      <c r="Q285" t="n">
        <v>0</v>
      </c>
      <c r="R285" s="2" t="inlineStr"/>
    </row>
    <row r="286" ht="15" customHeight="1">
      <c r="A286" t="inlineStr">
        <is>
          <t>A 39816-2025</t>
        </is>
      </c>
      <c r="B286" s="1" t="n">
        <v>45891</v>
      </c>
      <c r="C286" s="1" t="n">
        <v>46019</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40372-2025</t>
        </is>
      </c>
      <c r="B287" s="1" t="n">
        <v>45895.5162037037</v>
      </c>
      <c r="C287" s="1" t="n">
        <v>46019</v>
      </c>
      <c r="D287" t="inlineStr">
        <is>
          <t>GOTLANDS LÄN</t>
        </is>
      </c>
      <c r="E287" t="inlineStr">
        <is>
          <t>GOTLAND</t>
        </is>
      </c>
      <c r="G287" t="n">
        <v>3.3</v>
      </c>
      <c r="H287" t="n">
        <v>0</v>
      </c>
      <c r="I287" t="n">
        <v>0</v>
      </c>
      <c r="J287" t="n">
        <v>0</v>
      </c>
      <c r="K287" t="n">
        <v>0</v>
      </c>
      <c r="L287" t="n">
        <v>0</v>
      </c>
      <c r="M287" t="n">
        <v>0</v>
      </c>
      <c r="N287" t="n">
        <v>0</v>
      </c>
      <c r="O287" t="n">
        <v>0</v>
      </c>
      <c r="P287" t="n">
        <v>0</v>
      </c>
      <c r="Q287" t="n">
        <v>0</v>
      </c>
      <c r="R287" s="2" t="inlineStr"/>
    </row>
    <row r="288" ht="15" customHeight="1">
      <c r="A288" t="inlineStr">
        <is>
          <t>A 40373-2025</t>
        </is>
      </c>
      <c r="B288" s="1" t="n">
        <v>45895.51821759259</v>
      </c>
      <c r="C288" s="1" t="n">
        <v>46019</v>
      </c>
      <c r="D288" t="inlineStr">
        <is>
          <t>GOTLANDS LÄN</t>
        </is>
      </c>
      <c r="E288" t="inlineStr">
        <is>
          <t>GOTLAND</t>
        </is>
      </c>
      <c r="G288" t="n">
        <v>0.6</v>
      </c>
      <c r="H288" t="n">
        <v>0</v>
      </c>
      <c r="I288" t="n">
        <v>0</v>
      </c>
      <c r="J288" t="n">
        <v>0</v>
      </c>
      <c r="K288" t="n">
        <v>0</v>
      </c>
      <c r="L288" t="n">
        <v>0</v>
      </c>
      <c r="M288" t="n">
        <v>0</v>
      </c>
      <c r="N288" t="n">
        <v>0</v>
      </c>
      <c r="O288" t="n">
        <v>0</v>
      </c>
      <c r="P288" t="n">
        <v>0</v>
      </c>
      <c r="Q288" t="n">
        <v>0</v>
      </c>
      <c r="R288" s="2" t="inlineStr"/>
    </row>
    <row r="289" ht="15" customHeight="1">
      <c r="A289" t="inlineStr">
        <is>
          <t>A 5751-2024</t>
        </is>
      </c>
      <c r="B289" s="1" t="n">
        <v>45335.32702546296</v>
      </c>
      <c r="C289" s="1" t="n">
        <v>46019</v>
      </c>
      <c r="D289" t="inlineStr">
        <is>
          <t>GOTLANDS LÄN</t>
        </is>
      </c>
      <c r="E289" t="inlineStr">
        <is>
          <t>GOTLAND</t>
        </is>
      </c>
      <c r="G289" t="n">
        <v>4.2</v>
      </c>
      <c r="H289" t="n">
        <v>0</v>
      </c>
      <c r="I289" t="n">
        <v>0</v>
      </c>
      <c r="J289" t="n">
        <v>0</v>
      </c>
      <c r="K289" t="n">
        <v>0</v>
      </c>
      <c r="L289" t="n">
        <v>0</v>
      </c>
      <c r="M289" t="n">
        <v>0</v>
      </c>
      <c r="N289" t="n">
        <v>0</v>
      </c>
      <c r="O289" t="n">
        <v>0</v>
      </c>
      <c r="P289" t="n">
        <v>0</v>
      </c>
      <c r="Q289" t="n">
        <v>0</v>
      </c>
      <c r="R289" s="2" t="inlineStr"/>
    </row>
    <row r="290" ht="15" customHeight="1">
      <c r="A290" t="inlineStr">
        <is>
          <t>A 25796-2025</t>
        </is>
      </c>
      <c r="B290" s="1" t="n">
        <v>45804.39543981481</v>
      </c>
      <c r="C290" s="1" t="n">
        <v>46019</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6696-2023</t>
        </is>
      </c>
      <c r="B291" s="1" t="n">
        <v>44966.66425925926</v>
      </c>
      <c r="C291" s="1" t="n">
        <v>46019</v>
      </c>
      <c r="D291" t="inlineStr">
        <is>
          <t>GOTLANDS LÄN</t>
        </is>
      </c>
      <c r="E291" t="inlineStr">
        <is>
          <t>GOTLAND</t>
        </is>
      </c>
      <c r="G291" t="n">
        <v>1.5</v>
      </c>
      <c r="H291" t="n">
        <v>0</v>
      </c>
      <c r="I291" t="n">
        <v>0</v>
      </c>
      <c r="J291" t="n">
        <v>0</v>
      </c>
      <c r="K291" t="n">
        <v>0</v>
      </c>
      <c r="L291" t="n">
        <v>0</v>
      </c>
      <c r="M291" t="n">
        <v>0</v>
      </c>
      <c r="N291" t="n">
        <v>0</v>
      </c>
      <c r="O291" t="n">
        <v>0</v>
      </c>
      <c r="P291" t="n">
        <v>0</v>
      </c>
      <c r="Q291" t="n">
        <v>0</v>
      </c>
      <c r="R291" s="2" t="inlineStr"/>
    </row>
    <row r="292" ht="15" customHeight="1">
      <c r="A292" t="inlineStr">
        <is>
          <t>A 28480-2023</t>
        </is>
      </c>
      <c r="B292" s="1" t="n">
        <v>45103</v>
      </c>
      <c r="C292" s="1" t="n">
        <v>46019</v>
      </c>
      <c r="D292" t="inlineStr">
        <is>
          <t>GOTLANDS LÄN</t>
        </is>
      </c>
      <c r="E292" t="inlineStr">
        <is>
          <t>GOTLAND</t>
        </is>
      </c>
      <c r="G292" t="n">
        <v>5.7</v>
      </c>
      <c r="H292" t="n">
        <v>0</v>
      </c>
      <c r="I292" t="n">
        <v>0</v>
      </c>
      <c r="J292" t="n">
        <v>0</v>
      </c>
      <c r="K292" t="n">
        <v>0</v>
      </c>
      <c r="L292" t="n">
        <v>0</v>
      </c>
      <c r="M292" t="n">
        <v>0</v>
      </c>
      <c r="N292" t="n">
        <v>0</v>
      </c>
      <c r="O292" t="n">
        <v>0</v>
      </c>
      <c r="P292" t="n">
        <v>0</v>
      </c>
      <c r="Q292" t="n">
        <v>0</v>
      </c>
      <c r="R292" s="2" t="inlineStr"/>
    </row>
    <row r="293" ht="15" customHeight="1">
      <c r="A293" t="inlineStr">
        <is>
          <t>A 28485-2023</t>
        </is>
      </c>
      <c r="B293" s="1" t="n">
        <v>45103.43731481482</v>
      </c>
      <c r="C293" s="1" t="n">
        <v>46019</v>
      </c>
      <c r="D293" t="inlineStr">
        <is>
          <t>GOTLANDS LÄN</t>
        </is>
      </c>
      <c r="E293" t="inlineStr">
        <is>
          <t>GOTLAND</t>
        </is>
      </c>
      <c r="G293" t="n">
        <v>2.3</v>
      </c>
      <c r="H293" t="n">
        <v>0</v>
      </c>
      <c r="I293" t="n">
        <v>0</v>
      </c>
      <c r="J293" t="n">
        <v>0</v>
      </c>
      <c r="K293" t="n">
        <v>0</v>
      </c>
      <c r="L293" t="n">
        <v>0</v>
      </c>
      <c r="M293" t="n">
        <v>0</v>
      </c>
      <c r="N293" t="n">
        <v>0</v>
      </c>
      <c r="O293" t="n">
        <v>0</v>
      </c>
      <c r="P293" t="n">
        <v>0</v>
      </c>
      <c r="Q293" t="n">
        <v>0</v>
      </c>
      <c r="R293" s="2" t="inlineStr"/>
    </row>
    <row r="294" ht="15" customHeight="1">
      <c r="A294" t="inlineStr">
        <is>
          <t>A 4990-2025</t>
        </is>
      </c>
      <c r="B294" s="1" t="n">
        <v>45691</v>
      </c>
      <c r="C294" s="1" t="n">
        <v>46019</v>
      </c>
      <c r="D294" t="inlineStr">
        <is>
          <t>GOTLANDS LÄN</t>
        </is>
      </c>
      <c r="E294" t="inlineStr">
        <is>
          <t>GOTLAND</t>
        </is>
      </c>
      <c r="G294" t="n">
        <v>7.7</v>
      </c>
      <c r="H294" t="n">
        <v>0</v>
      </c>
      <c r="I294" t="n">
        <v>0</v>
      </c>
      <c r="J294" t="n">
        <v>0</v>
      </c>
      <c r="K294" t="n">
        <v>0</v>
      </c>
      <c r="L294" t="n">
        <v>0</v>
      </c>
      <c r="M294" t="n">
        <v>0</v>
      </c>
      <c r="N294" t="n">
        <v>0</v>
      </c>
      <c r="O294" t="n">
        <v>0</v>
      </c>
      <c r="P294" t="n">
        <v>0</v>
      </c>
      <c r="Q294" t="n">
        <v>0</v>
      </c>
      <c r="R294" s="2" t="inlineStr"/>
    </row>
    <row r="295" ht="15" customHeight="1">
      <c r="A295" t="inlineStr">
        <is>
          <t>A 40103-2025</t>
        </is>
      </c>
      <c r="B295" s="1" t="n">
        <v>45894.4880324074</v>
      </c>
      <c r="C295" s="1" t="n">
        <v>46019</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38649-2025</t>
        </is>
      </c>
      <c r="B296" s="1" t="n">
        <v>45884</v>
      </c>
      <c r="C296" s="1" t="n">
        <v>46019</v>
      </c>
      <c r="D296" t="inlineStr">
        <is>
          <t>GOTLANDS LÄN</t>
        </is>
      </c>
      <c r="E296" t="inlineStr">
        <is>
          <t>GOTLAND</t>
        </is>
      </c>
      <c r="G296" t="n">
        <v>1.5</v>
      </c>
      <c r="H296" t="n">
        <v>0</v>
      </c>
      <c r="I296" t="n">
        <v>0</v>
      </c>
      <c r="J296" t="n">
        <v>0</v>
      </c>
      <c r="K296" t="n">
        <v>0</v>
      </c>
      <c r="L296" t="n">
        <v>0</v>
      </c>
      <c r="M296" t="n">
        <v>0</v>
      </c>
      <c r="N296" t="n">
        <v>0</v>
      </c>
      <c r="O296" t="n">
        <v>0</v>
      </c>
      <c r="P296" t="n">
        <v>0</v>
      </c>
      <c r="Q296" t="n">
        <v>0</v>
      </c>
      <c r="R296" s="2" t="inlineStr"/>
    </row>
    <row r="297" ht="15" customHeight="1">
      <c r="A297" t="inlineStr">
        <is>
          <t>A 26465-2025</t>
        </is>
      </c>
      <c r="B297" s="1" t="n">
        <v>45807.44377314814</v>
      </c>
      <c r="C297" s="1" t="n">
        <v>46019</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26457-2025</t>
        </is>
      </c>
      <c r="B298" s="1" t="n">
        <v>45807.42773148148</v>
      </c>
      <c r="C298" s="1" t="n">
        <v>46019</v>
      </c>
      <c r="D298" t="inlineStr">
        <is>
          <t>GOTLANDS LÄN</t>
        </is>
      </c>
      <c r="E298" t="inlineStr">
        <is>
          <t>GOTLAND</t>
        </is>
      </c>
      <c r="G298" t="n">
        <v>5.7</v>
      </c>
      <c r="H298" t="n">
        <v>0</v>
      </c>
      <c r="I298" t="n">
        <v>0</v>
      </c>
      <c r="J298" t="n">
        <v>0</v>
      </c>
      <c r="K298" t="n">
        <v>0</v>
      </c>
      <c r="L298" t="n">
        <v>0</v>
      </c>
      <c r="M298" t="n">
        <v>0</v>
      </c>
      <c r="N298" t="n">
        <v>0</v>
      </c>
      <c r="O298" t="n">
        <v>0</v>
      </c>
      <c r="P298" t="n">
        <v>0</v>
      </c>
      <c r="Q298" t="n">
        <v>0</v>
      </c>
      <c r="R298" s="2" t="inlineStr"/>
    </row>
    <row r="299" ht="15" customHeight="1">
      <c r="A299" t="inlineStr">
        <is>
          <t>A 26467-2025</t>
        </is>
      </c>
      <c r="B299" s="1" t="n">
        <v>45807.44640046296</v>
      </c>
      <c r="C299" s="1" t="n">
        <v>46019</v>
      </c>
      <c r="D299" t="inlineStr">
        <is>
          <t>GOTLANDS LÄN</t>
        </is>
      </c>
      <c r="E299" t="inlineStr">
        <is>
          <t>GOTLAND</t>
        </is>
      </c>
      <c r="G299" t="n">
        <v>0.7</v>
      </c>
      <c r="H299" t="n">
        <v>0</v>
      </c>
      <c r="I299" t="n">
        <v>0</v>
      </c>
      <c r="J299" t="n">
        <v>0</v>
      </c>
      <c r="K299" t="n">
        <v>0</v>
      </c>
      <c r="L299" t="n">
        <v>0</v>
      </c>
      <c r="M299" t="n">
        <v>0</v>
      </c>
      <c r="N299" t="n">
        <v>0</v>
      </c>
      <c r="O299" t="n">
        <v>0</v>
      </c>
      <c r="P299" t="n">
        <v>0</v>
      </c>
      <c r="Q299" t="n">
        <v>0</v>
      </c>
      <c r="R299" s="2" t="inlineStr"/>
    </row>
    <row r="300" ht="15" customHeight="1">
      <c r="A300" t="inlineStr">
        <is>
          <t>A 40499-2025</t>
        </is>
      </c>
      <c r="B300" s="1" t="n">
        <v>45896.32517361111</v>
      </c>
      <c r="C300" s="1" t="n">
        <v>46019</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38165-2023</t>
        </is>
      </c>
      <c r="B301" s="1" t="n">
        <v>45161</v>
      </c>
      <c r="C301" s="1" t="n">
        <v>46019</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41551-2025</t>
        </is>
      </c>
      <c r="B302" s="1" t="n">
        <v>45901.58854166666</v>
      </c>
      <c r="C302" s="1" t="n">
        <v>46019</v>
      </c>
      <c r="D302" t="inlineStr">
        <is>
          <t>GOTLANDS LÄN</t>
        </is>
      </c>
      <c r="E302" t="inlineStr">
        <is>
          <t>GOTLAND</t>
        </is>
      </c>
      <c r="G302" t="n">
        <v>5.6</v>
      </c>
      <c r="H302" t="n">
        <v>0</v>
      </c>
      <c r="I302" t="n">
        <v>0</v>
      </c>
      <c r="J302" t="n">
        <v>0</v>
      </c>
      <c r="K302" t="n">
        <v>0</v>
      </c>
      <c r="L302" t="n">
        <v>0</v>
      </c>
      <c r="M302" t="n">
        <v>0</v>
      </c>
      <c r="N302" t="n">
        <v>0</v>
      </c>
      <c r="O302" t="n">
        <v>0</v>
      </c>
      <c r="P302" t="n">
        <v>0</v>
      </c>
      <c r="Q302" t="n">
        <v>0</v>
      </c>
      <c r="R302" s="2" t="inlineStr"/>
    </row>
    <row r="303" ht="15" customHeight="1">
      <c r="A303" t="inlineStr">
        <is>
          <t>A 26660-2025</t>
        </is>
      </c>
      <c r="B303" s="1" t="n">
        <v>45810.39737268518</v>
      </c>
      <c r="C303" s="1" t="n">
        <v>46019</v>
      </c>
      <c r="D303" t="inlineStr">
        <is>
          <t>GOTLANDS LÄN</t>
        </is>
      </c>
      <c r="E303" t="inlineStr">
        <is>
          <t>GOTLAND</t>
        </is>
      </c>
      <c r="G303" t="n">
        <v>1.8</v>
      </c>
      <c r="H303" t="n">
        <v>0</v>
      </c>
      <c r="I303" t="n">
        <v>0</v>
      </c>
      <c r="J303" t="n">
        <v>0</v>
      </c>
      <c r="K303" t="n">
        <v>0</v>
      </c>
      <c r="L303" t="n">
        <v>0</v>
      </c>
      <c r="M303" t="n">
        <v>0</v>
      </c>
      <c r="N303" t="n">
        <v>0</v>
      </c>
      <c r="O303" t="n">
        <v>0</v>
      </c>
      <c r="P303" t="n">
        <v>0</v>
      </c>
      <c r="Q303" t="n">
        <v>0</v>
      </c>
      <c r="R303" s="2" t="inlineStr"/>
    </row>
    <row r="304" ht="15" customHeight="1">
      <c r="A304" t="inlineStr">
        <is>
          <t>A 39278-2025</t>
        </is>
      </c>
      <c r="B304" s="1" t="n">
        <v>45889</v>
      </c>
      <c r="C304" s="1" t="n">
        <v>46019</v>
      </c>
      <c r="D304" t="inlineStr">
        <is>
          <t>GOTLANDS LÄN</t>
        </is>
      </c>
      <c r="E304" t="inlineStr">
        <is>
          <t>GOTLAND</t>
        </is>
      </c>
      <c r="G304" t="n">
        <v>3.7</v>
      </c>
      <c r="H304" t="n">
        <v>0</v>
      </c>
      <c r="I304" t="n">
        <v>0</v>
      </c>
      <c r="J304" t="n">
        <v>0</v>
      </c>
      <c r="K304" t="n">
        <v>0</v>
      </c>
      <c r="L304" t="n">
        <v>0</v>
      </c>
      <c r="M304" t="n">
        <v>0</v>
      </c>
      <c r="N304" t="n">
        <v>0</v>
      </c>
      <c r="O304" t="n">
        <v>0</v>
      </c>
      <c r="P304" t="n">
        <v>0</v>
      </c>
      <c r="Q304" t="n">
        <v>0</v>
      </c>
      <c r="R304" s="2" t="inlineStr"/>
    </row>
    <row r="305" ht="15" customHeight="1">
      <c r="A305" t="inlineStr">
        <is>
          <t>A 27355-2025</t>
        </is>
      </c>
      <c r="B305" s="1" t="n">
        <v>45812</v>
      </c>
      <c r="C305" s="1" t="n">
        <v>46019</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41435-2025</t>
        </is>
      </c>
      <c r="B306" s="1" t="n">
        <v>45901.39974537037</v>
      </c>
      <c r="C306" s="1" t="n">
        <v>46019</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27371-2025</t>
        </is>
      </c>
      <c r="B307" s="1" t="n">
        <v>45812</v>
      </c>
      <c r="C307" s="1" t="n">
        <v>46019</v>
      </c>
      <c r="D307" t="inlineStr">
        <is>
          <t>GOTLANDS LÄN</t>
        </is>
      </c>
      <c r="E307" t="inlineStr">
        <is>
          <t>GOTLAND</t>
        </is>
      </c>
      <c r="G307" t="n">
        <v>8</v>
      </c>
      <c r="H307" t="n">
        <v>0</v>
      </c>
      <c r="I307" t="n">
        <v>0</v>
      </c>
      <c r="J307" t="n">
        <v>0</v>
      </c>
      <c r="K307" t="n">
        <v>0</v>
      </c>
      <c r="L307" t="n">
        <v>0</v>
      </c>
      <c r="M307" t="n">
        <v>0</v>
      </c>
      <c r="N307" t="n">
        <v>0</v>
      </c>
      <c r="O307" t="n">
        <v>0</v>
      </c>
      <c r="P307" t="n">
        <v>0</v>
      </c>
      <c r="Q307" t="n">
        <v>0</v>
      </c>
      <c r="R307" s="2" t="inlineStr"/>
    </row>
    <row r="308" ht="15" customHeight="1">
      <c r="A308" t="inlineStr">
        <is>
          <t>A 49693-2023</t>
        </is>
      </c>
      <c r="B308" s="1" t="n">
        <v>45212.38138888889</v>
      </c>
      <c r="C308" s="1" t="n">
        <v>46019</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49697-2023</t>
        </is>
      </c>
      <c r="B309" s="1" t="n">
        <v>45212.38909722222</v>
      </c>
      <c r="C309" s="1" t="n">
        <v>46019</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34312-2024</t>
        </is>
      </c>
      <c r="B310" s="1" t="n">
        <v>45524.69703703704</v>
      </c>
      <c r="C310" s="1" t="n">
        <v>46019</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48503-2023</t>
        </is>
      </c>
      <c r="B311" s="1" t="n">
        <v>45207</v>
      </c>
      <c r="C311" s="1" t="n">
        <v>46019</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7850-2025</t>
        </is>
      </c>
      <c r="B312" s="1" t="n">
        <v>45706</v>
      </c>
      <c r="C312" s="1" t="n">
        <v>46019</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42608-2025</t>
        </is>
      </c>
      <c r="B313" s="1" t="n">
        <v>45905</v>
      </c>
      <c r="C313" s="1" t="n">
        <v>46019</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6739-2025</t>
        </is>
      </c>
      <c r="B314" s="1" t="n">
        <v>45700</v>
      </c>
      <c r="C314" s="1" t="n">
        <v>46019</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24825-2024</t>
        </is>
      </c>
      <c r="B315" s="1" t="n">
        <v>45461</v>
      </c>
      <c r="C315" s="1" t="n">
        <v>46019</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16373-2025</t>
        </is>
      </c>
      <c r="B316" s="1" t="n">
        <v>45751</v>
      </c>
      <c r="C316" s="1" t="n">
        <v>46019</v>
      </c>
      <c r="D316" t="inlineStr">
        <is>
          <t>GOTLANDS LÄN</t>
        </is>
      </c>
      <c r="E316" t="inlineStr">
        <is>
          <t>GOTLAND</t>
        </is>
      </c>
      <c r="G316" t="n">
        <v>1.5</v>
      </c>
      <c r="H316" t="n">
        <v>0</v>
      </c>
      <c r="I316" t="n">
        <v>0</v>
      </c>
      <c r="J316" t="n">
        <v>0</v>
      </c>
      <c r="K316" t="n">
        <v>0</v>
      </c>
      <c r="L316" t="n">
        <v>0</v>
      </c>
      <c r="M316" t="n">
        <v>0</v>
      </c>
      <c r="N316" t="n">
        <v>0</v>
      </c>
      <c r="O316" t="n">
        <v>0</v>
      </c>
      <c r="P316" t="n">
        <v>0</v>
      </c>
      <c r="Q316" t="n">
        <v>0</v>
      </c>
      <c r="R316" s="2" t="inlineStr"/>
    </row>
    <row r="317" ht="15" customHeight="1">
      <c r="A317" t="inlineStr">
        <is>
          <t>A 8444-2025</t>
        </is>
      </c>
      <c r="B317" s="1" t="n">
        <v>45709</v>
      </c>
      <c r="C317" s="1" t="n">
        <v>46019</v>
      </c>
      <c r="D317" t="inlineStr">
        <is>
          <t>GOTLANDS LÄN</t>
        </is>
      </c>
      <c r="E317" t="inlineStr">
        <is>
          <t>GOTLAND</t>
        </is>
      </c>
      <c r="G317" t="n">
        <v>5.2</v>
      </c>
      <c r="H317" t="n">
        <v>0</v>
      </c>
      <c r="I317" t="n">
        <v>0</v>
      </c>
      <c r="J317" t="n">
        <v>0</v>
      </c>
      <c r="K317" t="n">
        <v>0</v>
      </c>
      <c r="L317" t="n">
        <v>0</v>
      </c>
      <c r="M317" t="n">
        <v>0</v>
      </c>
      <c r="N317" t="n">
        <v>0</v>
      </c>
      <c r="O317" t="n">
        <v>0</v>
      </c>
      <c r="P317" t="n">
        <v>0</v>
      </c>
      <c r="Q317" t="n">
        <v>0</v>
      </c>
      <c r="R317" s="2" t="inlineStr"/>
    </row>
    <row r="318" ht="15" customHeight="1">
      <c r="A318" t="inlineStr">
        <is>
          <t>A 19905-2025</t>
        </is>
      </c>
      <c r="B318" s="1" t="n">
        <v>45771</v>
      </c>
      <c r="C318" s="1" t="n">
        <v>46019</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22031-2024</t>
        </is>
      </c>
      <c r="B319" s="1" t="n">
        <v>45443.60075231481</v>
      </c>
      <c r="C319" s="1" t="n">
        <v>46019</v>
      </c>
      <c r="D319" t="inlineStr">
        <is>
          <t>GOTLANDS LÄN</t>
        </is>
      </c>
      <c r="E319" t="inlineStr">
        <is>
          <t>GOTLAND</t>
        </is>
      </c>
      <c r="G319" t="n">
        <v>2.3</v>
      </c>
      <c r="H319" t="n">
        <v>0</v>
      </c>
      <c r="I319" t="n">
        <v>0</v>
      </c>
      <c r="J319" t="n">
        <v>0</v>
      </c>
      <c r="K319" t="n">
        <v>0</v>
      </c>
      <c r="L319" t="n">
        <v>0</v>
      </c>
      <c r="M319" t="n">
        <v>0</v>
      </c>
      <c r="N319" t="n">
        <v>0</v>
      </c>
      <c r="O319" t="n">
        <v>0</v>
      </c>
      <c r="P319" t="n">
        <v>0</v>
      </c>
      <c r="Q319" t="n">
        <v>0</v>
      </c>
      <c r="R319" s="2" t="inlineStr"/>
    </row>
    <row r="320" ht="15" customHeight="1">
      <c r="A320" t="inlineStr">
        <is>
          <t>A 17688-2024</t>
        </is>
      </c>
      <c r="B320" s="1" t="n">
        <v>45418.43575231481</v>
      </c>
      <c r="C320" s="1" t="n">
        <v>46019</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10158-2025</t>
        </is>
      </c>
      <c r="B321" s="1" t="n">
        <v>45719</v>
      </c>
      <c r="C321" s="1" t="n">
        <v>46019</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27694-2024</t>
        </is>
      </c>
      <c r="B322" s="1" t="n">
        <v>45475</v>
      </c>
      <c r="C322" s="1" t="n">
        <v>46019</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29207-2025</t>
        </is>
      </c>
      <c r="B323" s="1" t="n">
        <v>45823</v>
      </c>
      <c r="C323" s="1" t="n">
        <v>46019</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39764-2022</t>
        </is>
      </c>
      <c r="B324" s="1" t="n">
        <v>44819</v>
      </c>
      <c r="C324" s="1" t="n">
        <v>46019</v>
      </c>
      <c r="D324" t="inlineStr">
        <is>
          <t>GOTLANDS LÄN</t>
        </is>
      </c>
      <c r="E324" t="inlineStr">
        <is>
          <t>GOTLAND</t>
        </is>
      </c>
      <c r="F324" t="inlineStr">
        <is>
          <t>Kyrkan</t>
        </is>
      </c>
      <c r="G324" t="n">
        <v>3.7</v>
      </c>
      <c r="H324" t="n">
        <v>0</v>
      </c>
      <c r="I324" t="n">
        <v>0</v>
      </c>
      <c r="J324" t="n">
        <v>0</v>
      </c>
      <c r="K324" t="n">
        <v>0</v>
      </c>
      <c r="L324" t="n">
        <v>0</v>
      </c>
      <c r="M324" t="n">
        <v>0</v>
      </c>
      <c r="N324" t="n">
        <v>0</v>
      </c>
      <c r="O324" t="n">
        <v>0</v>
      </c>
      <c r="P324" t="n">
        <v>0</v>
      </c>
      <c r="Q324" t="n">
        <v>0</v>
      </c>
      <c r="R324" s="2" t="inlineStr"/>
    </row>
    <row r="325" ht="15" customHeight="1">
      <c r="A325" t="inlineStr">
        <is>
          <t>A 43911-2025</t>
        </is>
      </c>
      <c r="B325" s="1" t="n">
        <v>45914.3881712963</v>
      </c>
      <c r="C325" s="1" t="n">
        <v>46019</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29196-2025</t>
        </is>
      </c>
      <c r="B326" s="1" t="n">
        <v>45822</v>
      </c>
      <c r="C326" s="1" t="n">
        <v>46019</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6099-2024</t>
        </is>
      </c>
      <c r="B327" s="1" t="n">
        <v>45337</v>
      </c>
      <c r="C327" s="1" t="n">
        <v>46019</v>
      </c>
      <c r="D327" t="inlineStr">
        <is>
          <t>GOTLANDS LÄN</t>
        </is>
      </c>
      <c r="E327" t="inlineStr">
        <is>
          <t>GOTLAND</t>
        </is>
      </c>
      <c r="G327" t="n">
        <v>12.6</v>
      </c>
      <c r="H327" t="n">
        <v>0</v>
      </c>
      <c r="I327" t="n">
        <v>0</v>
      </c>
      <c r="J327" t="n">
        <v>0</v>
      </c>
      <c r="K327" t="n">
        <v>0</v>
      </c>
      <c r="L327" t="n">
        <v>0</v>
      </c>
      <c r="M327" t="n">
        <v>0</v>
      </c>
      <c r="N327" t="n">
        <v>0</v>
      </c>
      <c r="O327" t="n">
        <v>0</v>
      </c>
      <c r="P327" t="n">
        <v>0</v>
      </c>
      <c r="Q327" t="n">
        <v>0</v>
      </c>
      <c r="R327" s="2" t="inlineStr"/>
    </row>
    <row r="328" ht="15" customHeight="1">
      <c r="A328" t="inlineStr">
        <is>
          <t>A 8260-2023</t>
        </is>
      </c>
      <c r="B328" s="1" t="n">
        <v>44974.61608796296</v>
      </c>
      <c r="C328" s="1" t="n">
        <v>46019</v>
      </c>
      <c r="D328" t="inlineStr">
        <is>
          <t>GOTLANDS LÄN</t>
        </is>
      </c>
      <c r="E328" t="inlineStr">
        <is>
          <t>GOTLAND</t>
        </is>
      </c>
      <c r="G328" t="n">
        <v>2.9</v>
      </c>
      <c r="H328" t="n">
        <v>0</v>
      </c>
      <c r="I328" t="n">
        <v>0</v>
      </c>
      <c r="J328" t="n">
        <v>0</v>
      </c>
      <c r="K328" t="n">
        <v>0</v>
      </c>
      <c r="L328" t="n">
        <v>0</v>
      </c>
      <c r="M328" t="n">
        <v>0</v>
      </c>
      <c r="N328" t="n">
        <v>0</v>
      </c>
      <c r="O328" t="n">
        <v>0</v>
      </c>
      <c r="P328" t="n">
        <v>0</v>
      </c>
      <c r="Q328" t="n">
        <v>0</v>
      </c>
      <c r="R328" s="2" t="inlineStr"/>
    </row>
    <row r="329" ht="15" customHeight="1">
      <c r="A329" t="inlineStr">
        <is>
          <t>A 22287-2022</t>
        </is>
      </c>
      <c r="B329" s="1" t="n">
        <v>44712</v>
      </c>
      <c r="C329" s="1" t="n">
        <v>46019</v>
      </c>
      <c r="D329" t="inlineStr">
        <is>
          <t>GOTLANDS LÄN</t>
        </is>
      </c>
      <c r="E329" t="inlineStr">
        <is>
          <t>GOTLAND</t>
        </is>
      </c>
      <c r="G329" t="n">
        <v>6.1</v>
      </c>
      <c r="H329" t="n">
        <v>0</v>
      </c>
      <c r="I329" t="n">
        <v>0</v>
      </c>
      <c r="J329" t="n">
        <v>0</v>
      </c>
      <c r="K329" t="n">
        <v>0</v>
      </c>
      <c r="L329" t="n">
        <v>0</v>
      </c>
      <c r="M329" t="n">
        <v>0</v>
      </c>
      <c r="N329" t="n">
        <v>0</v>
      </c>
      <c r="O329" t="n">
        <v>0</v>
      </c>
      <c r="P329" t="n">
        <v>0</v>
      </c>
      <c r="Q329" t="n">
        <v>0</v>
      </c>
      <c r="R329" s="2" t="inlineStr"/>
    </row>
    <row r="330" ht="15" customHeight="1">
      <c r="A330" t="inlineStr">
        <is>
          <t>A 43951-2025</t>
        </is>
      </c>
      <c r="B330" s="1" t="n">
        <v>45915.38119212963</v>
      </c>
      <c r="C330" s="1" t="n">
        <v>46019</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44410-2025</t>
        </is>
      </c>
      <c r="B331" s="1" t="n">
        <v>45916.53699074074</v>
      </c>
      <c r="C331" s="1" t="n">
        <v>46019</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57534-2022</t>
        </is>
      </c>
      <c r="B332" s="1" t="n">
        <v>44896</v>
      </c>
      <c r="C332" s="1" t="n">
        <v>46019</v>
      </c>
      <c r="D332" t="inlineStr">
        <is>
          <t>GOTLANDS LÄN</t>
        </is>
      </c>
      <c r="E332" t="inlineStr">
        <is>
          <t>GOTLAND</t>
        </is>
      </c>
      <c r="G332" t="n">
        <v>0.6</v>
      </c>
      <c r="H332" t="n">
        <v>0</v>
      </c>
      <c r="I332" t="n">
        <v>0</v>
      </c>
      <c r="J332" t="n">
        <v>0</v>
      </c>
      <c r="K332" t="n">
        <v>0</v>
      </c>
      <c r="L332" t="n">
        <v>0</v>
      </c>
      <c r="M332" t="n">
        <v>0</v>
      </c>
      <c r="N332" t="n">
        <v>0</v>
      </c>
      <c r="O332" t="n">
        <v>0</v>
      </c>
      <c r="P332" t="n">
        <v>0</v>
      </c>
      <c r="Q332" t="n">
        <v>0</v>
      </c>
      <c r="R332" s="2" t="inlineStr"/>
    </row>
    <row r="333" ht="15" customHeight="1">
      <c r="A333" t="inlineStr">
        <is>
          <t>A 30061-2025</t>
        </is>
      </c>
      <c r="B333" s="1" t="n">
        <v>45826.61488425926</v>
      </c>
      <c r="C333" s="1" t="n">
        <v>46019</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44405-2025</t>
        </is>
      </c>
      <c r="B334" s="1" t="n">
        <v>45916.52405092592</v>
      </c>
      <c r="C334" s="1" t="n">
        <v>46019</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64660-2023</t>
        </is>
      </c>
      <c r="B335" s="1" t="n">
        <v>45281.60122685185</v>
      </c>
      <c r="C335" s="1" t="n">
        <v>46019</v>
      </c>
      <c r="D335" t="inlineStr">
        <is>
          <t>GOTLANDS LÄN</t>
        </is>
      </c>
      <c r="E335" t="inlineStr">
        <is>
          <t>GOTLAND</t>
        </is>
      </c>
      <c r="G335" t="n">
        <v>6.3</v>
      </c>
      <c r="H335" t="n">
        <v>0</v>
      </c>
      <c r="I335" t="n">
        <v>0</v>
      </c>
      <c r="J335" t="n">
        <v>0</v>
      </c>
      <c r="K335" t="n">
        <v>0</v>
      </c>
      <c r="L335" t="n">
        <v>0</v>
      </c>
      <c r="M335" t="n">
        <v>0</v>
      </c>
      <c r="N335" t="n">
        <v>0</v>
      </c>
      <c r="O335" t="n">
        <v>0</v>
      </c>
      <c r="P335" t="n">
        <v>0</v>
      </c>
      <c r="Q335" t="n">
        <v>0</v>
      </c>
      <c r="R335" s="2" t="inlineStr"/>
    </row>
    <row r="336" ht="15" customHeight="1">
      <c r="A336" t="inlineStr">
        <is>
          <t>A 58160-2024</t>
        </is>
      </c>
      <c r="B336" s="1" t="n">
        <v>45632.44927083333</v>
      </c>
      <c r="C336" s="1" t="n">
        <v>46019</v>
      </c>
      <c r="D336" t="inlineStr">
        <is>
          <t>GOTLANDS LÄN</t>
        </is>
      </c>
      <c r="E336" t="inlineStr">
        <is>
          <t>GOTLAND</t>
        </is>
      </c>
      <c r="G336" t="n">
        <v>5.6</v>
      </c>
      <c r="H336" t="n">
        <v>0</v>
      </c>
      <c r="I336" t="n">
        <v>0</v>
      </c>
      <c r="J336" t="n">
        <v>0</v>
      </c>
      <c r="K336" t="n">
        <v>0</v>
      </c>
      <c r="L336" t="n">
        <v>0</v>
      </c>
      <c r="M336" t="n">
        <v>0</v>
      </c>
      <c r="N336" t="n">
        <v>0</v>
      </c>
      <c r="O336" t="n">
        <v>0</v>
      </c>
      <c r="P336" t="n">
        <v>0</v>
      </c>
      <c r="Q336" t="n">
        <v>0</v>
      </c>
      <c r="R336" s="2" t="inlineStr"/>
    </row>
    <row r="337" ht="15" customHeight="1">
      <c r="A337" t="inlineStr">
        <is>
          <t>A 20855-2023</t>
        </is>
      </c>
      <c r="B337" s="1" t="n">
        <v>45058.82172453704</v>
      </c>
      <c r="C337" s="1" t="n">
        <v>46019</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26391-2025</t>
        </is>
      </c>
      <c r="B338" s="1" t="n">
        <v>45806</v>
      </c>
      <c r="C338" s="1" t="n">
        <v>46019</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16109-2025</t>
        </is>
      </c>
      <c r="B339" s="1" t="n">
        <v>45750</v>
      </c>
      <c r="C339" s="1" t="n">
        <v>46019</v>
      </c>
      <c r="D339" t="inlineStr">
        <is>
          <t>GOTLANDS LÄN</t>
        </is>
      </c>
      <c r="E339" t="inlineStr">
        <is>
          <t>GOTLAND</t>
        </is>
      </c>
      <c r="G339" t="n">
        <v>4.9</v>
      </c>
      <c r="H339" t="n">
        <v>0</v>
      </c>
      <c r="I339" t="n">
        <v>0</v>
      </c>
      <c r="J339" t="n">
        <v>0</v>
      </c>
      <c r="K339" t="n">
        <v>0</v>
      </c>
      <c r="L339" t="n">
        <v>0</v>
      </c>
      <c r="M339" t="n">
        <v>0</v>
      </c>
      <c r="N339" t="n">
        <v>0</v>
      </c>
      <c r="O339" t="n">
        <v>0</v>
      </c>
      <c r="P339" t="n">
        <v>0</v>
      </c>
      <c r="Q339" t="n">
        <v>0</v>
      </c>
      <c r="R339" s="2" t="inlineStr"/>
    </row>
    <row r="340" ht="15" customHeight="1">
      <c r="A340" t="inlineStr">
        <is>
          <t>A 60709-2023</t>
        </is>
      </c>
      <c r="B340" s="1" t="n">
        <v>45260</v>
      </c>
      <c r="C340" s="1" t="n">
        <v>46019</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32467-2025</t>
        </is>
      </c>
      <c r="B341" s="1" t="n">
        <v>45838.42111111111</v>
      </c>
      <c r="C341" s="1" t="n">
        <v>46019</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1000-2024</t>
        </is>
      </c>
      <c r="B342" s="1" t="n">
        <v>45301.63371527778</v>
      </c>
      <c r="C342" s="1" t="n">
        <v>46019</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1010-2024</t>
        </is>
      </c>
      <c r="B343" s="1" t="n">
        <v>45301</v>
      </c>
      <c r="C343" s="1" t="n">
        <v>46019</v>
      </c>
      <c r="D343" t="inlineStr">
        <is>
          <t>GOTLANDS LÄN</t>
        </is>
      </c>
      <c r="E343" t="inlineStr">
        <is>
          <t>GOTLAND</t>
        </is>
      </c>
      <c r="G343" t="n">
        <v>2.4</v>
      </c>
      <c r="H343" t="n">
        <v>0</v>
      </c>
      <c r="I343" t="n">
        <v>0</v>
      </c>
      <c r="J343" t="n">
        <v>0</v>
      </c>
      <c r="K343" t="n">
        <v>0</v>
      </c>
      <c r="L343" t="n">
        <v>0</v>
      </c>
      <c r="M343" t="n">
        <v>0</v>
      </c>
      <c r="N343" t="n">
        <v>0</v>
      </c>
      <c r="O343" t="n">
        <v>0</v>
      </c>
      <c r="P343" t="n">
        <v>0</v>
      </c>
      <c r="Q343" t="n">
        <v>0</v>
      </c>
      <c r="R343" s="2" t="inlineStr"/>
    </row>
    <row r="344" ht="15" customHeight="1">
      <c r="A344" t="inlineStr">
        <is>
          <t>A 65249-2023</t>
        </is>
      </c>
      <c r="B344" s="1" t="n">
        <v>45290</v>
      </c>
      <c r="C344" s="1" t="n">
        <v>46019</v>
      </c>
      <c r="D344" t="inlineStr">
        <is>
          <t>GOTLANDS LÄN</t>
        </is>
      </c>
      <c r="E344" t="inlineStr">
        <is>
          <t>GOTLAND</t>
        </is>
      </c>
      <c r="G344" t="n">
        <v>2.4</v>
      </c>
      <c r="H344" t="n">
        <v>0</v>
      </c>
      <c r="I344" t="n">
        <v>0</v>
      </c>
      <c r="J344" t="n">
        <v>0</v>
      </c>
      <c r="K344" t="n">
        <v>0</v>
      </c>
      <c r="L344" t="n">
        <v>0</v>
      </c>
      <c r="M344" t="n">
        <v>0</v>
      </c>
      <c r="N344" t="n">
        <v>0</v>
      </c>
      <c r="O344" t="n">
        <v>0</v>
      </c>
      <c r="P344" t="n">
        <v>0</v>
      </c>
      <c r="Q344" t="n">
        <v>0</v>
      </c>
      <c r="R344" s="2" t="inlineStr"/>
    </row>
    <row r="345" ht="15" customHeight="1">
      <c r="A345" t="inlineStr">
        <is>
          <t>A 46836-2025</t>
        </is>
      </c>
      <c r="B345" s="1" t="n">
        <v>45928.31511574074</v>
      </c>
      <c r="C345" s="1" t="n">
        <v>46019</v>
      </c>
      <c r="D345" t="inlineStr">
        <is>
          <t>GOTLANDS LÄN</t>
        </is>
      </c>
      <c r="E345" t="inlineStr">
        <is>
          <t>GOTLAND</t>
        </is>
      </c>
      <c r="G345" t="n">
        <v>2.8</v>
      </c>
      <c r="H345" t="n">
        <v>0</v>
      </c>
      <c r="I345" t="n">
        <v>0</v>
      </c>
      <c r="J345" t="n">
        <v>0</v>
      </c>
      <c r="K345" t="n">
        <v>0</v>
      </c>
      <c r="L345" t="n">
        <v>0</v>
      </c>
      <c r="M345" t="n">
        <v>0</v>
      </c>
      <c r="N345" t="n">
        <v>0</v>
      </c>
      <c r="O345" t="n">
        <v>0</v>
      </c>
      <c r="P345" t="n">
        <v>0</v>
      </c>
      <c r="Q345" t="n">
        <v>0</v>
      </c>
      <c r="R345" s="2" t="inlineStr"/>
    </row>
    <row r="346" ht="15" customHeight="1">
      <c r="A346" t="inlineStr">
        <is>
          <t>A 30956-2024</t>
        </is>
      </c>
      <c r="B346" s="1" t="n">
        <v>45499.42527777778</v>
      </c>
      <c r="C346" s="1" t="n">
        <v>46019</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32379-2025</t>
        </is>
      </c>
      <c r="B347" s="1" t="n">
        <v>45837</v>
      </c>
      <c r="C347" s="1" t="n">
        <v>46019</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12596-2023</t>
        </is>
      </c>
      <c r="B348" s="1" t="n">
        <v>45000.43310185185</v>
      </c>
      <c r="C348" s="1" t="n">
        <v>46019</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47637-2025</t>
        </is>
      </c>
      <c r="B349" s="1" t="n">
        <v>45931.49753472222</v>
      </c>
      <c r="C349" s="1" t="n">
        <v>46019</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8045-2022</t>
        </is>
      </c>
      <c r="B350" s="1" t="n">
        <v>44609</v>
      </c>
      <c r="C350" s="1" t="n">
        <v>46019</v>
      </c>
      <c r="D350" t="inlineStr">
        <is>
          <t>GOTLANDS LÄN</t>
        </is>
      </c>
      <c r="E350" t="inlineStr">
        <is>
          <t>GOTLAND</t>
        </is>
      </c>
      <c r="G350" t="n">
        <v>7</v>
      </c>
      <c r="H350" t="n">
        <v>0</v>
      </c>
      <c r="I350" t="n">
        <v>0</v>
      </c>
      <c r="J350" t="n">
        <v>0</v>
      </c>
      <c r="K350" t="n">
        <v>0</v>
      </c>
      <c r="L350" t="n">
        <v>0</v>
      </c>
      <c r="M350" t="n">
        <v>0</v>
      </c>
      <c r="N350" t="n">
        <v>0</v>
      </c>
      <c r="O350" t="n">
        <v>0</v>
      </c>
      <c r="P350" t="n">
        <v>0</v>
      </c>
      <c r="Q350" t="n">
        <v>0</v>
      </c>
      <c r="R350" s="2" t="inlineStr"/>
    </row>
    <row r="351" ht="15" customHeight="1">
      <c r="A351" t="inlineStr">
        <is>
          <t>A 33007-2025</t>
        </is>
      </c>
      <c r="B351" s="1" t="n">
        <v>45840</v>
      </c>
      <c r="C351" s="1" t="n">
        <v>46019</v>
      </c>
      <c r="D351" t="inlineStr">
        <is>
          <t>GOTLANDS LÄN</t>
        </is>
      </c>
      <c r="E351" t="inlineStr">
        <is>
          <t>GOTLAND</t>
        </is>
      </c>
      <c r="G351" t="n">
        <v>4.9</v>
      </c>
      <c r="H351" t="n">
        <v>0</v>
      </c>
      <c r="I351" t="n">
        <v>0</v>
      </c>
      <c r="J351" t="n">
        <v>0</v>
      </c>
      <c r="K351" t="n">
        <v>0</v>
      </c>
      <c r="L351" t="n">
        <v>0</v>
      </c>
      <c r="M351" t="n">
        <v>0</v>
      </c>
      <c r="N351" t="n">
        <v>0</v>
      </c>
      <c r="O351" t="n">
        <v>0</v>
      </c>
      <c r="P351" t="n">
        <v>0</v>
      </c>
      <c r="Q351" t="n">
        <v>0</v>
      </c>
      <c r="R351" s="2" t="inlineStr"/>
    </row>
    <row r="352" ht="15" customHeight="1">
      <c r="A352" t="inlineStr">
        <is>
          <t>A 32378-2025</t>
        </is>
      </c>
      <c r="B352" s="1" t="n">
        <v>45837</v>
      </c>
      <c r="C352" s="1" t="n">
        <v>46019</v>
      </c>
      <c r="D352" t="inlineStr">
        <is>
          <t>GOTLANDS LÄN</t>
        </is>
      </c>
      <c r="E352" t="inlineStr">
        <is>
          <t>GOTLAND</t>
        </is>
      </c>
      <c r="G352" t="n">
        <v>4.1</v>
      </c>
      <c r="H352" t="n">
        <v>0</v>
      </c>
      <c r="I352" t="n">
        <v>0</v>
      </c>
      <c r="J352" t="n">
        <v>0</v>
      </c>
      <c r="K352" t="n">
        <v>0</v>
      </c>
      <c r="L352" t="n">
        <v>0</v>
      </c>
      <c r="M352" t="n">
        <v>0</v>
      </c>
      <c r="N352" t="n">
        <v>0</v>
      </c>
      <c r="O352" t="n">
        <v>0</v>
      </c>
      <c r="P352" t="n">
        <v>0</v>
      </c>
      <c r="Q352" t="n">
        <v>0</v>
      </c>
      <c r="R352" s="2" t="inlineStr"/>
    </row>
    <row r="353" ht="15" customHeight="1">
      <c r="A353" t="inlineStr">
        <is>
          <t>A 999-2024</t>
        </is>
      </c>
      <c r="B353" s="1" t="n">
        <v>45301</v>
      </c>
      <c r="C353" s="1" t="n">
        <v>46019</v>
      </c>
      <c r="D353" t="inlineStr">
        <is>
          <t>GOTLANDS LÄN</t>
        </is>
      </c>
      <c r="E353" t="inlineStr">
        <is>
          <t>GOTLAND</t>
        </is>
      </c>
      <c r="G353" t="n">
        <v>1</v>
      </c>
      <c r="H353" t="n">
        <v>0</v>
      </c>
      <c r="I353" t="n">
        <v>0</v>
      </c>
      <c r="J353" t="n">
        <v>0</v>
      </c>
      <c r="K353" t="n">
        <v>0</v>
      </c>
      <c r="L353" t="n">
        <v>0</v>
      </c>
      <c r="M353" t="n">
        <v>0</v>
      </c>
      <c r="N353" t="n">
        <v>0</v>
      </c>
      <c r="O353" t="n">
        <v>0</v>
      </c>
      <c r="P353" t="n">
        <v>0</v>
      </c>
      <c r="Q353" t="n">
        <v>0</v>
      </c>
      <c r="R353" s="2" t="inlineStr"/>
    </row>
    <row r="354" ht="15" customHeight="1">
      <c r="A354" t="inlineStr">
        <is>
          <t>A 65901-2021</t>
        </is>
      </c>
      <c r="B354" s="1" t="n">
        <v>44516</v>
      </c>
      <c r="C354" s="1" t="n">
        <v>46019</v>
      </c>
      <c r="D354" t="inlineStr">
        <is>
          <t>GOTLANDS LÄN</t>
        </is>
      </c>
      <c r="E354" t="inlineStr">
        <is>
          <t>GOTLAND</t>
        </is>
      </c>
      <c r="G354" t="n">
        <v>4.9</v>
      </c>
      <c r="H354" t="n">
        <v>0</v>
      </c>
      <c r="I354" t="n">
        <v>0</v>
      </c>
      <c r="J354" t="n">
        <v>0</v>
      </c>
      <c r="K354" t="n">
        <v>0</v>
      </c>
      <c r="L354" t="n">
        <v>0</v>
      </c>
      <c r="M354" t="n">
        <v>0</v>
      </c>
      <c r="N354" t="n">
        <v>0</v>
      </c>
      <c r="O354" t="n">
        <v>0</v>
      </c>
      <c r="P354" t="n">
        <v>0</v>
      </c>
      <c r="Q354" t="n">
        <v>0</v>
      </c>
      <c r="R354" s="2" t="inlineStr"/>
    </row>
    <row r="355" ht="15" customHeight="1">
      <c r="A355" t="inlineStr">
        <is>
          <t>A 47762-2023</t>
        </is>
      </c>
      <c r="B355" s="1" t="n">
        <v>45203.86256944444</v>
      </c>
      <c r="C355" s="1" t="n">
        <v>46019</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40294-2022</t>
        </is>
      </c>
      <c r="B356" s="1" t="n">
        <v>44821</v>
      </c>
      <c r="C356" s="1" t="n">
        <v>46019</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56688-2025</t>
        </is>
      </c>
      <c r="B357" s="1" t="n">
        <v>45975.84331018518</v>
      </c>
      <c r="C357" s="1" t="n">
        <v>46019</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27602-2023</t>
        </is>
      </c>
      <c r="B358" s="1" t="n">
        <v>45097</v>
      </c>
      <c r="C358" s="1" t="n">
        <v>46019</v>
      </c>
      <c r="D358" t="inlineStr">
        <is>
          <t>GOTLANDS LÄN</t>
        </is>
      </c>
      <c r="E358" t="inlineStr">
        <is>
          <t>GOTLAND</t>
        </is>
      </c>
      <c r="G358" t="n">
        <v>2.7</v>
      </c>
      <c r="H358" t="n">
        <v>0</v>
      </c>
      <c r="I358" t="n">
        <v>0</v>
      </c>
      <c r="J358" t="n">
        <v>0</v>
      </c>
      <c r="K358" t="n">
        <v>0</v>
      </c>
      <c r="L358" t="n">
        <v>0</v>
      </c>
      <c r="M358" t="n">
        <v>0</v>
      </c>
      <c r="N358" t="n">
        <v>0</v>
      </c>
      <c r="O358" t="n">
        <v>0</v>
      </c>
      <c r="P358" t="n">
        <v>0</v>
      </c>
      <c r="Q358" t="n">
        <v>0</v>
      </c>
      <c r="R358" s="2" t="inlineStr"/>
    </row>
    <row r="359" ht="15" customHeight="1">
      <c r="A359" t="inlineStr">
        <is>
          <t>A 47147-2025</t>
        </is>
      </c>
      <c r="B359" s="1" t="n">
        <v>45929</v>
      </c>
      <c r="C359" s="1" t="n">
        <v>46019</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58780-2024</t>
        </is>
      </c>
      <c r="B360" s="1" t="n">
        <v>45635.84113425926</v>
      </c>
      <c r="C360" s="1" t="n">
        <v>46019</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12322-2025</t>
        </is>
      </c>
      <c r="B361" s="1" t="n">
        <v>45730</v>
      </c>
      <c r="C361" s="1" t="n">
        <v>46019</v>
      </c>
      <c r="D361" t="inlineStr">
        <is>
          <t>GOTLANDS LÄN</t>
        </is>
      </c>
      <c r="E361" t="inlineStr">
        <is>
          <t>GOTLAND</t>
        </is>
      </c>
      <c r="G361" t="n">
        <v>1.4</v>
      </c>
      <c r="H361" t="n">
        <v>0</v>
      </c>
      <c r="I361" t="n">
        <v>0</v>
      </c>
      <c r="J361" t="n">
        <v>0</v>
      </c>
      <c r="K361" t="n">
        <v>0</v>
      </c>
      <c r="L361" t="n">
        <v>0</v>
      </c>
      <c r="M361" t="n">
        <v>0</v>
      </c>
      <c r="N361" t="n">
        <v>0</v>
      </c>
      <c r="O361" t="n">
        <v>0</v>
      </c>
      <c r="P361" t="n">
        <v>0</v>
      </c>
      <c r="Q361" t="n">
        <v>0</v>
      </c>
      <c r="R361" s="2" t="inlineStr"/>
    </row>
    <row r="362" ht="15" customHeight="1">
      <c r="A362" t="inlineStr">
        <is>
          <t>A 35550-2025</t>
        </is>
      </c>
      <c r="B362" s="1" t="n">
        <v>45856.49324074074</v>
      </c>
      <c r="C362" s="1" t="n">
        <v>46019</v>
      </c>
      <c r="D362" t="inlineStr">
        <is>
          <t>GOTLANDS LÄN</t>
        </is>
      </c>
      <c r="E362" t="inlineStr">
        <is>
          <t>GOTLAND</t>
        </is>
      </c>
      <c r="G362" t="n">
        <v>3.2</v>
      </c>
      <c r="H362" t="n">
        <v>0</v>
      </c>
      <c r="I362" t="n">
        <v>0</v>
      </c>
      <c r="J362" t="n">
        <v>0</v>
      </c>
      <c r="K362" t="n">
        <v>0</v>
      </c>
      <c r="L362" t="n">
        <v>0</v>
      </c>
      <c r="M362" t="n">
        <v>0</v>
      </c>
      <c r="N362" t="n">
        <v>0</v>
      </c>
      <c r="O362" t="n">
        <v>0</v>
      </c>
      <c r="P362" t="n">
        <v>0</v>
      </c>
      <c r="Q362" t="n">
        <v>0</v>
      </c>
      <c r="R362" s="2" t="inlineStr"/>
    </row>
    <row r="363" ht="15" customHeight="1">
      <c r="A363" t="inlineStr">
        <is>
          <t>A 15413-2025</t>
        </is>
      </c>
      <c r="B363" s="1" t="n">
        <v>45747.451875</v>
      </c>
      <c r="C363" s="1" t="n">
        <v>46019</v>
      </c>
      <c r="D363" t="inlineStr">
        <is>
          <t>GOTLANDS LÄN</t>
        </is>
      </c>
      <c r="E363" t="inlineStr">
        <is>
          <t>GOTLAND</t>
        </is>
      </c>
      <c r="G363" t="n">
        <v>0.6</v>
      </c>
      <c r="H363" t="n">
        <v>0</v>
      </c>
      <c r="I363" t="n">
        <v>0</v>
      </c>
      <c r="J363" t="n">
        <v>0</v>
      </c>
      <c r="K363" t="n">
        <v>0</v>
      </c>
      <c r="L363" t="n">
        <v>0</v>
      </c>
      <c r="M363" t="n">
        <v>0</v>
      </c>
      <c r="N363" t="n">
        <v>0</v>
      </c>
      <c r="O363" t="n">
        <v>0</v>
      </c>
      <c r="P363" t="n">
        <v>0</v>
      </c>
      <c r="Q363" t="n">
        <v>0</v>
      </c>
      <c r="R363" s="2" t="inlineStr"/>
    </row>
    <row r="364" ht="15" customHeight="1">
      <c r="A364" t="inlineStr">
        <is>
          <t>A 24192-2023</t>
        </is>
      </c>
      <c r="B364" s="1" t="n">
        <v>45079</v>
      </c>
      <c r="C364" s="1" t="n">
        <v>46019</v>
      </c>
      <c r="D364" t="inlineStr">
        <is>
          <t>GOTLANDS LÄN</t>
        </is>
      </c>
      <c r="E364" t="inlineStr">
        <is>
          <t>GOTLAND</t>
        </is>
      </c>
      <c r="G364" t="n">
        <v>2.1</v>
      </c>
      <c r="H364" t="n">
        <v>0</v>
      </c>
      <c r="I364" t="n">
        <v>0</v>
      </c>
      <c r="J364" t="n">
        <v>0</v>
      </c>
      <c r="K364" t="n">
        <v>0</v>
      </c>
      <c r="L364" t="n">
        <v>0</v>
      </c>
      <c r="M364" t="n">
        <v>0</v>
      </c>
      <c r="N364" t="n">
        <v>0</v>
      </c>
      <c r="O364" t="n">
        <v>0</v>
      </c>
      <c r="P364" t="n">
        <v>0</v>
      </c>
      <c r="Q364" t="n">
        <v>0</v>
      </c>
      <c r="R364" s="2" t="inlineStr"/>
    </row>
    <row r="365" ht="15" customHeight="1">
      <c r="A365" t="inlineStr">
        <is>
          <t>A 30282-2022</t>
        </is>
      </c>
      <c r="B365" s="1" t="n">
        <v>44760</v>
      </c>
      <c r="C365" s="1" t="n">
        <v>46019</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7835-2024</t>
        </is>
      </c>
      <c r="B366" s="1" t="n">
        <v>45349.83138888889</v>
      </c>
      <c r="C366" s="1" t="n">
        <v>46019</v>
      </c>
      <c r="D366" t="inlineStr">
        <is>
          <t>GOTLANDS LÄN</t>
        </is>
      </c>
      <c r="E366" t="inlineStr">
        <is>
          <t>GOTLAND</t>
        </is>
      </c>
      <c r="G366" t="n">
        <v>3.8</v>
      </c>
      <c r="H366" t="n">
        <v>0</v>
      </c>
      <c r="I366" t="n">
        <v>0</v>
      </c>
      <c r="J366" t="n">
        <v>0</v>
      </c>
      <c r="K366" t="n">
        <v>0</v>
      </c>
      <c r="L366" t="n">
        <v>0</v>
      </c>
      <c r="M366" t="n">
        <v>0</v>
      </c>
      <c r="N366" t="n">
        <v>0</v>
      </c>
      <c r="O366" t="n">
        <v>0</v>
      </c>
      <c r="P366" t="n">
        <v>0</v>
      </c>
      <c r="Q366" t="n">
        <v>0</v>
      </c>
      <c r="R366" s="2" t="inlineStr"/>
    </row>
    <row r="367" ht="15" customHeight="1">
      <c r="A367" t="inlineStr">
        <is>
          <t>A 35096-2025</t>
        </is>
      </c>
      <c r="B367" s="1" t="n">
        <v>45852.54356481481</v>
      </c>
      <c r="C367" s="1" t="n">
        <v>46019</v>
      </c>
      <c r="D367" t="inlineStr">
        <is>
          <t>GOTLANDS LÄN</t>
        </is>
      </c>
      <c r="E367" t="inlineStr">
        <is>
          <t>GOTLAND</t>
        </is>
      </c>
      <c r="F367" t="inlineStr">
        <is>
          <t>Kyrkan</t>
        </is>
      </c>
      <c r="G367" t="n">
        <v>1</v>
      </c>
      <c r="H367" t="n">
        <v>0</v>
      </c>
      <c r="I367" t="n">
        <v>0</v>
      </c>
      <c r="J367" t="n">
        <v>0</v>
      </c>
      <c r="K367" t="n">
        <v>0</v>
      </c>
      <c r="L367" t="n">
        <v>0</v>
      </c>
      <c r="M367" t="n">
        <v>0</v>
      </c>
      <c r="N367" t="n">
        <v>0</v>
      </c>
      <c r="O367" t="n">
        <v>0</v>
      </c>
      <c r="P367" t="n">
        <v>0</v>
      </c>
      <c r="Q367" t="n">
        <v>0</v>
      </c>
      <c r="R367" s="2" t="inlineStr"/>
    </row>
    <row r="368" ht="15" customHeight="1">
      <c r="A368" t="inlineStr">
        <is>
          <t>A 10650-2022</t>
        </is>
      </c>
      <c r="B368" s="1" t="n">
        <v>44624.57945601852</v>
      </c>
      <c r="C368" s="1" t="n">
        <v>46019</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35123-2025</t>
        </is>
      </c>
      <c r="B369" s="1" t="n">
        <v>45852.614375</v>
      </c>
      <c r="C369" s="1" t="n">
        <v>46019</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47578-2025</t>
        </is>
      </c>
      <c r="B370" s="1" t="n">
        <v>45931</v>
      </c>
      <c r="C370" s="1" t="n">
        <v>46019</v>
      </c>
      <c r="D370" t="inlineStr">
        <is>
          <t>GOTLANDS LÄN</t>
        </is>
      </c>
      <c r="E370" t="inlineStr">
        <is>
          <t>GOTLAND</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26810-2021</t>
        </is>
      </c>
      <c r="B371" s="1" t="n">
        <v>44349.55087962963</v>
      </c>
      <c r="C371" s="1" t="n">
        <v>46019</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35290-2025</t>
        </is>
      </c>
      <c r="B372" s="1" t="n">
        <v>45854.38502314815</v>
      </c>
      <c r="C372" s="1" t="n">
        <v>46019</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30104-2025</t>
        </is>
      </c>
      <c r="B373" s="1" t="n">
        <v>45826.68806712963</v>
      </c>
      <c r="C373" s="1" t="n">
        <v>46019</v>
      </c>
      <c r="D373" t="inlineStr">
        <is>
          <t>GOTLANDS LÄN</t>
        </is>
      </c>
      <c r="E373" t="inlineStr">
        <is>
          <t>GOTLAND</t>
        </is>
      </c>
      <c r="G373" t="n">
        <v>15.4</v>
      </c>
      <c r="H373" t="n">
        <v>0</v>
      </c>
      <c r="I373" t="n">
        <v>0</v>
      </c>
      <c r="J373" t="n">
        <v>0</v>
      </c>
      <c r="K373" t="n">
        <v>0</v>
      </c>
      <c r="L373" t="n">
        <v>0</v>
      </c>
      <c r="M373" t="n">
        <v>0</v>
      </c>
      <c r="N373" t="n">
        <v>0</v>
      </c>
      <c r="O373" t="n">
        <v>0</v>
      </c>
      <c r="P373" t="n">
        <v>0</v>
      </c>
      <c r="Q373" t="n">
        <v>0</v>
      </c>
      <c r="R373" s="2" t="inlineStr"/>
    </row>
    <row r="374" ht="15" customHeight="1">
      <c r="A374" t="inlineStr">
        <is>
          <t>A 33011-2025</t>
        </is>
      </c>
      <c r="B374" s="1" t="n">
        <v>45840</v>
      </c>
      <c r="C374" s="1" t="n">
        <v>46019</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32669-2024</t>
        </is>
      </c>
      <c r="B375" s="1" t="n">
        <v>45514</v>
      </c>
      <c r="C375" s="1" t="n">
        <v>46019</v>
      </c>
      <c r="D375" t="inlineStr">
        <is>
          <t>GOTLANDS LÄN</t>
        </is>
      </c>
      <c r="E375" t="inlineStr">
        <is>
          <t>GOTLAND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49690-2025</t>
        </is>
      </c>
      <c r="B376" s="1" t="n">
        <v>45939.66730324074</v>
      </c>
      <c r="C376" s="1" t="n">
        <v>46019</v>
      </c>
      <c r="D376" t="inlineStr">
        <is>
          <t>GOTLANDS LÄN</t>
        </is>
      </c>
      <c r="E376" t="inlineStr">
        <is>
          <t>GOTLAND</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46019</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28425-2023</t>
        </is>
      </c>
      <c r="B378" s="1" t="n">
        <v>45102</v>
      </c>
      <c r="C378" s="1" t="n">
        <v>46019</v>
      </c>
      <c r="D378" t="inlineStr">
        <is>
          <t>GOTLANDS LÄN</t>
        </is>
      </c>
      <c r="E378" t="inlineStr">
        <is>
          <t>GOTLAND</t>
        </is>
      </c>
      <c r="G378" t="n">
        <v>0.5</v>
      </c>
      <c r="H378" t="n">
        <v>0</v>
      </c>
      <c r="I378" t="n">
        <v>0</v>
      </c>
      <c r="J378" t="n">
        <v>0</v>
      </c>
      <c r="K378" t="n">
        <v>0</v>
      </c>
      <c r="L378" t="n">
        <v>0</v>
      </c>
      <c r="M378" t="n">
        <v>0</v>
      </c>
      <c r="N378" t="n">
        <v>0</v>
      </c>
      <c r="O378" t="n">
        <v>0</v>
      </c>
      <c r="P378" t="n">
        <v>0</v>
      </c>
      <c r="Q378" t="n">
        <v>0</v>
      </c>
      <c r="R378" s="2" t="inlineStr"/>
    </row>
    <row r="379" ht="15" customHeight="1">
      <c r="A379" t="inlineStr">
        <is>
          <t>A 13037-2025</t>
        </is>
      </c>
      <c r="B379" s="1" t="n">
        <v>45734</v>
      </c>
      <c r="C379" s="1" t="n">
        <v>46019</v>
      </c>
      <c r="D379" t="inlineStr">
        <is>
          <t>GOTLANDS LÄN</t>
        </is>
      </c>
      <c r="E379" t="inlineStr">
        <is>
          <t>GOTLAND</t>
        </is>
      </c>
      <c r="G379" t="n">
        <v>9.5</v>
      </c>
      <c r="H379" t="n">
        <v>0</v>
      </c>
      <c r="I379" t="n">
        <v>0</v>
      </c>
      <c r="J379" t="n">
        <v>0</v>
      </c>
      <c r="K379" t="n">
        <v>0</v>
      </c>
      <c r="L379" t="n">
        <v>0</v>
      </c>
      <c r="M379" t="n">
        <v>0</v>
      </c>
      <c r="N379" t="n">
        <v>0</v>
      </c>
      <c r="O379" t="n">
        <v>0</v>
      </c>
      <c r="P379" t="n">
        <v>0</v>
      </c>
      <c r="Q379" t="n">
        <v>0</v>
      </c>
      <c r="R379" s="2" t="inlineStr"/>
    </row>
    <row r="380" ht="15" customHeight="1">
      <c r="A380" t="inlineStr">
        <is>
          <t>A 30488-2025</t>
        </is>
      </c>
      <c r="B380" s="1" t="n">
        <v>45830</v>
      </c>
      <c r="C380" s="1" t="n">
        <v>46019</v>
      </c>
      <c r="D380" t="inlineStr">
        <is>
          <t>GOTLANDS LÄN</t>
        </is>
      </c>
      <c r="E380" t="inlineStr">
        <is>
          <t>GOTLAND</t>
        </is>
      </c>
      <c r="F380" t="inlineStr">
        <is>
          <t>Kyrkan</t>
        </is>
      </c>
      <c r="G380" t="n">
        <v>3.9</v>
      </c>
      <c r="H380" t="n">
        <v>0</v>
      </c>
      <c r="I380" t="n">
        <v>0</v>
      </c>
      <c r="J380" t="n">
        <v>0</v>
      </c>
      <c r="K380" t="n">
        <v>0</v>
      </c>
      <c r="L380" t="n">
        <v>0</v>
      </c>
      <c r="M380" t="n">
        <v>0</v>
      </c>
      <c r="N380" t="n">
        <v>0</v>
      </c>
      <c r="O380" t="n">
        <v>0</v>
      </c>
      <c r="P380" t="n">
        <v>0</v>
      </c>
      <c r="Q380" t="n">
        <v>0</v>
      </c>
      <c r="R380" s="2" t="inlineStr"/>
    </row>
    <row r="381" ht="15" customHeight="1">
      <c r="A381" t="inlineStr">
        <is>
          <t>A 15216-2025</t>
        </is>
      </c>
      <c r="B381" s="1" t="n">
        <v>45744</v>
      </c>
      <c r="C381" s="1" t="n">
        <v>46019</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15001-2025</t>
        </is>
      </c>
      <c r="B382" s="1" t="n">
        <v>45743</v>
      </c>
      <c r="C382" s="1" t="n">
        <v>46019</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43790-2024</t>
        </is>
      </c>
      <c r="B383" s="1" t="n">
        <v>45571</v>
      </c>
      <c r="C383" s="1" t="n">
        <v>46019</v>
      </c>
      <c r="D383" t="inlineStr">
        <is>
          <t>GOTLANDS LÄN</t>
        </is>
      </c>
      <c r="E383" t="inlineStr">
        <is>
          <t>GOTLAND</t>
        </is>
      </c>
      <c r="G383" t="n">
        <v>3.5</v>
      </c>
      <c r="H383" t="n">
        <v>0</v>
      </c>
      <c r="I383" t="n">
        <v>0</v>
      </c>
      <c r="J383" t="n">
        <v>0</v>
      </c>
      <c r="K383" t="n">
        <v>0</v>
      </c>
      <c r="L383" t="n">
        <v>0</v>
      </c>
      <c r="M383" t="n">
        <v>0</v>
      </c>
      <c r="N383" t="n">
        <v>0</v>
      </c>
      <c r="O383" t="n">
        <v>0</v>
      </c>
      <c r="P383" t="n">
        <v>0</v>
      </c>
      <c r="Q383" t="n">
        <v>0</v>
      </c>
      <c r="R383" s="2" t="inlineStr"/>
    </row>
    <row r="384" ht="15" customHeight="1">
      <c r="A384" t="inlineStr">
        <is>
          <t>A 17847-2025</t>
        </is>
      </c>
      <c r="B384" s="1" t="n">
        <v>45758</v>
      </c>
      <c r="C384" s="1" t="n">
        <v>46019</v>
      </c>
      <c r="D384" t="inlineStr">
        <is>
          <t>GOTLANDS LÄN</t>
        </is>
      </c>
      <c r="E384" t="inlineStr">
        <is>
          <t>GOTLAND</t>
        </is>
      </c>
      <c r="G384" t="n">
        <v>1.9</v>
      </c>
      <c r="H384" t="n">
        <v>0</v>
      </c>
      <c r="I384" t="n">
        <v>0</v>
      </c>
      <c r="J384" t="n">
        <v>0</v>
      </c>
      <c r="K384" t="n">
        <v>0</v>
      </c>
      <c r="L384" t="n">
        <v>0</v>
      </c>
      <c r="M384" t="n">
        <v>0</v>
      </c>
      <c r="N384" t="n">
        <v>0</v>
      </c>
      <c r="O384" t="n">
        <v>0</v>
      </c>
      <c r="P384" t="n">
        <v>0</v>
      </c>
      <c r="Q384" t="n">
        <v>0</v>
      </c>
      <c r="R384" s="2" t="inlineStr"/>
    </row>
    <row r="385" ht="15" customHeight="1">
      <c r="A385" t="inlineStr">
        <is>
          <t>A 36319-2025</t>
        </is>
      </c>
      <c r="B385" s="1" t="n">
        <v>45868</v>
      </c>
      <c r="C385" s="1" t="n">
        <v>46019</v>
      </c>
      <c r="D385" t="inlineStr">
        <is>
          <t>GOTLANDS LÄN</t>
        </is>
      </c>
      <c r="E385" t="inlineStr">
        <is>
          <t>GOTLAND</t>
        </is>
      </c>
      <c r="G385" t="n">
        <v>2.9</v>
      </c>
      <c r="H385" t="n">
        <v>0</v>
      </c>
      <c r="I385" t="n">
        <v>0</v>
      </c>
      <c r="J385" t="n">
        <v>0</v>
      </c>
      <c r="K385" t="n">
        <v>0</v>
      </c>
      <c r="L385" t="n">
        <v>0</v>
      </c>
      <c r="M385" t="n">
        <v>0</v>
      </c>
      <c r="N385" t="n">
        <v>0</v>
      </c>
      <c r="O385" t="n">
        <v>0</v>
      </c>
      <c r="P385" t="n">
        <v>0</v>
      </c>
      <c r="Q385" t="n">
        <v>0</v>
      </c>
      <c r="R385" s="2" t="inlineStr"/>
    </row>
    <row r="386" ht="15" customHeight="1">
      <c r="A386" t="inlineStr">
        <is>
          <t>A 18742-2025</t>
        </is>
      </c>
      <c r="B386" s="1" t="n">
        <v>45763</v>
      </c>
      <c r="C386" s="1" t="n">
        <v>46019</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35129-2025</t>
        </is>
      </c>
      <c r="B387" s="1" t="n">
        <v>45852.63224537037</v>
      </c>
      <c r="C387" s="1" t="n">
        <v>46019</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49724-2025</t>
        </is>
      </c>
      <c r="B388" s="1" t="n">
        <v>45939.83730324074</v>
      </c>
      <c r="C388" s="1" t="n">
        <v>46019</v>
      </c>
      <c r="D388" t="inlineStr">
        <is>
          <t>GOTLANDS LÄN</t>
        </is>
      </c>
      <c r="E388" t="inlineStr">
        <is>
          <t>GOTLAND</t>
        </is>
      </c>
      <c r="F388" t="inlineStr">
        <is>
          <t>Kyrkan</t>
        </is>
      </c>
      <c r="G388" t="n">
        <v>3.1</v>
      </c>
      <c r="H388" t="n">
        <v>0</v>
      </c>
      <c r="I388" t="n">
        <v>0</v>
      </c>
      <c r="J388" t="n">
        <v>0</v>
      </c>
      <c r="K388" t="n">
        <v>0</v>
      </c>
      <c r="L388" t="n">
        <v>0</v>
      </c>
      <c r="M388" t="n">
        <v>0</v>
      </c>
      <c r="N388" t="n">
        <v>0</v>
      </c>
      <c r="O388" t="n">
        <v>0</v>
      </c>
      <c r="P388" t="n">
        <v>0</v>
      </c>
      <c r="Q388" t="n">
        <v>0</v>
      </c>
      <c r="R388" s="2" t="inlineStr"/>
    </row>
    <row r="389" ht="15" customHeight="1">
      <c r="A389" t="inlineStr">
        <is>
          <t>A 49730-2025</t>
        </is>
      </c>
      <c r="B389" s="1" t="n">
        <v>45939.87613425926</v>
      </c>
      <c r="C389" s="1" t="n">
        <v>46019</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10746-2025</t>
        </is>
      </c>
      <c r="B390" s="1" t="n">
        <v>45722.42766203704</v>
      </c>
      <c r="C390" s="1" t="n">
        <v>46019</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50421-2025</t>
        </is>
      </c>
      <c r="B391" s="1" t="n">
        <v>45944.66049768519</v>
      </c>
      <c r="C391" s="1" t="n">
        <v>46019</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50431-2025</t>
        </is>
      </c>
      <c r="B392" s="1" t="n">
        <v>45944.68453703704</v>
      </c>
      <c r="C392" s="1" t="n">
        <v>46019</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43229-2023</t>
        </is>
      </c>
      <c r="B393" s="1" t="n">
        <v>45183.46704861111</v>
      </c>
      <c r="C393" s="1" t="n">
        <v>46019</v>
      </c>
      <c r="D393" t="inlineStr">
        <is>
          <t>GOTLANDS LÄN</t>
        </is>
      </c>
      <c r="E393" t="inlineStr">
        <is>
          <t>GOTLAND</t>
        </is>
      </c>
      <c r="G393" t="n">
        <v>7.1</v>
      </c>
      <c r="H393" t="n">
        <v>0</v>
      </c>
      <c r="I393" t="n">
        <v>0</v>
      </c>
      <c r="J393" t="n">
        <v>0</v>
      </c>
      <c r="K393" t="n">
        <v>0</v>
      </c>
      <c r="L393" t="n">
        <v>0</v>
      </c>
      <c r="M393" t="n">
        <v>0</v>
      </c>
      <c r="N393" t="n">
        <v>0</v>
      </c>
      <c r="O393" t="n">
        <v>0</v>
      </c>
      <c r="P393" t="n">
        <v>0</v>
      </c>
      <c r="Q393" t="n">
        <v>0</v>
      </c>
      <c r="R393" s="2" t="inlineStr"/>
    </row>
    <row r="394" ht="15" customHeight="1">
      <c r="A394" t="inlineStr">
        <is>
          <t>A 41038-2023</t>
        </is>
      </c>
      <c r="B394" s="1" t="n">
        <v>45173.60959490741</v>
      </c>
      <c r="C394" s="1" t="n">
        <v>46019</v>
      </c>
      <c r="D394" t="inlineStr">
        <is>
          <t>GOTLANDS LÄN</t>
        </is>
      </c>
      <c r="E394" t="inlineStr">
        <is>
          <t>GOTLAND</t>
        </is>
      </c>
      <c r="G394" t="n">
        <v>2.7</v>
      </c>
      <c r="H394" t="n">
        <v>0</v>
      </c>
      <c r="I394" t="n">
        <v>0</v>
      </c>
      <c r="J394" t="n">
        <v>0</v>
      </c>
      <c r="K394" t="n">
        <v>0</v>
      </c>
      <c r="L394" t="n">
        <v>0</v>
      </c>
      <c r="M394" t="n">
        <v>0</v>
      </c>
      <c r="N394" t="n">
        <v>0</v>
      </c>
      <c r="O394" t="n">
        <v>0</v>
      </c>
      <c r="P394" t="n">
        <v>0</v>
      </c>
      <c r="Q394" t="n">
        <v>0</v>
      </c>
      <c r="R394" s="2" t="inlineStr"/>
    </row>
    <row r="395" ht="15" customHeight="1">
      <c r="A395" t="inlineStr">
        <is>
          <t>A 30489-2025</t>
        </is>
      </c>
      <c r="B395" s="1" t="n">
        <v>45830</v>
      </c>
      <c r="C395" s="1" t="n">
        <v>46019</v>
      </c>
      <c r="D395" t="inlineStr">
        <is>
          <t>GOTLANDS LÄN</t>
        </is>
      </c>
      <c r="E395" t="inlineStr">
        <is>
          <t>GOTLAND</t>
        </is>
      </c>
      <c r="G395" t="n">
        <v>4.6</v>
      </c>
      <c r="H395" t="n">
        <v>0</v>
      </c>
      <c r="I395" t="n">
        <v>0</v>
      </c>
      <c r="J395" t="n">
        <v>0</v>
      </c>
      <c r="K395" t="n">
        <v>0</v>
      </c>
      <c r="L395" t="n">
        <v>0</v>
      </c>
      <c r="M395" t="n">
        <v>0</v>
      </c>
      <c r="N395" t="n">
        <v>0</v>
      </c>
      <c r="O395" t="n">
        <v>0</v>
      </c>
      <c r="P395" t="n">
        <v>0</v>
      </c>
      <c r="Q395" t="n">
        <v>0</v>
      </c>
      <c r="R395" s="2" t="inlineStr"/>
    </row>
    <row r="396" ht="15" customHeight="1">
      <c r="A396" t="inlineStr">
        <is>
          <t>A 21142-2025</t>
        </is>
      </c>
      <c r="B396" s="1" t="n">
        <v>45779</v>
      </c>
      <c r="C396" s="1" t="n">
        <v>46019</v>
      </c>
      <c r="D396" t="inlineStr">
        <is>
          <t>GOTLANDS LÄN</t>
        </is>
      </c>
      <c r="E396" t="inlineStr">
        <is>
          <t>GOTLAND</t>
        </is>
      </c>
      <c r="G396" t="n">
        <v>1.3</v>
      </c>
      <c r="H396" t="n">
        <v>0</v>
      </c>
      <c r="I396" t="n">
        <v>0</v>
      </c>
      <c r="J396" t="n">
        <v>0</v>
      </c>
      <c r="K396" t="n">
        <v>0</v>
      </c>
      <c r="L396" t="n">
        <v>0</v>
      </c>
      <c r="M396" t="n">
        <v>0</v>
      </c>
      <c r="N396" t="n">
        <v>0</v>
      </c>
      <c r="O396" t="n">
        <v>0</v>
      </c>
      <c r="P396" t="n">
        <v>0</v>
      </c>
      <c r="Q396" t="n">
        <v>0</v>
      </c>
      <c r="R396" s="2" t="inlineStr"/>
    </row>
    <row r="397" ht="15" customHeight="1">
      <c r="A397" t="inlineStr">
        <is>
          <t>A 6108-2025</t>
        </is>
      </c>
      <c r="B397" s="1" t="n">
        <v>45698.29880787037</v>
      </c>
      <c r="C397" s="1" t="n">
        <v>46019</v>
      </c>
      <c r="D397" t="inlineStr">
        <is>
          <t>GOTLANDS LÄN</t>
        </is>
      </c>
      <c r="E397" t="inlineStr">
        <is>
          <t>GOTLAND</t>
        </is>
      </c>
      <c r="G397" t="n">
        <v>2.8</v>
      </c>
      <c r="H397" t="n">
        <v>0</v>
      </c>
      <c r="I397" t="n">
        <v>0</v>
      </c>
      <c r="J397" t="n">
        <v>0</v>
      </c>
      <c r="K397" t="n">
        <v>0</v>
      </c>
      <c r="L397" t="n">
        <v>0</v>
      </c>
      <c r="M397" t="n">
        <v>0</v>
      </c>
      <c r="N397" t="n">
        <v>0</v>
      </c>
      <c r="O397" t="n">
        <v>0</v>
      </c>
      <c r="P397" t="n">
        <v>0</v>
      </c>
      <c r="Q397" t="n">
        <v>0</v>
      </c>
      <c r="R397" s="2" t="inlineStr"/>
    </row>
    <row r="398" ht="15" customHeight="1">
      <c r="A398" t="inlineStr">
        <is>
          <t>A 17343-2025</t>
        </is>
      </c>
      <c r="B398" s="1" t="n">
        <v>45756.6687037037</v>
      </c>
      <c r="C398" s="1" t="n">
        <v>46019</v>
      </c>
      <c r="D398" t="inlineStr">
        <is>
          <t>GOTLANDS LÄN</t>
        </is>
      </c>
      <c r="E398" t="inlineStr">
        <is>
          <t>GOTLAND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18938-2025</t>
        </is>
      </c>
      <c r="B399" s="1" t="n">
        <v>45764.49172453704</v>
      </c>
      <c r="C399" s="1" t="n">
        <v>46019</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20307-2025</t>
        </is>
      </c>
      <c r="B400" s="1" t="n">
        <v>45774.95546296296</v>
      </c>
      <c r="C400" s="1" t="n">
        <v>46019</v>
      </c>
      <c r="D400" t="inlineStr">
        <is>
          <t>GOTLANDS LÄN</t>
        </is>
      </c>
      <c r="E400" t="inlineStr">
        <is>
          <t>GOTLAND</t>
        </is>
      </c>
      <c r="G400" t="n">
        <v>6.8</v>
      </c>
      <c r="H400" t="n">
        <v>0</v>
      </c>
      <c r="I400" t="n">
        <v>0</v>
      </c>
      <c r="J400" t="n">
        <v>0</v>
      </c>
      <c r="K400" t="n">
        <v>0</v>
      </c>
      <c r="L400" t="n">
        <v>0</v>
      </c>
      <c r="M400" t="n">
        <v>0</v>
      </c>
      <c r="N400" t="n">
        <v>0</v>
      </c>
      <c r="O400" t="n">
        <v>0</v>
      </c>
      <c r="P400" t="n">
        <v>0</v>
      </c>
      <c r="Q400" t="n">
        <v>0</v>
      </c>
      <c r="R400" s="2" t="inlineStr"/>
    </row>
    <row r="401" ht="15" customHeight="1">
      <c r="A401" t="inlineStr">
        <is>
          <t>A 59197-2025</t>
        </is>
      </c>
      <c r="B401" s="1" t="n">
        <v>45988.59846064815</v>
      </c>
      <c r="C401" s="1" t="n">
        <v>46019</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50928-2025</t>
        </is>
      </c>
      <c r="B402" s="1" t="n">
        <v>45946.67896990741</v>
      </c>
      <c r="C402" s="1" t="n">
        <v>46019</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51262-2025</t>
        </is>
      </c>
      <c r="B403" s="1" t="n">
        <v>45949.49872685185</v>
      </c>
      <c r="C403" s="1" t="n">
        <v>46019</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24966-2023</t>
        </is>
      </c>
      <c r="B404" s="1" t="n">
        <v>45085</v>
      </c>
      <c r="C404" s="1" t="n">
        <v>46019</v>
      </c>
      <c r="D404" t="inlineStr">
        <is>
          <t>GOTLANDS LÄN</t>
        </is>
      </c>
      <c r="E404" t="inlineStr">
        <is>
          <t>GOTLAND</t>
        </is>
      </c>
      <c r="G404" t="n">
        <v>7</v>
      </c>
      <c r="H404" t="n">
        <v>0</v>
      </c>
      <c r="I404" t="n">
        <v>0</v>
      </c>
      <c r="J404" t="n">
        <v>0</v>
      </c>
      <c r="K404" t="n">
        <v>0</v>
      </c>
      <c r="L404" t="n">
        <v>0</v>
      </c>
      <c r="M404" t="n">
        <v>0</v>
      </c>
      <c r="N404" t="n">
        <v>0</v>
      </c>
      <c r="O404" t="n">
        <v>0</v>
      </c>
      <c r="P404" t="n">
        <v>0</v>
      </c>
      <c r="Q404" t="n">
        <v>0</v>
      </c>
      <c r="R404" s="2" t="inlineStr"/>
    </row>
    <row r="405" ht="15" customHeight="1">
      <c r="A405" t="inlineStr">
        <is>
          <t>A 57652-2023</t>
        </is>
      </c>
      <c r="B405" s="1" t="n">
        <v>45246</v>
      </c>
      <c r="C405" s="1" t="n">
        <v>46019</v>
      </c>
      <c r="D405" t="inlineStr">
        <is>
          <t>GOTLANDS LÄN</t>
        </is>
      </c>
      <c r="E405" t="inlineStr">
        <is>
          <t>GOTLAND</t>
        </is>
      </c>
      <c r="G405" t="n">
        <v>7.2</v>
      </c>
      <c r="H405" t="n">
        <v>0</v>
      </c>
      <c r="I405" t="n">
        <v>0</v>
      </c>
      <c r="J405" t="n">
        <v>0</v>
      </c>
      <c r="K405" t="n">
        <v>0</v>
      </c>
      <c r="L405" t="n">
        <v>0</v>
      </c>
      <c r="M405" t="n">
        <v>0</v>
      </c>
      <c r="N405" t="n">
        <v>0</v>
      </c>
      <c r="O405" t="n">
        <v>0</v>
      </c>
      <c r="P405" t="n">
        <v>0</v>
      </c>
      <c r="Q405" t="n">
        <v>0</v>
      </c>
      <c r="R405" s="2" t="inlineStr"/>
    </row>
    <row r="406" ht="15" customHeight="1">
      <c r="A406" t="inlineStr">
        <is>
          <t>A 46189-2022</t>
        </is>
      </c>
      <c r="B406" s="1" t="n">
        <v>44847</v>
      </c>
      <c r="C406" s="1" t="n">
        <v>46019</v>
      </c>
      <c r="D406" t="inlineStr">
        <is>
          <t>GOTLANDS LÄN</t>
        </is>
      </c>
      <c r="E406" t="inlineStr">
        <is>
          <t>GOTLAND</t>
        </is>
      </c>
      <c r="G406" t="n">
        <v>0.4</v>
      </c>
      <c r="H406" t="n">
        <v>0</v>
      </c>
      <c r="I406" t="n">
        <v>0</v>
      </c>
      <c r="J406" t="n">
        <v>0</v>
      </c>
      <c r="K406" t="n">
        <v>0</v>
      </c>
      <c r="L406" t="n">
        <v>0</v>
      </c>
      <c r="M406" t="n">
        <v>0</v>
      </c>
      <c r="N406" t="n">
        <v>0</v>
      </c>
      <c r="O406" t="n">
        <v>0</v>
      </c>
      <c r="P406" t="n">
        <v>0</v>
      </c>
      <c r="Q406" t="n">
        <v>0</v>
      </c>
      <c r="R406" s="2" t="inlineStr"/>
    </row>
    <row r="407" ht="15" customHeight="1">
      <c r="A407" t="inlineStr">
        <is>
          <t>A 57522-2022</t>
        </is>
      </c>
      <c r="B407" s="1" t="n">
        <v>44896</v>
      </c>
      <c r="C407" s="1" t="n">
        <v>46019</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14797-2024</t>
        </is>
      </c>
      <c r="B408" s="1" t="n">
        <v>45397.87030092593</v>
      </c>
      <c r="C408" s="1" t="n">
        <v>46019</v>
      </c>
      <c r="D408" t="inlineStr">
        <is>
          <t>GOTLANDS LÄN</t>
        </is>
      </c>
      <c r="E408" t="inlineStr">
        <is>
          <t>GOTLAND</t>
        </is>
      </c>
      <c r="G408" t="n">
        <v>8.1</v>
      </c>
      <c r="H408" t="n">
        <v>0</v>
      </c>
      <c r="I408" t="n">
        <v>0</v>
      </c>
      <c r="J408" t="n">
        <v>0</v>
      </c>
      <c r="K408" t="n">
        <v>0</v>
      </c>
      <c r="L408" t="n">
        <v>0</v>
      </c>
      <c r="M408" t="n">
        <v>0</v>
      </c>
      <c r="N408" t="n">
        <v>0</v>
      </c>
      <c r="O408" t="n">
        <v>0</v>
      </c>
      <c r="P408" t="n">
        <v>0</v>
      </c>
      <c r="Q408" t="n">
        <v>0</v>
      </c>
      <c r="R408" s="2" t="inlineStr"/>
    </row>
    <row r="409" ht="15" customHeight="1">
      <c r="A409" t="inlineStr">
        <is>
          <t>A 18993-2025</t>
        </is>
      </c>
      <c r="B409" s="1" t="n">
        <v>45764</v>
      </c>
      <c r="C409" s="1" t="n">
        <v>46019</v>
      </c>
      <c r="D409" t="inlineStr">
        <is>
          <t>GOTLANDS LÄN</t>
        </is>
      </c>
      <c r="E409" t="inlineStr">
        <is>
          <t>GOTLAND</t>
        </is>
      </c>
      <c r="G409" t="n">
        <v>3</v>
      </c>
      <c r="H409" t="n">
        <v>0</v>
      </c>
      <c r="I409" t="n">
        <v>0</v>
      </c>
      <c r="J409" t="n">
        <v>0</v>
      </c>
      <c r="K409" t="n">
        <v>0</v>
      </c>
      <c r="L409" t="n">
        <v>0</v>
      </c>
      <c r="M409" t="n">
        <v>0</v>
      </c>
      <c r="N409" t="n">
        <v>0</v>
      </c>
      <c r="O409" t="n">
        <v>0</v>
      </c>
      <c r="P409" t="n">
        <v>0</v>
      </c>
      <c r="Q409" t="n">
        <v>0</v>
      </c>
      <c r="R409" s="2" t="inlineStr"/>
    </row>
    <row r="410" ht="15" customHeight="1">
      <c r="A410" t="inlineStr">
        <is>
          <t>A 30135-2025</t>
        </is>
      </c>
      <c r="B410" s="1" t="n">
        <v>45826</v>
      </c>
      <c r="C410" s="1" t="n">
        <v>46019</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7837-2024</t>
        </is>
      </c>
      <c r="B411" s="1" t="n">
        <v>45349.83787037037</v>
      </c>
      <c r="C411" s="1" t="n">
        <v>46019</v>
      </c>
      <c r="D411" t="inlineStr">
        <is>
          <t>GOTLANDS LÄN</t>
        </is>
      </c>
      <c r="E411" t="inlineStr">
        <is>
          <t>GOTLAND</t>
        </is>
      </c>
      <c r="G411" t="n">
        <v>5</v>
      </c>
      <c r="H411" t="n">
        <v>0</v>
      </c>
      <c r="I411" t="n">
        <v>0</v>
      </c>
      <c r="J411" t="n">
        <v>0</v>
      </c>
      <c r="K411" t="n">
        <v>0</v>
      </c>
      <c r="L411" t="n">
        <v>0</v>
      </c>
      <c r="M411" t="n">
        <v>0</v>
      </c>
      <c r="N411" t="n">
        <v>0</v>
      </c>
      <c r="O411" t="n">
        <v>0</v>
      </c>
      <c r="P411" t="n">
        <v>0</v>
      </c>
      <c r="Q411" t="n">
        <v>0</v>
      </c>
      <c r="R411" s="2" t="inlineStr"/>
    </row>
    <row r="412" ht="15" customHeight="1">
      <c r="A412" t="inlineStr">
        <is>
          <t>A 1394-2023</t>
        </is>
      </c>
      <c r="B412" s="1" t="n">
        <v>44936.72997685185</v>
      </c>
      <c r="C412" s="1" t="n">
        <v>46019</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2676-2023</t>
        </is>
      </c>
      <c r="B413" s="1" t="n">
        <v>44944</v>
      </c>
      <c r="C413" s="1" t="n">
        <v>46019</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4387-2023</t>
        </is>
      </c>
      <c r="B414" s="1" t="n">
        <v>44955.73359953704</v>
      </c>
      <c r="C414" s="1" t="n">
        <v>46019</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49411-2023</t>
        </is>
      </c>
      <c r="B415" s="1" t="n">
        <v>45205</v>
      </c>
      <c r="C415" s="1" t="n">
        <v>46019</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37728-2024</t>
        </is>
      </c>
      <c r="B416" s="1" t="n">
        <v>45541</v>
      </c>
      <c r="C416" s="1" t="n">
        <v>46019</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12599-2025</t>
        </is>
      </c>
      <c r="B417" s="1" t="n">
        <v>45733.29546296296</v>
      </c>
      <c r="C417" s="1" t="n">
        <v>46019</v>
      </c>
      <c r="D417" t="inlineStr">
        <is>
          <t>GOTLANDS LÄN</t>
        </is>
      </c>
      <c r="E417" t="inlineStr">
        <is>
          <t>GOTLAND</t>
        </is>
      </c>
      <c r="G417" t="n">
        <v>4.7</v>
      </c>
      <c r="H417" t="n">
        <v>0</v>
      </c>
      <c r="I417" t="n">
        <v>0</v>
      </c>
      <c r="J417" t="n">
        <v>0</v>
      </c>
      <c r="K417" t="n">
        <v>0</v>
      </c>
      <c r="L417" t="n">
        <v>0</v>
      </c>
      <c r="M417" t="n">
        <v>0</v>
      </c>
      <c r="N417" t="n">
        <v>0</v>
      </c>
      <c r="O417" t="n">
        <v>0</v>
      </c>
      <c r="P417" t="n">
        <v>0</v>
      </c>
      <c r="Q417" t="n">
        <v>0</v>
      </c>
      <c r="R417" s="2" t="inlineStr"/>
    </row>
    <row r="418" ht="15" customHeight="1">
      <c r="A418" t="inlineStr">
        <is>
          <t>A 2241-2025</t>
        </is>
      </c>
      <c r="B418" s="1" t="n">
        <v>45673.48710648148</v>
      </c>
      <c r="C418" s="1" t="n">
        <v>46019</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52249-2025</t>
        </is>
      </c>
      <c r="B419" s="1" t="n">
        <v>45953.48637731482</v>
      </c>
      <c r="C419" s="1" t="n">
        <v>46019</v>
      </c>
      <c r="D419" t="inlineStr">
        <is>
          <t>GOTLANDS LÄN</t>
        </is>
      </c>
      <c r="E419" t="inlineStr">
        <is>
          <t>GOTLAND</t>
        </is>
      </c>
      <c r="F419" t="inlineStr">
        <is>
          <t>Övriga Aktiebolag</t>
        </is>
      </c>
      <c r="G419" t="n">
        <v>1</v>
      </c>
      <c r="H419" t="n">
        <v>0</v>
      </c>
      <c r="I419" t="n">
        <v>0</v>
      </c>
      <c r="J419" t="n">
        <v>0</v>
      </c>
      <c r="K419" t="n">
        <v>0</v>
      </c>
      <c r="L419" t="n">
        <v>0</v>
      </c>
      <c r="M419" t="n">
        <v>0</v>
      </c>
      <c r="N419" t="n">
        <v>0</v>
      </c>
      <c r="O419" t="n">
        <v>0</v>
      </c>
      <c r="P419" t="n">
        <v>0</v>
      </c>
      <c r="Q419" t="n">
        <v>0</v>
      </c>
      <c r="R419" s="2" t="inlineStr"/>
    </row>
    <row r="420" ht="15" customHeight="1">
      <c r="A420" t="inlineStr">
        <is>
          <t>A 52637-2025</t>
        </is>
      </c>
      <c r="B420" s="1" t="n">
        <v>45954.75099537037</v>
      </c>
      <c r="C420" s="1" t="n">
        <v>46019</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22275-2023</t>
        </is>
      </c>
      <c r="B421" s="1" t="n">
        <v>45070.39875</v>
      </c>
      <c r="C421" s="1" t="n">
        <v>46019</v>
      </c>
      <c r="D421" t="inlineStr">
        <is>
          <t>GOTLANDS LÄN</t>
        </is>
      </c>
      <c r="E421" t="inlineStr">
        <is>
          <t>GOTLAND</t>
        </is>
      </c>
      <c r="G421" t="n">
        <v>7.2</v>
      </c>
      <c r="H421" t="n">
        <v>0</v>
      </c>
      <c r="I421" t="n">
        <v>0</v>
      </c>
      <c r="J421" t="n">
        <v>0</v>
      </c>
      <c r="K421" t="n">
        <v>0</v>
      </c>
      <c r="L421" t="n">
        <v>0</v>
      </c>
      <c r="M421" t="n">
        <v>0</v>
      </c>
      <c r="N421" t="n">
        <v>0</v>
      </c>
      <c r="O421" t="n">
        <v>0</v>
      </c>
      <c r="P421" t="n">
        <v>0</v>
      </c>
      <c r="Q421" t="n">
        <v>0</v>
      </c>
      <c r="R421" s="2" t="inlineStr"/>
    </row>
    <row r="422" ht="15" customHeight="1">
      <c r="A422" t="inlineStr">
        <is>
          <t>A 14635-2023</t>
        </is>
      </c>
      <c r="B422" s="1" t="n">
        <v>45013.69365740741</v>
      </c>
      <c r="C422" s="1" t="n">
        <v>46019</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63763-2023</t>
        </is>
      </c>
      <c r="B423" s="1" t="n">
        <v>45278.33944444444</v>
      </c>
      <c r="C423" s="1" t="n">
        <v>46019</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7635-2025</t>
        </is>
      </c>
      <c r="B424" s="1" t="n">
        <v>45705</v>
      </c>
      <c r="C424" s="1" t="n">
        <v>46019</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7636-2025</t>
        </is>
      </c>
      <c r="B425" s="1" t="n">
        <v>45705.7687962963</v>
      </c>
      <c r="C425" s="1" t="n">
        <v>46019</v>
      </c>
      <c r="D425" t="inlineStr">
        <is>
          <t>GOTLANDS LÄN</t>
        </is>
      </c>
      <c r="E425" t="inlineStr">
        <is>
          <t>GOTLAND</t>
        </is>
      </c>
      <c r="G425" t="n">
        <v>0.6</v>
      </c>
      <c r="H425" t="n">
        <v>0</v>
      </c>
      <c r="I425" t="n">
        <v>0</v>
      </c>
      <c r="J425" t="n">
        <v>0</v>
      </c>
      <c r="K425" t="n">
        <v>0</v>
      </c>
      <c r="L425" t="n">
        <v>0</v>
      </c>
      <c r="M425" t="n">
        <v>0</v>
      </c>
      <c r="N425" t="n">
        <v>0</v>
      </c>
      <c r="O425" t="n">
        <v>0</v>
      </c>
      <c r="P425" t="n">
        <v>0</v>
      </c>
      <c r="Q425" t="n">
        <v>0</v>
      </c>
      <c r="R425" s="2" t="inlineStr"/>
    </row>
    <row r="426" ht="15" customHeight="1">
      <c r="A426" t="inlineStr">
        <is>
          <t>A 7639-2025</t>
        </is>
      </c>
      <c r="B426" s="1" t="n">
        <v>45705.77465277778</v>
      </c>
      <c r="C426" s="1" t="n">
        <v>46019</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61682-2024</t>
        </is>
      </c>
      <c r="B427" s="1" t="n">
        <v>45647.48824074074</v>
      </c>
      <c r="C427" s="1" t="n">
        <v>46019</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15434-2024</t>
        </is>
      </c>
      <c r="B428" s="1" t="n">
        <v>45401.38836805556</v>
      </c>
      <c r="C428" s="1" t="n">
        <v>46019</v>
      </c>
      <c r="D428" t="inlineStr">
        <is>
          <t>GOTLANDS LÄN</t>
        </is>
      </c>
      <c r="E428" t="inlineStr">
        <is>
          <t>GOTLAND</t>
        </is>
      </c>
      <c r="G428" t="n">
        <v>2.5</v>
      </c>
      <c r="H428" t="n">
        <v>0</v>
      </c>
      <c r="I428" t="n">
        <v>0</v>
      </c>
      <c r="J428" t="n">
        <v>0</v>
      </c>
      <c r="K428" t="n">
        <v>0</v>
      </c>
      <c r="L428" t="n">
        <v>0</v>
      </c>
      <c r="M428" t="n">
        <v>0</v>
      </c>
      <c r="N428" t="n">
        <v>0</v>
      </c>
      <c r="O428" t="n">
        <v>0</v>
      </c>
      <c r="P428" t="n">
        <v>0</v>
      </c>
      <c r="Q428" t="n">
        <v>0</v>
      </c>
      <c r="R428" s="2" t="inlineStr"/>
    </row>
    <row r="429" ht="15" customHeight="1">
      <c r="A429" t="inlineStr">
        <is>
          <t>A 7034-2023</t>
        </is>
      </c>
      <c r="B429" s="1" t="n">
        <v>44968.32108796296</v>
      </c>
      <c r="C429" s="1" t="n">
        <v>46019</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7042-2023</t>
        </is>
      </c>
      <c r="B430" s="1" t="n">
        <v>44968</v>
      </c>
      <c r="C430" s="1" t="n">
        <v>46019</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2180-2025</t>
        </is>
      </c>
      <c r="B431" s="1" t="n">
        <v>45673</v>
      </c>
      <c r="C431" s="1" t="n">
        <v>46019</v>
      </c>
      <c r="D431" t="inlineStr">
        <is>
          <t>GOTLANDS LÄN</t>
        </is>
      </c>
      <c r="E431" t="inlineStr">
        <is>
          <t>GOTLAND</t>
        </is>
      </c>
      <c r="G431" t="n">
        <v>0.7</v>
      </c>
      <c r="H431" t="n">
        <v>0</v>
      </c>
      <c r="I431" t="n">
        <v>0</v>
      </c>
      <c r="J431" t="n">
        <v>0</v>
      </c>
      <c r="K431" t="n">
        <v>0</v>
      </c>
      <c r="L431" t="n">
        <v>0</v>
      </c>
      <c r="M431" t="n">
        <v>0</v>
      </c>
      <c r="N431" t="n">
        <v>0</v>
      </c>
      <c r="O431" t="n">
        <v>0</v>
      </c>
      <c r="P431" t="n">
        <v>0</v>
      </c>
      <c r="Q431" t="n">
        <v>0</v>
      </c>
      <c r="R431" s="2" t="inlineStr"/>
    </row>
    <row r="432" ht="15" customHeight="1">
      <c r="A432" t="inlineStr">
        <is>
          <t>A 54074-2022</t>
        </is>
      </c>
      <c r="B432" s="1" t="n">
        <v>44881</v>
      </c>
      <c r="C432" s="1" t="n">
        <v>46019</v>
      </c>
      <c r="D432" t="inlineStr">
        <is>
          <t>GOTLANDS LÄN</t>
        </is>
      </c>
      <c r="E432" t="inlineStr">
        <is>
          <t>GOTLAND</t>
        </is>
      </c>
      <c r="G432" t="n">
        <v>0.9</v>
      </c>
      <c r="H432" t="n">
        <v>0</v>
      </c>
      <c r="I432" t="n">
        <v>0</v>
      </c>
      <c r="J432" t="n">
        <v>0</v>
      </c>
      <c r="K432" t="n">
        <v>0</v>
      </c>
      <c r="L432" t="n">
        <v>0</v>
      </c>
      <c r="M432" t="n">
        <v>0</v>
      </c>
      <c r="N432" t="n">
        <v>0</v>
      </c>
      <c r="O432" t="n">
        <v>0</v>
      </c>
      <c r="P432" t="n">
        <v>0</v>
      </c>
      <c r="Q432" t="n">
        <v>0</v>
      </c>
      <c r="R432" s="2" t="inlineStr"/>
    </row>
    <row r="433" ht="15" customHeight="1">
      <c r="A433" t="inlineStr">
        <is>
          <t>A 61694-2023</t>
        </is>
      </c>
      <c r="B433" s="1" t="n">
        <v>45264</v>
      </c>
      <c r="C433" s="1" t="n">
        <v>46019</v>
      </c>
      <c r="D433" t="inlineStr">
        <is>
          <t>GOTLANDS LÄN</t>
        </is>
      </c>
      <c r="E433" t="inlineStr">
        <is>
          <t>GOTLAND</t>
        </is>
      </c>
      <c r="G433" t="n">
        <v>4.6</v>
      </c>
      <c r="H433" t="n">
        <v>0</v>
      </c>
      <c r="I433" t="n">
        <v>0</v>
      </c>
      <c r="J433" t="n">
        <v>0</v>
      </c>
      <c r="K433" t="n">
        <v>0</v>
      </c>
      <c r="L433" t="n">
        <v>0</v>
      </c>
      <c r="M433" t="n">
        <v>0</v>
      </c>
      <c r="N433" t="n">
        <v>0</v>
      </c>
      <c r="O433" t="n">
        <v>0</v>
      </c>
      <c r="P433" t="n">
        <v>0</v>
      </c>
      <c r="Q433" t="n">
        <v>0</v>
      </c>
      <c r="R433" s="2" t="inlineStr"/>
    </row>
    <row r="434" ht="15" customHeight="1">
      <c r="A434" t="inlineStr">
        <is>
          <t>A 64208-2021</t>
        </is>
      </c>
      <c r="B434" s="1" t="n">
        <v>44510</v>
      </c>
      <c r="C434" s="1" t="n">
        <v>46019</v>
      </c>
      <c r="D434" t="inlineStr">
        <is>
          <t>GOTLANDS LÄN</t>
        </is>
      </c>
      <c r="E434" t="inlineStr">
        <is>
          <t>GOTLAND</t>
        </is>
      </c>
      <c r="G434" t="n">
        <v>4.7</v>
      </c>
      <c r="H434" t="n">
        <v>0</v>
      </c>
      <c r="I434" t="n">
        <v>0</v>
      </c>
      <c r="J434" t="n">
        <v>0</v>
      </c>
      <c r="K434" t="n">
        <v>0</v>
      </c>
      <c r="L434" t="n">
        <v>0</v>
      </c>
      <c r="M434" t="n">
        <v>0</v>
      </c>
      <c r="N434" t="n">
        <v>0</v>
      </c>
      <c r="O434" t="n">
        <v>0</v>
      </c>
      <c r="P434" t="n">
        <v>0</v>
      </c>
      <c r="Q434" t="n">
        <v>0</v>
      </c>
      <c r="R434" s="2" t="inlineStr"/>
    </row>
    <row r="435" ht="15" customHeight="1">
      <c r="A435" t="inlineStr">
        <is>
          <t>A 54268-2022</t>
        </is>
      </c>
      <c r="B435" s="1" t="n">
        <v>44882</v>
      </c>
      <c r="C435" s="1" t="n">
        <v>46019</v>
      </c>
      <c r="D435" t="inlineStr">
        <is>
          <t>GOTLANDS LÄN</t>
        </is>
      </c>
      <c r="E435" t="inlineStr">
        <is>
          <t>GOTLAND</t>
        </is>
      </c>
      <c r="G435" t="n">
        <v>2.7</v>
      </c>
      <c r="H435" t="n">
        <v>0</v>
      </c>
      <c r="I435" t="n">
        <v>0</v>
      </c>
      <c r="J435" t="n">
        <v>0</v>
      </c>
      <c r="K435" t="n">
        <v>0</v>
      </c>
      <c r="L435" t="n">
        <v>0</v>
      </c>
      <c r="M435" t="n">
        <v>0</v>
      </c>
      <c r="N435" t="n">
        <v>0</v>
      </c>
      <c r="O435" t="n">
        <v>0</v>
      </c>
      <c r="P435" t="n">
        <v>0</v>
      </c>
      <c r="Q435" t="n">
        <v>0</v>
      </c>
      <c r="R435" s="2" t="inlineStr"/>
    </row>
    <row r="436" ht="15" customHeight="1">
      <c r="A436" t="inlineStr">
        <is>
          <t>A 1446-2025</t>
        </is>
      </c>
      <c r="B436" s="1" t="n">
        <v>45669.86035879629</v>
      </c>
      <c r="C436" s="1" t="n">
        <v>46019</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1462-2025</t>
        </is>
      </c>
      <c r="B437" s="1" t="n">
        <v>45670.36319444444</v>
      </c>
      <c r="C437" s="1" t="n">
        <v>46019</v>
      </c>
      <c r="D437" t="inlineStr">
        <is>
          <t>GOTLANDS LÄN</t>
        </is>
      </c>
      <c r="E437" t="inlineStr">
        <is>
          <t>GOTLAND</t>
        </is>
      </c>
      <c r="G437" t="n">
        <v>2.8</v>
      </c>
      <c r="H437" t="n">
        <v>0</v>
      </c>
      <c r="I437" t="n">
        <v>0</v>
      </c>
      <c r="J437" t="n">
        <v>0</v>
      </c>
      <c r="K437" t="n">
        <v>0</v>
      </c>
      <c r="L437" t="n">
        <v>0</v>
      </c>
      <c r="M437" t="n">
        <v>0</v>
      </c>
      <c r="N437" t="n">
        <v>0</v>
      </c>
      <c r="O437" t="n">
        <v>0</v>
      </c>
      <c r="P437" t="n">
        <v>0</v>
      </c>
      <c r="Q437" t="n">
        <v>0</v>
      </c>
      <c r="R437" s="2" t="inlineStr"/>
    </row>
    <row r="438" ht="15" customHeight="1">
      <c r="A438" t="inlineStr">
        <is>
          <t>A 57685-2022</t>
        </is>
      </c>
      <c r="B438" s="1" t="n">
        <v>44897.4777662037</v>
      </c>
      <c r="C438" s="1" t="n">
        <v>46019</v>
      </c>
      <c r="D438" t="inlineStr">
        <is>
          <t>GOTLANDS LÄN</t>
        </is>
      </c>
      <c r="E438" t="inlineStr">
        <is>
          <t>GOTLAND</t>
        </is>
      </c>
      <c r="G438" t="n">
        <v>3.7</v>
      </c>
      <c r="H438" t="n">
        <v>0</v>
      </c>
      <c r="I438" t="n">
        <v>0</v>
      </c>
      <c r="J438" t="n">
        <v>0</v>
      </c>
      <c r="K438" t="n">
        <v>0</v>
      </c>
      <c r="L438" t="n">
        <v>0</v>
      </c>
      <c r="M438" t="n">
        <v>0</v>
      </c>
      <c r="N438" t="n">
        <v>0</v>
      </c>
      <c r="O438" t="n">
        <v>0</v>
      </c>
      <c r="P438" t="n">
        <v>0</v>
      </c>
      <c r="Q438" t="n">
        <v>0</v>
      </c>
      <c r="R438" s="2" t="inlineStr"/>
    </row>
    <row r="439" ht="15" customHeight="1">
      <c r="A439" t="inlineStr">
        <is>
          <t>A 811-2023</t>
        </is>
      </c>
      <c r="B439" s="1" t="n">
        <v>44931</v>
      </c>
      <c r="C439" s="1" t="n">
        <v>46019</v>
      </c>
      <c r="D439" t="inlineStr">
        <is>
          <t>GOTLANDS LÄN</t>
        </is>
      </c>
      <c r="E439" t="inlineStr">
        <is>
          <t>GOTLAND</t>
        </is>
      </c>
      <c r="G439" t="n">
        <v>0.6</v>
      </c>
      <c r="H439" t="n">
        <v>0</v>
      </c>
      <c r="I439" t="n">
        <v>0</v>
      </c>
      <c r="J439" t="n">
        <v>0</v>
      </c>
      <c r="K439" t="n">
        <v>0</v>
      </c>
      <c r="L439" t="n">
        <v>0</v>
      </c>
      <c r="M439" t="n">
        <v>0</v>
      </c>
      <c r="N439" t="n">
        <v>0</v>
      </c>
      <c r="O439" t="n">
        <v>0</v>
      </c>
      <c r="P439" t="n">
        <v>0</v>
      </c>
      <c r="Q439" t="n">
        <v>0</v>
      </c>
      <c r="R439" s="2" t="inlineStr"/>
    </row>
    <row r="440" ht="15" customHeight="1">
      <c r="A440" t="inlineStr">
        <is>
          <t>A 53577-2025</t>
        </is>
      </c>
      <c r="B440" s="1" t="n">
        <v>45960.42224537037</v>
      </c>
      <c r="C440" s="1" t="n">
        <v>46019</v>
      </c>
      <c r="D440" t="inlineStr">
        <is>
          <t>GOTLANDS LÄN</t>
        </is>
      </c>
      <c r="E440" t="inlineStr">
        <is>
          <t>GOTLAND</t>
        </is>
      </c>
      <c r="F440" t="inlineStr">
        <is>
          <t>Övriga Aktiebolag</t>
        </is>
      </c>
      <c r="G440" t="n">
        <v>3.3</v>
      </c>
      <c r="H440" t="n">
        <v>0</v>
      </c>
      <c r="I440" t="n">
        <v>0</v>
      </c>
      <c r="J440" t="n">
        <v>0</v>
      </c>
      <c r="K440" t="n">
        <v>0</v>
      </c>
      <c r="L440" t="n">
        <v>0</v>
      </c>
      <c r="M440" t="n">
        <v>0</v>
      </c>
      <c r="N440" t="n">
        <v>0</v>
      </c>
      <c r="O440" t="n">
        <v>0</v>
      </c>
      <c r="P440" t="n">
        <v>0</v>
      </c>
      <c r="Q440" t="n">
        <v>0</v>
      </c>
      <c r="R440" s="2" t="inlineStr"/>
    </row>
    <row r="441" ht="15" customHeight="1">
      <c r="A441" t="inlineStr">
        <is>
          <t>A 60384-2025</t>
        </is>
      </c>
      <c r="B441" s="1" t="n">
        <v>45995.37947916667</v>
      </c>
      <c r="C441" s="1" t="n">
        <v>46019</v>
      </c>
      <c r="D441" t="inlineStr">
        <is>
          <t>GOTLANDS LÄN</t>
        </is>
      </c>
      <c r="E441" t="inlineStr">
        <is>
          <t>GOTLAND</t>
        </is>
      </c>
      <c r="G441" t="n">
        <v>2.5</v>
      </c>
      <c r="H441" t="n">
        <v>0</v>
      </c>
      <c r="I441" t="n">
        <v>0</v>
      </c>
      <c r="J441" t="n">
        <v>0</v>
      </c>
      <c r="K441" t="n">
        <v>0</v>
      </c>
      <c r="L441" t="n">
        <v>0</v>
      </c>
      <c r="M441" t="n">
        <v>0</v>
      </c>
      <c r="N441" t="n">
        <v>0</v>
      </c>
      <c r="O441" t="n">
        <v>0</v>
      </c>
      <c r="P441" t="n">
        <v>0</v>
      </c>
      <c r="Q441" t="n">
        <v>0</v>
      </c>
      <c r="R441" s="2" t="inlineStr"/>
    </row>
    <row r="442" ht="15" customHeight="1">
      <c r="A442" t="inlineStr">
        <is>
          <t>A 5905-2024</t>
        </is>
      </c>
      <c r="B442" s="1" t="n">
        <v>45335.88993055555</v>
      </c>
      <c r="C442" s="1" t="n">
        <v>46019</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3431-2025</t>
        </is>
      </c>
      <c r="B443" s="1" t="n">
        <v>45680.42935185185</v>
      </c>
      <c r="C443" s="1" t="n">
        <v>46019</v>
      </c>
      <c r="D443" t="inlineStr">
        <is>
          <t>GOTLANDS LÄN</t>
        </is>
      </c>
      <c r="E443" t="inlineStr">
        <is>
          <t>GOTLAND</t>
        </is>
      </c>
      <c r="G443" t="n">
        <v>4.8</v>
      </c>
      <c r="H443" t="n">
        <v>0</v>
      </c>
      <c r="I443" t="n">
        <v>0</v>
      </c>
      <c r="J443" t="n">
        <v>0</v>
      </c>
      <c r="K443" t="n">
        <v>0</v>
      </c>
      <c r="L443" t="n">
        <v>0</v>
      </c>
      <c r="M443" t="n">
        <v>0</v>
      </c>
      <c r="N443" t="n">
        <v>0</v>
      </c>
      <c r="O443" t="n">
        <v>0</v>
      </c>
      <c r="P443" t="n">
        <v>0</v>
      </c>
      <c r="Q443" t="n">
        <v>0</v>
      </c>
      <c r="R443" s="2" t="inlineStr"/>
    </row>
    <row r="444" ht="15" customHeight="1">
      <c r="A444" t="inlineStr">
        <is>
          <t>A 53569-2025</t>
        </is>
      </c>
      <c r="B444" s="1" t="n">
        <v>45960.41155092593</v>
      </c>
      <c r="C444" s="1" t="n">
        <v>46019</v>
      </c>
      <c r="D444" t="inlineStr">
        <is>
          <t>GOTLANDS LÄN</t>
        </is>
      </c>
      <c r="E444" t="inlineStr">
        <is>
          <t>GOTLAND</t>
        </is>
      </c>
      <c r="F444" t="inlineStr">
        <is>
          <t>Övriga Aktiebolag</t>
        </is>
      </c>
      <c r="G444" t="n">
        <v>11.3</v>
      </c>
      <c r="H444" t="n">
        <v>0</v>
      </c>
      <c r="I444" t="n">
        <v>0</v>
      </c>
      <c r="J444" t="n">
        <v>0</v>
      </c>
      <c r="K444" t="n">
        <v>0</v>
      </c>
      <c r="L444" t="n">
        <v>0</v>
      </c>
      <c r="M444" t="n">
        <v>0</v>
      </c>
      <c r="N444" t="n">
        <v>0</v>
      </c>
      <c r="O444" t="n">
        <v>0</v>
      </c>
      <c r="P444" t="n">
        <v>0</v>
      </c>
      <c r="Q444" t="n">
        <v>0</v>
      </c>
      <c r="R444" s="2" t="inlineStr"/>
    </row>
    <row r="445" ht="15" customHeight="1">
      <c r="A445" t="inlineStr">
        <is>
          <t>A 53587-2025</t>
        </is>
      </c>
      <c r="B445" s="1" t="n">
        <v>45960.43681712963</v>
      </c>
      <c r="C445" s="1" t="n">
        <v>46019</v>
      </c>
      <c r="D445" t="inlineStr">
        <is>
          <t>GOTLANDS LÄN</t>
        </is>
      </c>
      <c r="E445" t="inlineStr">
        <is>
          <t>GOTLAND</t>
        </is>
      </c>
      <c r="F445" t="inlineStr">
        <is>
          <t>Övriga Aktiebolag</t>
        </is>
      </c>
      <c r="G445" t="n">
        <v>1.7</v>
      </c>
      <c r="H445" t="n">
        <v>0</v>
      </c>
      <c r="I445" t="n">
        <v>0</v>
      </c>
      <c r="J445" t="n">
        <v>0</v>
      </c>
      <c r="K445" t="n">
        <v>0</v>
      </c>
      <c r="L445" t="n">
        <v>0</v>
      </c>
      <c r="M445" t="n">
        <v>0</v>
      </c>
      <c r="N445" t="n">
        <v>0</v>
      </c>
      <c r="O445" t="n">
        <v>0</v>
      </c>
      <c r="P445" t="n">
        <v>0</v>
      </c>
      <c r="Q445" t="n">
        <v>0</v>
      </c>
      <c r="R445" s="2" t="inlineStr"/>
    </row>
    <row r="446" ht="15" customHeight="1">
      <c r="A446" t="inlineStr">
        <is>
          <t>A 34407-2023</t>
        </is>
      </c>
      <c r="B446" s="1" t="n">
        <v>45132</v>
      </c>
      <c r="C446" s="1" t="n">
        <v>46019</v>
      </c>
      <c r="D446" t="inlineStr">
        <is>
          <t>GOTLANDS LÄN</t>
        </is>
      </c>
      <c r="E446" t="inlineStr">
        <is>
          <t>GOTLAND</t>
        </is>
      </c>
      <c r="G446" t="n">
        <v>4.4</v>
      </c>
      <c r="H446" t="n">
        <v>0</v>
      </c>
      <c r="I446" t="n">
        <v>0</v>
      </c>
      <c r="J446" t="n">
        <v>0</v>
      </c>
      <c r="K446" t="n">
        <v>0</v>
      </c>
      <c r="L446" t="n">
        <v>0</v>
      </c>
      <c r="M446" t="n">
        <v>0</v>
      </c>
      <c r="N446" t="n">
        <v>0</v>
      </c>
      <c r="O446" t="n">
        <v>0</v>
      </c>
      <c r="P446" t="n">
        <v>0</v>
      </c>
      <c r="Q446" t="n">
        <v>0</v>
      </c>
      <c r="R446" s="2" t="inlineStr"/>
    </row>
    <row r="447" ht="15" customHeight="1">
      <c r="A447" t="inlineStr">
        <is>
          <t>A 30892-2024</t>
        </is>
      </c>
      <c r="B447" s="1" t="n">
        <v>45491</v>
      </c>
      <c r="C447" s="1" t="n">
        <v>46019</v>
      </c>
      <c r="D447" t="inlineStr">
        <is>
          <t>GOTLANDS LÄN</t>
        </is>
      </c>
      <c r="E447" t="inlineStr">
        <is>
          <t>GOTLAND</t>
        </is>
      </c>
      <c r="G447" t="n">
        <v>6.1</v>
      </c>
      <c r="H447" t="n">
        <v>0</v>
      </c>
      <c r="I447" t="n">
        <v>0</v>
      </c>
      <c r="J447" t="n">
        <v>0</v>
      </c>
      <c r="K447" t="n">
        <v>0</v>
      </c>
      <c r="L447" t="n">
        <v>0</v>
      </c>
      <c r="M447" t="n">
        <v>0</v>
      </c>
      <c r="N447" t="n">
        <v>0</v>
      </c>
      <c r="O447" t="n">
        <v>0</v>
      </c>
      <c r="P447" t="n">
        <v>0</v>
      </c>
      <c r="Q447" t="n">
        <v>0</v>
      </c>
      <c r="R447" s="2" t="inlineStr"/>
    </row>
    <row r="448" ht="15" customHeight="1">
      <c r="A448" t="inlineStr">
        <is>
          <t>A 32958-2021</t>
        </is>
      </c>
      <c r="B448" s="1" t="n">
        <v>44376</v>
      </c>
      <c r="C448" s="1" t="n">
        <v>46019</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7858-2025</t>
        </is>
      </c>
      <c r="B449" s="1" t="n">
        <v>45706.68633101852</v>
      </c>
      <c r="C449" s="1" t="n">
        <v>46019</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46545-2024</t>
        </is>
      </c>
      <c r="B450" s="1" t="n">
        <v>45582.65831018519</v>
      </c>
      <c r="C450" s="1" t="n">
        <v>46019</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999-2023</t>
        </is>
      </c>
      <c r="B451" s="1" t="n">
        <v>44935</v>
      </c>
      <c r="C451" s="1" t="n">
        <v>46019</v>
      </c>
      <c r="D451" t="inlineStr">
        <is>
          <t>GOTLANDS LÄN</t>
        </is>
      </c>
      <c r="E451" t="inlineStr">
        <is>
          <t>GOTLAND</t>
        </is>
      </c>
      <c r="G451" t="n">
        <v>4.7</v>
      </c>
      <c r="H451" t="n">
        <v>0</v>
      </c>
      <c r="I451" t="n">
        <v>0</v>
      </c>
      <c r="J451" t="n">
        <v>0</v>
      </c>
      <c r="K451" t="n">
        <v>0</v>
      </c>
      <c r="L451" t="n">
        <v>0</v>
      </c>
      <c r="M451" t="n">
        <v>0</v>
      </c>
      <c r="N451" t="n">
        <v>0</v>
      </c>
      <c r="O451" t="n">
        <v>0</v>
      </c>
      <c r="P451" t="n">
        <v>0</v>
      </c>
      <c r="Q451" t="n">
        <v>0</v>
      </c>
      <c r="R451" s="2" t="inlineStr"/>
    </row>
    <row r="452" ht="15" customHeight="1">
      <c r="A452" t="inlineStr">
        <is>
          <t>A 1364-2025</t>
        </is>
      </c>
      <c r="B452" s="1" t="n">
        <v>45667.63929398148</v>
      </c>
      <c r="C452" s="1" t="n">
        <v>46019</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2125-2025</t>
        </is>
      </c>
      <c r="B453" s="1" t="n">
        <v>45672.64940972222</v>
      </c>
      <c r="C453" s="1" t="n">
        <v>46019</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54584-2025</t>
        </is>
      </c>
      <c r="B454" s="1" t="n">
        <v>45965.71788194445</v>
      </c>
      <c r="C454" s="1" t="n">
        <v>46019</v>
      </c>
      <c r="D454" t="inlineStr">
        <is>
          <t>GOTLANDS LÄN</t>
        </is>
      </c>
      <c r="E454" t="inlineStr">
        <is>
          <t>GOTLAND</t>
        </is>
      </c>
      <c r="G454" t="n">
        <v>3.5</v>
      </c>
      <c r="H454" t="n">
        <v>0</v>
      </c>
      <c r="I454" t="n">
        <v>0</v>
      </c>
      <c r="J454" t="n">
        <v>0</v>
      </c>
      <c r="K454" t="n">
        <v>0</v>
      </c>
      <c r="L454" t="n">
        <v>0</v>
      </c>
      <c r="M454" t="n">
        <v>0</v>
      </c>
      <c r="N454" t="n">
        <v>0</v>
      </c>
      <c r="O454" t="n">
        <v>0</v>
      </c>
      <c r="P454" t="n">
        <v>0</v>
      </c>
      <c r="Q454" t="n">
        <v>0</v>
      </c>
      <c r="R454" s="2" t="inlineStr"/>
    </row>
    <row r="455" ht="15" customHeight="1">
      <c r="A455" t="inlineStr">
        <is>
          <t>A 53561-2025</t>
        </is>
      </c>
      <c r="B455" s="1" t="n">
        <v>45960.4059375</v>
      </c>
      <c r="C455" s="1" t="n">
        <v>46019</v>
      </c>
      <c r="D455" t="inlineStr">
        <is>
          <t>GOTLANDS LÄN</t>
        </is>
      </c>
      <c r="E455" t="inlineStr">
        <is>
          <t>GOTLAND</t>
        </is>
      </c>
      <c r="F455" t="inlineStr">
        <is>
          <t>Övriga Aktiebolag</t>
        </is>
      </c>
      <c r="G455" t="n">
        <v>2.4</v>
      </c>
      <c r="H455" t="n">
        <v>0</v>
      </c>
      <c r="I455" t="n">
        <v>0</v>
      </c>
      <c r="J455" t="n">
        <v>0</v>
      </c>
      <c r="K455" t="n">
        <v>0</v>
      </c>
      <c r="L455" t="n">
        <v>0</v>
      </c>
      <c r="M455" t="n">
        <v>0</v>
      </c>
      <c r="N455" t="n">
        <v>0</v>
      </c>
      <c r="O455" t="n">
        <v>0</v>
      </c>
      <c r="P455" t="n">
        <v>0</v>
      </c>
      <c r="Q455" t="n">
        <v>0</v>
      </c>
      <c r="R455" s="2" t="inlineStr"/>
    </row>
    <row r="456" ht="15" customHeight="1">
      <c r="A456" t="inlineStr">
        <is>
          <t>A 14141-2024</t>
        </is>
      </c>
      <c r="B456" s="1" t="n">
        <v>45392.85193287037</v>
      </c>
      <c r="C456" s="1" t="n">
        <v>46019</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62103-2025</t>
        </is>
      </c>
      <c r="B457" s="1" t="n">
        <v>46006.41638888889</v>
      </c>
      <c r="C457" s="1" t="n">
        <v>46019</v>
      </c>
      <c r="D457" t="inlineStr">
        <is>
          <t>GOTLANDS LÄN</t>
        </is>
      </c>
      <c r="E457" t="inlineStr">
        <is>
          <t>GOTLAND</t>
        </is>
      </c>
      <c r="F457" t="inlineStr">
        <is>
          <t>Övriga Aktiebolag</t>
        </is>
      </c>
      <c r="G457" t="n">
        <v>1.7</v>
      </c>
      <c r="H457" t="n">
        <v>0</v>
      </c>
      <c r="I457" t="n">
        <v>0</v>
      </c>
      <c r="J457" t="n">
        <v>0</v>
      </c>
      <c r="K457" t="n">
        <v>0</v>
      </c>
      <c r="L457" t="n">
        <v>0</v>
      </c>
      <c r="M457" t="n">
        <v>0</v>
      </c>
      <c r="N457" t="n">
        <v>0</v>
      </c>
      <c r="O457" t="n">
        <v>0</v>
      </c>
      <c r="P457" t="n">
        <v>0</v>
      </c>
      <c r="Q457" t="n">
        <v>0</v>
      </c>
      <c r="R457" s="2" t="inlineStr"/>
    </row>
    <row r="458" ht="15" customHeight="1">
      <c r="A458" t="inlineStr">
        <is>
          <t>A 56799-2025</t>
        </is>
      </c>
      <c r="B458" s="1" t="n">
        <v>45978.43392361111</v>
      </c>
      <c r="C458" s="1" t="n">
        <v>46019</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62066-2025</t>
        </is>
      </c>
      <c r="B459" s="1" t="n">
        <v>46006.34738425926</v>
      </c>
      <c r="C459" s="1" t="n">
        <v>46019</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12155-2023</t>
        </is>
      </c>
      <c r="B460" s="1" t="n">
        <v>44998.49106481481</v>
      </c>
      <c r="C460" s="1" t="n">
        <v>46019</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2774-2024</t>
        </is>
      </c>
      <c r="B461" s="1" t="n">
        <v>45314.62375</v>
      </c>
      <c r="C461" s="1" t="n">
        <v>46019</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62751-2025</t>
        </is>
      </c>
      <c r="B462" s="1" t="n">
        <v>46008.58076388889</v>
      </c>
      <c r="C462" s="1" t="n">
        <v>46019</v>
      </c>
      <c r="D462" t="inlineStr">
        <is>
          <t>GOTLANDS LÄN</t>
        </is>
      </c>
      <c r="E462" t="inlineStr">
        <is>
          <t>GOTLAND</t>
        </is>
      </c>
      <c r="F462" t="inlineStr">
        <is>
          <t>Övriga Aktiebolag</t>
        </is>
      </c>
      <c r="G462" t="n">
        <v>7.8</v>
      </c>
      <c r="H462" t="n">
        <v>0</v>
      </c>
      <c r="I462" t="n">
        <v>0</v>
      </c>
      <c r="J462" t="n">
        <v>0</v>
      </c>
      <c r="K462" t="n">
        <v>0</v>
      </c>
      <c r="L462" t="n">
        <v>0</v>
      </c>
      <c r="M462" t="n">
        <v>0</v>
      </c>
      <c r="N462" t="n">
        <v>0</v>
      </c>
      <c r="O462" t="n">
        <v>0</v>
      </c>
      <c r="P462" t="n">
        <v>0</v>
      </c>
      <c r="Q462" t="n">
        <v>0</v>
      </c>
      <c r="R462" s="2" t="inlineStr"/>
    </row>
    <row r="463" ht="15" customHeight="1">
      <c r="A463" t="inlineStr">
        <is>
          <t>A 9947-2024</t>
        </is>
      </c>
      <c r="B463" s="1" t="n">
        <v>45363</v>
      </c>
      <c r="C463" s="1" t="n">
        <v>46019</v>
      </c>
      <c r="D463" t="inlineStr">
        <is>
          <t>GOTLANDS LÄN</t>
        </is>
      </c>
      <c r="E463" t="inlineStr">
        <is>
          <t>GOTLAND</t>
        </is>
      </c>
      <c r="G463" t="n">
        <v>2</v>
      </c>
      <c r="H463" t="n">
        <v>0</v>
      </c>
      <c r="I463" t="n">
        <v>0</v>
      </c>
      <c r="J463" t="n">
        <v>0</v>
      </c>
      <c r="K463" t="n">
        <v>0</v>
      </c>
      <c r="L463" t="n">
        <v>0</v>
      </c>
      <c r="M463" t="n">
        <v>0</v>
      </c>
      <c r="N463" t="n">
        <v>0</v>
      </c>
      <c r="O463" t="n">
        <v>0</v>
      </c>
      <c r="P463" t="n">
        <v>0</v>
      </c>
      <c r="Q463" t="n">
        <v>0</v>
      </c>
      <c r="R463" s="2" t="inlineStr"/>
    </row>
    <row r="464" ht="15" customHeight="1">
      <c r="A464" t="inlineStr">
        <is>
          <t>A 42007-2023</t>
        </is>
      </c>
      <c r="B464" s="1" t="n">
        <v>45177</v>
      </c>
      <c r="C464" s="1" t="n">
        <v>46019</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62754-2025</t>
        </is>
      </c>
      <c r="B465" s="1" t="n">
        <v>46008.58765046296</v>
      </c>
      <c r="C465" s="1" t="n">
        <v>46019</v>
      </c>
      <c r="D465" t="inlineStr">
        <is>
          <t>GOTLANDS LÄN</t>
        </is>
      </c>
      <c r="E465" t="inlineStr">
        <is>
          <t>GOTLAND</t>
        </is>
      </c>
      <c r="F465" t="inlineStr">
        <is>
          <t>Övriga Aktiebolag</t>
        </is>
      </c>
      <c r="G465" t="n">
        <v>2.9</v>
      </c>
      <c r="H465" t="n">
        <v>0</v>
      </c>
      <c r="I465" t="n">
        <v>0</v>
      </c>
      <c r="J465" t="n">
        <v>0</v>
      </c>
      <c r="K465" t="n">
        <v>0</v>
      </c>
      <c r="L465" t="n">
        <v>0</v>
      </c>
      <c r="M465" t="n">
        <v>0</v>
      </c>
      <c r="N465" t="n">
        <v>0</v>
      </c>
      <c r="O465" t="n">
        <v>0</v>
      </c>
      <c r="P465" t="n">
        <v>0</v>
      </c>
      <c r="Q465" t="n">
        <v>0</v>
      </c>
      <c r="R465" s="2" t="inlineStr"/>
    </row>
    <row r="466" ht="15" customHeight="1">
      <c r="A466" t="inlineStr">
        <is>
          <t>A 63000-2025</t>
        </is>
      </c>
      <c r="B466" s="1" t="n">
        <v>46009.56434027778</v>
      </c>
      <c r="C466" s="1" t="n">
        <v>46019</v>
      </c>
      <c r="D466" t="inlineStr">
        <is>
          <t>GOTLANDS LÄN</t>
        </is>
      </c>
      <c r="E466" t="inlineStr">
        <is>
          <t>GOTLAND</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62674-2025</t>
        </is>
      </c>
      <c r="B467" s="1" t="n">
        <v>46008.44890046296</v>
      </c>
      <c r="C467" s="1" t="n">
        <v>46019</v>
      </c>
      <c r="D467" t="inlineStr">
        <is>
          <t>GOTLANDS LÄN</t>
        </is>
      </c>
      <c r="E467" t="inlineStr">
        <is>
          <t>GOTLAND</t>
        </is>
      </c>
      <c r="G467" t="n">
        <v>5</v>
      </c>
      <c r="H467" t="n">
        <v>0</v>
      </c>
      <c r="I467" t="n">
        <v>0</v>
      </c>
      <c r="J467" t="n">
        <v>0</v>
      </c>
      <c r="K467" t="n">
        <v>0</v>
      </c>
      <c r="L467" t="n">
        <v>0</v>
      </c>
      <c r="M467" t="n">
        <v>0</v>
      </c>
      <c r="N467" t="n">
        <v>0</v>
      </c>
      <c r="O467" t="n">
        <v>0</v>
      </c>
      <c r="P467" t="n">
        <v>0</v>
      </c>
      <c r="Q467" t="n">
        <v>0</v>
      </c>
      <c r="R467" s="2" t="inlineStr"/>
    </row>
    <row r="468" ht="15" customHeight="1">
      <c r="A468" t="inlineStr">
        <is>
          <t>A 62836-2025</t>
        </is>
      </c>
      <c r="B468" s="1" t="n">
        <v>46008.68261574074</v>
      </c>
      <c r="C468" s="1" t="n">
        <v>46019</v>
      </c>
      <c r="D468" t="inlineStr">
        <is>
          <t>GOTLANDS LÄN</t>
        </is>
      </c>
      <c r="E468" t="inlineStr">
        <is>
          <t>GOTLAND</t>
        </is>
      </c>
      <c r="G468" t="n">
        <v>6.5</v>
      </c>
      <c r="H468" t="n">
        <v>0</v>
      </c>
      <c r="I468" t="n">
        <v>0</v>
      </c>
      <c r="J468" t="n">
        <v>0</v>
      </c>
      <c r="K468" t="n">
        <v>0</v>
      </c>
      <c r="L468" t="n">
        <v>0</v>
      </c>
      <c r="M468" t="n">
        <v>0</v>
      </c>
      <c r="N468" t="n">
        <v>0</v>
      </c>
      <c r="O468" t="n">
        <v>0</v>
      </c>
      <c r="P468" t="n">
        <v>0</v>
      </c>
      <c r="Q468" t="n">
        <v>0</v>
      </c>
      <c r="R468" s="2" t="inlineStr"/>
    </row>
    <row r="469" ht="15" customHeight="1">
      <c r="A469" t="inlineStr">
        <is>
          <t>A 63002-2025</t>
        </is>
      </c>
      <c r="B469" s="1" t="n">
        <v>46009.56564814815</v>
      </c>
      <c r="C469" s="1" t="n">
        <v>46019</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63105-2025</t>
        </is>
      </c>
      <c r="B470" s="1" t="n">
        <v>46009.70571759259</v>
      </c>
      <c r="C470" s="1" t="n">
        <v>46019</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15083-2025</t>
        </is>
      </c>
      <c r="B471" s="1" t="n">
        <v>45743</v>
      </c>
      <c r="C471" s="1" t="n">
        <v>46019</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63152-2025</t>
        </is>
      </c>
      <c r="B472" s="1" t="n">
        <v>46010.35789351852</v>
      </c>
      <c r="C472" s="1" t="n">
        <v>46019</v>
      </c>
      <c r="D472" t="inlineStr">
        <is>
          <t>GOTLANDS LÄN</t>
        </is>
      </c>
      <c r="E472" t="inlineStr">
        <is>
          <t>GOTLAND</t>
        </is>
      </c>
      <c r="G472" t="n">
        <v>1.5</v>
      </c>
      <c r="H472" t="n">
        <v>0</v>
      </c>
      <c r="I472" t="n">
        <v>0</v>
      </c>
      <c r="J472" t="n">
        <v>0</v>
      </c>
      <c r="K472" t="n">
        <v>0</v>
      </c>
      <c r="L472" t="n">
        <v>0</v>
      </c>
      <c r="M472" t="n">
        <v>0</v>
      </c>
      <c r="N472" t="n">
        <v>0</v>
      </c>
      <c r="O472" t="n">
        <v>0</v>
      </c>
      <c r="P472" t="n">
        <v>0</v>
      </c>
      <c r="Q472" t="n">
        <v>0</v>
      </c>
      <c r="R472" s="2" t="inlineStr"/>
    </row>
    <row r="473" ht="15" customHeight="1">
      <c r="A473" t="inlineStr">
        <is>
          <t>A 61080-2025</t>
        </is>
      </c>
      <c r="B473" s="1" t="n">
        <v>46000</v>
      </c>
      <c r="C473" s="1" t="n">
        <v>46019</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61078-2025</t>
        </is>
      </c>
      <c r="B474" s="1" t="n">
        <v>46000</v>
      </c>
      <c r="C474" s="1" t="n">
        <v>46019</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1066-2024</t>
        </is>
      </c>
      <c r="B475" s="1" t="n">
        <v>45302.285</v>
      </c>
      <c r="C475" s="1" t="n">
        <v>46019</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37202-2024</t>
        </is>
      </c>
      <c r="B476" s="1" t="n">
        <v>45539.67310185185</v>
      </c>
      <c r="C476" s="1" t="n">
        <v>46019</v>
      </c>
      <c r="D476" t="inlineStr">
        <is>
          <t>GOTLANDS LÄN</t>
        </is>
      </c>
      <c r="E476" t="inlineStr">
        <is>
          <t>GOTLAND</t>
        </is>
      </c>
      <c r="G476" t="n">
        <v>0.3</v>
      </c>
      <c r="H476" t="n">
        <v>0</v>
      </c>
      <c r="I476" t="n">
        <v>0</v>
      </c>
      <c r="J476" t="n">
        <v>0</v>
      </c>
      <c r="K476" t="n">
        <v>0</v>
      </c>
      <c r="L476" t="n">
        <v>0</v>
      </c>
      <c r="M476" t="n">
        <v>0</v>
      </c>
      <c r="N476" t="n">
        <v>0</v>
      </c>
      <c r="O476" t="n">
        <v>0</v>
      </c>
      <c r="P476" t="n">
        <v>0</v>
      </c>
      <c r="Q476" t="n">
        <v>0</v>
      </c>
      <c r="R476" s="2" t="inlineStr"/>
    </row>
    <row r="477" ht="15" customHeight="1">
      <c r="A477" t="inlineStr">
        <is>
          <t>A 30815-2023</t>
        </is>
      </c>
      <c r="B477" s="1" t="n">
        <v>45112</v>
      </c>
      <c r="C477" s="1" t="n">
        <v>46019</v>
      </c>
      <c r="D477" t="inlineStr">
        <is>
          <t>GOTLANDS LÄN</t>
        </is>
      </c>
      <c r="E477" t="inlineStr">
        <is>
          <t>GOTLAND</t>
        </is>
      </c>
      <c r="G477" t="n">
        <v>6</v>
      </c>
      <c r="H477" t="n">
        <v>0</v>
      </c>
      <c r="I477" t="n">
        <v>0</v>
      </c>
      <c r="J477" t="n">
        <v>0</v>
      </c>
      <c r="K477" t="n">
        <v>0</v>
      </c>
      <c r="L477" t="n">
        <v>0</v>
      </c>
      <c r="M477" t="n">
        <v>0</v>
      </c>
      <c r="N477" t="n">
        <v>0</v>
      </c>
      <c r="O477" t="n">
        <v>0</v>
      </c>
      <c r="P477" t="n">
        <v>0</v>
      </c>
      <c r="Q477" t="n">
        <v>0</v>
      </c>
      <c r="R477" s="2" t="inlineStr"/>
    </row>
    <row r="478" ht="15" customHeight="1">
      <c r="A478" t="inlineStr">
        <is>
          <t>A 46400-2023</t>
        </is>
      </c>
      <c r="B478" s="1" t="n">
        <v>45197.49290509259</v>
      </c>
      <c r="C478" s="1" t="n">
        <v>46019</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10492-2023</t>
        </is>
      </c>
      <c r="B479" s="1" t="n">
        <v>44987</v>
      </c>
      <c r="C479" s="1" t="n">
        <v>46019</v>
      </c>
      <c r="D479" t="inlineStr">
        <is>
          <t>GOTLANDS LÄN</t>
        </is>
      </c>
      <c r="E479" t="inlineStr">
        <is>
          <t>GOTLAND</t>
        </is>
      </c>
      <c r="G479" t="n">
        <v>1</v>
      </c>
      <c r="H479" t="n">
        <v>0</v>
      </c>
      <c r="I479" t="n">
        <v>0</v>
      </c>
      <c r="J479" t="n">
        <v>0</v>
      </c>
      <c r="K479" t="n">
        <v>0</v>
      </c>
      <c r="L479" t="n">
        <v>0</v>
      </c>
      <c r="M479" t="n">
        <v>0</v>
      </c>
      <c r="N479" t="n">
        <v>0</v>
      </c>
      <c r="O479" t="n">
        <v>0</v>
      </c>
      <c r="P479" t="n">
        <v>0</v>
      </c>
      <c r="Q479" t="n">
        <v>0</v>
      </c>
      <c r="R479" s="2" t="inlineStr"/>
    </row>
    <row r="480" ht="15" customHeight="1">
      <c r="A480" t="inlineStr">
        <is>
          <t>A 44919-2022</t>
        </is>
      </c>
      <c r="B480" s="1" t="n">
        <v>44841</v>
      </c>
      <c r="C480" s="1" t="n">
        <v>46019</v>
      </c>
      <c r="D480" t="inlineStr">
        <is>
          <t>GOTLANDS LÄN</t>
        </is>
      </c>
      <c r="E480" t="inlineStr">
        <is>
          <t>GOTLAND</t>
        </is>
      </c>
      <c r="G480" t="n">
        <v>2.2</v>
      </c>
      <c r="H480" t="n">
        <v>0</v>
      </c>
      <c r="I480" t="n">
        <v>0</v>
      </c>
      <c r="J480" t="n">
        <v>0</v>
      </c>
      <c r="K480" t="n">
        <v>0</v>
      </c>
      <c r="L480" t="n">
        <v>0</v>
      </c>
      <c r="M480" t="n">
        <v>0</v>
      </c>
      <c r="N480" t="n">
        <v>0</v>
      </c>
      <c r="O480" t="n">
        <v>0</v>
      </c>
      <c r="P480" t="n">
        <v>0</v>
      </c>
      <c r="Q480" t="n">
        <v>0</v>
      </c>
      <c r="R480" s="2" t="inlineStr"/>
    </row>
    <row r="481" ht="15" customHeight="1">
      <c r="A481" t="inlineStr">
        <is>
          <t>A 16501-2023</t>
        </is>
      </c>
      <c r="B481" s="1" t="n">
        <v>45029</v>
      </c>
      <c r="C481" s="1" t="n">
        <v>46019</v>
      </c>
      <c r="D481" t="inlineStr">
        <is>
          <t>GOTLANDS LÄN</t>
        </is>
      </c>
      <c r="E481" t="inlineStr">
        <is>
          <t>GOTLAND</t>
        </is>
      </c>
      <c r="G481" t="n">
        <v>3.1</v>
      </c>
      <c r="H481" t="n">
        <v>0</v>
      </c>
      <c r="I481" t="n">
        <v>0</v>
      </c>
      <c r="J481" t="n">
        <v>0</v>
      </c>
      <c r="K481" t="n">
        <v>0</v>
      </c>
      <c r="L481" t="n">
        <v>0</v>
      </c>
      <c r="M481" t="n">
        <v>0</v>
      </c>
      <c r="N481" t="n">
        <v>0</v>
      </c>
      <c r="O481" t="n">
        <v>0</v>
      </c>
      <c r="P481" t="n">
        <v>0</v>
      </c>
      <c r="Q481" t="n">
        <v>0</v>
      </c>
      <c r="R481" s="2" t="inlineStr"/>
    </row>
    <row r="482" ht="15" customHeight="1">
      <c r="A482" t="inlineStr">
        <is>
          <t>A 27095-2022</t>
        </is>
      </c>
      <c r="B482" s="1" t="n">
        <v>44741</v>
      </c>
      <c r="C482" s="1" t="n">
        <v>46019</v>
      </c>
      <c r="D482" t="inlineStr">
        <is>
          <t>GOTLANDS LÄN</t>
        </is>
      </c>
      <c r="E482" t="inlineStr">
        <is>
          <t>GOTLAND</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458-2023</t>
        </is>
      </c>
      <c r="B483" s="1" t="n">
        <v>44929</v>
      </c>
      <c r="C483" s="1" t="n">
        <v>46019</v>
      </c>
      <c r="D483" t="inlineStr">
        <is>
          <t>GOTLANDS LÄN</t>
        </is>
      </c>
      <c r="E483" t="inlineStr">
        <is>
          <t>GOTLAND</t>
        </is>
      </c>
      <c r="G483" t="n">
        <v>3.6</v>
      </c>
      <c r="H483" t="n">
        <v>0</v>
      </c>
      <c r="I483" t="n">
        <v>0</v>
      </c>
      <c r="J483" t="n">
        <v>0</v>
      </c>
      <c r="K483" t="n">
        <v>0</v>
      </c>
      <c r="L483" t="n">
        <v>0</v>
      </c>
      <c r="M483" t="n">
        <v>0</v>
      </c>
      <c r="N483" t="n">
        <v>0</v>
      </c>
      <c r="O483" t="n">
        <v>0</v>
      </c>
      <c r="P483" t="n">
        <v>0</v>
      </c>
      <c r="Q483" t="n">
        <v>0</v>
      </c>
      <c r="R483" s="2" t="inlineStr"/>
    </row>
    <row r="484" ht="15" customHeight="1">
      <c r="A484" t="inlineStr">
        <is>
          <t>A 1291-2023</t>
        </is>
      </c>
      <c r="B484" s="1" t="n">
        <v>44936.47561342592</v>
      </c>
      <c r="C484" s="1" t="n">
        <v>46019</v>
      </c>
      <c r="D484" t="inlineStr">
        <is>
          <t>GOTLANDS LÄN</t>
        </is>
      </c>
      <c r="E484" t="inlineStr">
        <is>
          <t>GOTLAND</t>
        </is>
      </c>
      <c r="G484" t="n">
        <v>7.4</v>
      </c>
      <c r="H484" t="n">
        <v>0</v>
      </c>
      <c r="I484" t="n">
        <v>0</v>
      </c>
      <c r="J484" t="n">
        <v>0</v>
      </c>
      <c r="K484" t="n">
        <v>0</v>
      </c>
      <c r="L484" t="n">
        <v>0</v>
      </c>
      <c r="M484" t="n">
        <v>0</v>
      </c>
      <c r="N484" t="n">
        <v>0</v>
      </c>
      <c r="O484" t="n">
        <v>0</v>
      </c>
      <c r="P484" t="n">
        <v>0</v>
      </c>
      <c r="Q484" t="n">
        <v>0</v>
      </c>
      <c r="R484" s="2" t="inlineStr"/>
    </row>
    <row r="485" ht="15" customHeight="1">
      <c r="A485" t="inlineStr">
        <is>
          <t>A 32330-2024</t>
        </is>
      </c>
      <c r="B485" s="1" t="n">
        <v>45512</v>
      </c>
      <c r="C485" s="1" t="n">
        <v>46019</v>
      </c>
      <c r="D485" t="inlineStr">
        <is>
          <t>GOTLANDS LÄN</t>
        </is>
      </c>
      <c r="E485" t="inlineStr">
        <is>
          <t>GOTLAND</t>
        </is>
      </c>
      <c r="G485" t="n">
        <v>2.6</v>
      </c>
      <c r="H485" t="n">
        <v>0</v>
      </c>
      <c r="I485" t="n">
        <v>0</v>
      </c>
      <c r="J485" t="n">
        <v>0</v>
      </c>
      <c r="K485" t="n">
        <v>0</v>
      </c>
      <c r="L485" t="n">
        <v>0</v>
      </c>
      <c r="M485" t="n">
        <v>0</v>
      </c>
      <c r="N485" t="n">
        <v>0</v>
      </c>
      <c r="O485" t="n">
        <v>0</v>
      </c>
      <c r="P485" t="n">
        <v>0</v>
      </c>
      <c r="Q485" t="n">
        <v>0</v>
      </c>
      <c r="R485" s="2" t="inlineStr"/>
    </row>
    <row r="486" ht="15" customHeight="1">
      <c r="A486" t="inlineStr">
        <is>
          <t>A 5891-2025</t>
        </is>
      </c>
      <c r="B486" s="1" t="n">
        <v>45695.38327546296</v>
      </c>
      <c r="C486" s="1" t="n">
        <v>46019</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14804-2021</t>
        </is>
      </c>
      <c r="B487" s="1" t="n">
        <v>44280</v>
      </c>
      <c r="C487" s="1" t="n">
        <v>46019</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2719-2023</t>
        </is>
      </c>
      <c r="B488" s="1" t="n">
        <v>44944.55361111111</v>
      </c>
      <c r="C488" s="1" t="n">
        <v>46019</v>
      </c>
      <c r="D488" t="inlineStr">
        <is>
          <t>GOTLANDS LÄN</t>
        </is>
      </c>
      <c r="E488" t="inlineStr">
        <is>
          <t>GOTLAND</t>
        </is>
      </c>
      <c r="G488" t="n">
        <v>0.5</v>
      </c>
      <c r="H488" t="n">
        <v>0</v>
      </c>
      <c r="I488" t="n">
        <v>0</v>
      </c>
      <c r="J488" t="n">
        <v>0</v>
      </c>
      <c r="K488" t="n">
        <v>0</v>
      </c>
      <c r="L488" t="n">
        <v>0</v>
      </c>
      <c r="M488" t="n">
        <v>0</v>
      </c>
      <c r="N488" t="n">
        <v>0</v>
      </c>
      <c r="O488" t="n">
        <v>0</v>
      </c>
      <c r="P488" t="n">
        <v>0</v>
      </c>
      <c r="Q488" t="n">
        <v>0</v>
      </c>
      <c r="R488" s="2" t="inlineStr"/>
    </row>
    <row r="489" ht="15" customHeight="1">
      <c r="A489" t="inlineStr">
        <is>
          <t>A 17144-2025</t>
        </is>
      </c>
      <c r="B489" s="1" t="n">
        <v>45755.9499537037</v>
      </c>
      <c r="C489" s="1" t="n">
        <v>46019</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49314-2024</t>
        </is>
      </c>
      <c r="B490" s="1" t="n">
        <v>45595.55893518519</v>
      </c>
      <c r="C490" s="1" t="n">
        <v>46019</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9875-2025</t>
        </is>
      </c>
      <c r="B491" s="1" t="n">
        <v>45716</v>
      </c>
      <c r="C491" s="1" t="n">
        <v>46019</v>
      </c>
      <c r="D491" t="inlineStr">
        <is>
          <t>GOTLANDS LÄN</t>
        </is>
      </c>
      <c r="E491" t="inlineStr">
        <is>
          <t>GOTLAND</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29809-2022</t>
        </is>
      </c>
      <c r="B492" s="1" t="n">
        <v>44755.8713425926</v>
      </c>
      <c r="C492" s="1" t="n">
        <v>46019</v>
      </c>
      <c r="D492" t="inlineStr">
        <is>
          <t>GOTLANDS LÄN</t>
        </is>
      </c>
      <c r="E492" t="inlineStr">
        <is>
          <t>GOTLAND</t>
        </is>
      </c>
      <c r="G492" t="n">
        <v>11.5</v>
      </c>
      <c r="H492" t="n">
        <v>0</v>
      </c>
      <c r="I492" t="n">
        <v>0</v>
      </c>
      <c r="J492" t="n">
        <v>0</v>
      </c>
      <c r="K492" t="n">
        <v>0</v>
      </c>
      <c r="L492" t="n">
        <v>0</v>
      </c>
      <c r="M492" t="n">
        <v>0</v>
      </c>
      <c r="N492" t="n">
        <v>0</v>
      </c>
      <c r="O492" t="n">
        <v>0</v>
      </c>
      <c r="P492" t="n">
        <v>0</v>
      </c>
      <c r="Q492" t="n">
        <v>0</v>
      </c>
      <c r="R492" s="2" t="inlineStr"/>
    </row>
    <row r="493" ht="15" customHeight="1">
      <c r="A493" t="inlineStr">
        <is>
          <t>A 16361-2024</t>
        </is>
      </c>
      <c r="B493" s="1" t="n">
        <v>45407</v>
      </c>
      <c r="C493" s="1" t="n">
        <v>46019</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43081-2022</t>
        </is>
      </c>
      <c r="B494" s="1" t="n">
        <v>44833</v>
      </c>
      <c r="C494" s="1" t="n">
        <v>46019</v>
      </c>
      <c r="D494" t="inlineStr">
        <is>
          <t>GOTLANDS LÄN</t>
        </is>
      </c>
      <c r="E494" t="inlineStr">
        <is>
          <t>GOTLAND</t>
        </is>
      </c>
      <c r="G494" t="n">
        <v>6.8</v>
      </c>
      <c r="H494" t="n">
        <v>0</v>
      </c>
      <c r="I494" t="n">
        <v>0</v>
      </c>
      <c r="J494" t="n">
        <v>0</v>
      </c>
      <c r="K494" t="n">
        <v>0</v>
      </c>
      <c r="L494" t="n">
        <v>0</v>
      </c>
      <c r="M494" t="n">
        <v>0</v>
      </c>
      <c r="N494" t="n">
        <v>0</v>
      </c>
      <c r="O494" t="n">
        <v>0</v>
      </c>
      <c r="P494" t="n">
        <v>0</v>
      </c>
      <c r="Q494" t="n">
        <v>0</v>
      </c>
      <c r="R494" s="2" t="inlineStr"/>
    </row>
    <row r="495" ht="15" customHeight="1">
      <c r="A495" t="inlineStr">
        <is>
          <t>A 1175-2025</t>
        </is>
      </c>
      <c r="B495" s="1" t="n">
        <v>45667.34449074074</v>
      </c>
      <c r="C495" s="1" t="n">
        <v>46019</v>
      </c>
      <c r="D495" t="inlineStr">
        <is>
          <t>GOTLANDS LÄN</t>
        </is>
      </c>
      <c r="E495" t="inlineStr">
        <is>
          <t>GOTLAND</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42201-2023</t>
        </is>
      </c>
      <c r="B496" s="1" t="n">
        <v>45179</v>
      </c>
      <c r="C496" s="1" t="n">
        <v>46019</v>
      </c>
      <c r="D496" t="inlineStr">
        <is>
          <t>GOTLANDS LÄN</t>
        </is>
      </c>
      <c r="E496" t="inlineStr">
        <is>
          <t>GOTLAND</t>
        </is>
      </c>
      <c r="G496" t="n">
        <v>11.9</v>
      </c>
      <c r="H496" t="n">
        <v>0</v>
      </c>
      <c r="I496" t="n">
        <v>0</v>
      </c>
      <c r="J496" t="n">
        <v>0</v>
      </c>
      <c r="K496" t="n">
        <v>0</v>
      </c>
      <c r="L496" t="n">
        <v>0</v>
      </c>
      <c r="M496" t="n">
        <v>0</v>
      </c>
      <c r="N496" t="n">
        <v>0</v>
      </c>
      <c r="O496" t="n">
        <v>0</v>
      </c>
      <c r="P496" t="n">
        <v>0</v>
      </c>
      <c r="Q496" t="n">
        <v>0</v>
      </c>
      <c r="R496" s="2" t="inlineStr"/>
    </row>
    <row r="497" ht="15" customHeight="1">
      <c r="A497" t="inlineStr">
        <is>
          <t>A 3150-2025</t>
        </is>
      </c>
      <c r="B497" s="1" t="n">
        <v>45679.28974537037</v>
      </c>
      <c r="C497" s="1" t="n">
        <v>46019</v>
      </c>
      <c r="D497" t="inlineStr">
        <is>
          <t>GOTLANDS LÄN</t>
        </is>
      </c>
      <c r="E497" t="inlineStr">
        <is>
          <t>GOTLAND</t>
        </is>
      </c>
      <c r="G497" t="n">
        <v>2.5</v>
      </c>
      <c r="H497" t="n">
        <v>0</v>
      </c>
      <c r="I497" t="n">
        <v>0</v>
      </c>
      <c r="J497" t="n">
        <v>0</v>
      </c>
      <c r="K497" t="n">
        <v>0</v>
      </c>
      <c r="L497" t="n">
        <v>0</v>
      </c>
      <c r="M497" t="n">
        <v>0</v>
      </c>
      <c r="N497" t="n">
        <v>0</v>
      </c>
      <c r="O497" t="n">
        <v>0</v>
      </c>
      <c r="P497" t="n">
        <v>0</v>
      </c>
      <c r="Q497" t="n">
        <v>0</v>
      </c>
      <c r="R497" s="2" t="inlineStr"/>
    </row>
    <row r="498" ht="15" customHeight="1">
      <c r="A498" t="inlineStr">
        <is>
          <t>A 42041-2024</t>
        </is>
      </c>
      <c r="B498" s="1" t="n">
        <v>45561</v>
      </c>
      <c r="C498" s="1" t="n">
        <v>46019</v>
      </c>
      <c r="D498" t="inlineStr">
        <is>
          <t>GOTLANDS LÄN</t>
        </is>
      </c>
      <c r="E498" t="inlineStr">
        <is>
          <t>GOTLAND</t>
        </is>
      </c>
      <c r="G498" t="n">
        <v>3.2</v>
      </c>
      <c r="H498" t="n">
        <v>0</v>
      </c>
      <c r="I498" t="n">
        <v>0</v>
      </c>
      <c r="J498" t="n">
        <v>0</v>
      </c>
      <c r="K498" t="n">
        <v>0</v>
      </c>
      <c r="L498" t="n">
        <v>0</v>
      </c>
      <c r="M498" t="n">
        <v>0</v>
      </c>
      <c r="N498" t="n">
        <v>0</v>
      </c>
      <c r="O498" t="n">
        <v>0</v>
      </c>
      <c r="P498" t="n">
        <v>0</v>
      </c>
      <c r="Q498" t="n">
        <v>0</v>
      </c>
      <c r="R498" s="2" t="inlineStr"/>
    </row>
    <row r="499" ht="15" customHeight="1">
      <c r="A499" t="inlineStr">
        <is>
          <t>A 15436-2025</t>
        </is>
      </c>
      <c r="B499" s="1" t="n">
        <v>45747.47462962963</v>
      </c>
      <c r="C499" s="1" t="n">
        <v>46019</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44705.38832175926</v>
      </c>
      <c r="C500" s="1" t="n">
        <v>46019</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17780-2022</t>
        </is>
      </c>
      <c r="B501" s="1" t="n">
        <v>44682.82622685185</v>
      </c>
      <c r="C501" s="1" t="n">
        <v>46019</v>
      </c>
      <c r="D501" t="inlineStr">
        <is>
          <t>GOTLANDS LÄN</t>
        </is>
      </c>
      <c r="E501" t="inlineStr">
        <is>
          <t>GOTLAND</t>
        </is>
      </c>
      <c r="G501" t="n">
        <v>2.2</v>
      </c>
      <c r="H501" t="n">
        <v>0</v>
      </c>
      <c r="I501" t="n">
        <v>0</v>
      </c>
      <c r="J501" t="n">
        <v>0</v>
      </c>
      <c r="K501" t="n">
        <v>0</v>
      </c>
      <c r="L501" t="n">
        <v>0</v>
      </c>
      <c r="M501" t="n">
        <v>0</v>
      </c>
      <c r="N501" t="n">
        <v>0</v>
      </c>
      <c r="O501" t="n">
        <v>0</v>
      </c>
      <c r="P501" t="n">
        <v>0</v>
      </c>
      <c r="Q501" t="n">
        <v>0</v>
      </c>
      <c r="R501" s="2" t="inlineStr"/>
    </row>
    <row r="502" ht="15" customHeight="1">
      <c r="A502" t="inlineStr">
        <is>
          <t>A 63516-2023</t>
        </is>
      </c>
      <c r="B502" s="1" t="n">
        <v>45274</v>
      </c>
      <c r="C502" s="1" t="n">
        <v>46019</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53935-2024</t>
        </is>
      </c>
      <c r="B503" s="1" t="n">
        <v>45615</v>
      </c>
      <c r="C503" s="1" t="n">
        <v>46019</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69112-2021</t>
        </is>
      </c>
      <c r="B504" s="1" t="n">
        <v>44530</v>
      </c>
      <c r="C504" s="1" t="n">
        <v>46019</v>
      </c>
      <c r="D504" t="inlineStr">
        <is>
          <t>GOTLANDS LÄN</t>
        </is>
      </c>
      <c r="E504" t="inlineStr">
        <is>
          <t>GOTLAND</t>
        </is>
      </c>
      <c r="G504" t="n">
        <v>4.2</v>
      </c>
      <c r="H504" t="n">
        <v>0</v>
      </c>
      <c r="I504" t="n">
        <v>0</v>
      </c>
      <c r="J504" t="n">
        <v>0</v>
      </c>
      <c r="K504" t="n">
        <v>0</v>
      </c>
      <c r="L504" t="n">
        <v>0</v>
      </c>
      <c r="M504" t="n">
        <v>0</v>
      </c>
      <c r="N504" t="n">
        <v>0</v>
      </c>
      <c r="O504" t="n">
        <v>0</v>
      </c>
      <c r="P504" t="n">
        <v>0</v>
      </c>
      <c r="Q504" t="n">
        <v>0</v>
      </c>
      <c r="R504" s="2" t="inlineStr"/>
    </row>
    <row r="505" ht="15" customHeight="1">
      <c r="A505" t="inlineStr">
        <is>
          <t>A 48734-2022</t>
        </is>
      </c>
      <c r="B505" s="1" t="n">
        <v>44855</v>
      </c>
      <c r="C505" s="1" t="n">
        <v>46019</v>
      </c>
      <c r="D505" t="inlineStr">
        <is>
          <t>GOTLANDS LÄN</t>
        </is>
      </c>
      <c r="E505" t="inlineStr">
        <is>
          <t>GOTLAND</t>
        </is>
      </c>
      <c r="G505" t="n">
        <v>1.6</v>
      </c>
      <c r="H505" t="n">
        <v>0</v>
      </c>
      <c r="I505" t="n">
        <v>0</v>
      </c>
      <c r="J505" t="n">
        <v>0</v>
      </c>
      <c r="K505" t="n">
        <v>0</v>
      </c>
      <c r="L505" t="n">
        <v>0</v>
      </c>
      <c r="M505" t="n">
        <v>0</v>
      </c>
      <c r="N505" t="n">
        <v>0</v>
      </c>
      <c r="O505" t="n">
        <v>0</v>
      </c>
      <c r="P505" t="n">
        <v>0</v>
      </c>
      <c r="Q505" t="n">
        <v>0</v>
      </c>
      <c r="R505" s="2" t="inlineStr"/>
    </row>
    <row r="506" ht="15" customHeight="1">
      <c r="A506" t="inlineStr">
        <is>
          <t>A 23516-2023</t>
        </is>
      </c>
      <c r="B506" s="1" t="n">
        <v>45076.93391203704</v>
      </c>
      <c r="C506" s="1" t="n">
        <v>46019</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43231-2023</t>
        </is>
      </c>
      <c r="B507" s="1" t="n">
        <v>45183.47025462963</v>
      </c>
      <c r="C507" s="1" t="n">
        <v>46019</v>
      </c>
      <c r="D507" t="inlineStr">
        <is>
          <t>GOTLANDS LÄN</t>
        </is>
      </c>
      <c r="E507" t="inlineStr">
        <is>
          <t>GOTLAND</t>
        </is>
      </c>
      <c r="G507" t="n">
        <v>3.6</v>
      </c>
      <c r="H507" t="n">
        <v>0</v>
      </c>
      <c r="I507" t="n">
        <v>0</v>
      </c>
      <c r="J507" t="n">
        <v>0</v>
      </c>
      <c r="K507" t="n">
        <v>0</v>
      </c>
      <c r="L507" t="n">
        <v>0</v>
      </c>
      <c r="M507" t="n">
        <v>0</v>
      </c>
      <c r="N507" t="n">
        <v>0</v>
      </c>
      <c r="O507" t="n">
        <v>0</v>
      </c>
      <c r="P507" t="n">
        <v>0</v>
      </c>
      <c r="Q507" t="n">
        <v>0</v>
      </c>
      <c r="R507" s="2" t="inlineStr"/>
    </row>
    <row r="508" ht="15" customHeight="1">
      <c r="A508" t="inlineStr">
        <is>
          <t>A 58230-2024</t>
        </is>
      </c>
      <c r="B508" s="1" t="n">
        <v>45632.51625</v>
      </c>
      <c r="C508" s="1" t="n">
        <v>46019</v>
      </c>
      <c r="D508" t="inlineStr">
        <is>
          <t>GOTLANDS LÄN</t>
        </is>
      </c>
      <c r="E508" t="inlineStr">
        <is>
          <t>GOTLAND</t>
        </is>
      </c>
      <c r="G508" t="n">
        <v>7.3</v>
      </c>
      <c r="H508" t="n">
        <v>0</v>
      </c>
      <c r="I508" t="n">
        <v>0</v>
      </c>
      <c r="J508" t="n">
        <v>0</v>
      </c>
      <c r="K508" t="n">
        <v>0</v>
      </c>
      <c r="L508" t="n">
        <v>0</v>
      </c>
      <c r="M508" t="n">
        <v>0</v>
      </c>
      <c r="N508" t="n">
        <v>0</v>
      </c>
      <c r="O508" t="n">
        <v>0</v>
      </c>
      <c r="P508" t="n">
        <v>0</v>
      </c>
      <c r="Q508" t="n">
        <v>0</v>
      </c>
      <c r="R508" s="2" t="inlineStr"/>
    </row>
    <row r="509" ht="15" customHeight="1">
      <c r="A509" t="inlineStr">
        <is>
          <t>A 64555-2023</t>
        </is>
      </c>
      <c r="B509" s="1" t="n">
        <v>45281</v>
      </c>
      <c r="C509" s="1" t="n">
        <v>46019</v>
      </c>
      <c r="D509" t="inlineStr">
        <is>
          <t>GOTLANDS LÄN</t>
        </is>
      </c>
      <c r="E509" t="inlineStr">
        <is>
          <t>GOTLAND</t>
        </is>
      </c>
      <c r="G509" t="n">
        <v>3.5</v>
      </c>
      <c r="H509" t="n">
        <v>0</v>
      </c>
      <c r="I509" t="n">
        <v>0</v>
      </c>
      <c r="J509" t="n">
        <v>0</v>
      </c>
      <c r="K509" t="n">
        <v>0</v>
      </c>
      <c r="L509" t="n">
        <v>0</v>
      </c>
      <c r="M509" t="n">
        <v>0</v>
      </c>
      <c r="N509" t="n">
        <v>0</v>
      </c>
      <c r="O509" t="n">
        <v>0</v>
      </c>
      <c r="P509" t="n">
        <v>0</v>
      </c>
      <c r="Q509" t="n">
        <v>0</v>
      </c>
      <c r="R509" s="2" t="inlineStr"/>
    </row>
    <row r="510" ht="15" customHeight="1">
      <c r="A510" t="inlineStr">
        <is>
          <t>A 457-2023</t>
        </is>
      </c>
      <c r="B510" s="1" t="n">
        <v>44929.87238425926</v>
      </c>
      <c r="C510" s="1" t="n">
        <v>46019</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459-2023</t>
        </is>
      </c>
      <c r="B511" s="1" t="n">
        <v>44929.87423611111</v>
      </c>
      <c r="C511" s="1" t="n">
        <v>46019</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876-2024</t>
        </is>
      </c>
      <c r="B512" s="1" t="n">
        <v>45301</v>
      </c>
      <c r="C512" s="1" t="n">
        <v>46019</v>
      </c>
      <c r="D512" t="inlineStr">
        <is>
          <t>GOTLANDS LÄN</t>
        </is>
      </c>
      <c r="E512" t="inlineStr">
        <is>
          <t>GOTLAND</t>
        </is>
      </c>
      <c r="G512" t="n">
        <v>5.3</v>
      </c>
      <c r="H512" t="n">
        <v>0</v>
      </c>
      <c r="I512" t="n">
        <v>0</v>
      </c>
      <c r="J512" t="n">
        <v>0</v>
      </c>
      <c r="K512" t="n">
        <v>0</v>
      </c>
      <c r="L512" t="n">
        <v>0</v>
      </c>
      <c r="M512" t="n">
        <v>0</v>
      </c>
      <c r="N512" t="n">
        <v>0</v>
      </c>
      <c r="O512" t="n">
        <v>0</v>
      </c>
      <c r="P512" t="n">
        <v>0</v>
      </c>
      <c r="Q512" t="n">
        <v>0</v>
      </c>
      <c r="R512" s="2" t="inlineStr"/>
    </row>
    <row r="513" ht="15" customHeight="1">
      <c r="A513" t="inlineStr">
        <is>
          <t>A 26891-2024</t>
        </is>
      </c>
      <c r="B513" s="1" t="n">
        <v>45470.65540509259</v>
      </c>
      <c r="C513" s="1" t="n">
        <v>46019</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14536-2021</t>
        </is>
      </c>
      <c r="B514" s="1" t="n">
        <v>44279.66168981481</v>
      </c>
      <c r="C514" s="1" t="n">
        <v>46019</v>
      </c>
      <c r="D514" t="inlineStr">
        <is>
          <t>GOTLANDS LÄN</t>
        </is>
      </c>
      <c r="E514" t="inlineStr">
        <is>
          <t>GOTLAND</t>
        </is>
      </c>
      <c r="G514" t="n">
        <v>8.5</v>
      </c>
      <c r="H514" t="n">
        <v>0</v>
      </c>
      <c r="I514" t="n">
        <v>0</v>
      </c>
      <c r="J514" t="n">
        <v>0</v>
      </c>
      <c r="K514" t="n">
        <v>0</v>
      </c>
      <c r="L514" t="n">
        <v>0</v>
      </c>
      <c r="M514" t="n">
        <v>0</v>
      </c>
      <c r="N514" t="n">
        <v>0</v>
      </c>
      <c r="O514" t="n">
        <v>0</v>
      </c>
      <c r="P514" t="n">
        <v>0</v>
      </c>
      <c r="Q514" t="n">
        <v>0</v>
      </c>
      <c r="R514" s="2" t="inlineStr"/>
    </row>
    <row r="515" ht="15" customHeight="1">
      <c r="A515" t="inlineStr">
        <is>
          <t>A 5923-2023</t>
        </is>
      </c>
      <c r="B515" s="1" t="n">
        <v>44963.69503472222</v>
      </c>
      <c r="C515" s="1" t="n">
        <v>46019</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50482-2024</t>
        </is>
      </c>
      <c r="B516" s="1" t="n">
        <v>45601.48114583334</v>
      </c>
      <c r="C516" s="1" t="n">
        <v>46019</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5943-2024</t>
        </is>
      </c>
      <c r="B517" s="1" t="n">
        <v>45336</v>
      </c>
      <c r="C517" s="1" t="n">
        <v>46019</v>
      </c>
      <c r="D517" t="inlineStr">
        <is>
          <t>GOTLANDS LÄN</t>
        </is>
      </c>
      <c r="E517" t="inlineStr">
        <is>
          <t>GOTLAND</t>
        </is>
      </c>
      <c r="G517" t="n">
        <v>4.3</v>
      </c>
      <c r="H517" t="n">
        <v>0</v>
      </c>
      <c r="I517" t="n">
        <v>0</v>
      </c>
      <c r="J517" t="n">
        <v>0</v>
      </c>
      <c r="K517" t="n">
        <v>0</v>
      </c>
      <c r="L517" t="n">
        <v>0</v>
      </c>
      <c r="M517" t="n">
        <v>0</v>
      </c>
      <c r="N517" t="n">
        <v>0</v>
      </c>
      <c r="O517" t="n">
        <v>0</v>
      </c>
      <c r="P517" t="n">
        <v>0</v>
      </c>
      <c r="Q517" t="n">
        <v>0</v>
      </c>
      <c r="R517" s="2" t="inlineStr"/>
    </row>
    <row r="518" ht="15" customHeight="1">
      <c r="A518" t="inlineStr">
        <is>
          <t>A 38234-2023</t>
        </is>
      </c>
      <c r="B518" s="1" t="n">
        <v>45161.56663194444</v>
      </c>
      <c r="C518" s="1" t="n">
        <v>46019</v>
      </c>
      <c r="D518" t="inlineStr">
        <is>
          <t>GOTLANDS LÄN</t>
        </is>
      </c>
      <c r="E518" t="inlineStr">
        <is>
          <t>GOTLAND</t>
        </is>
      </c>
      <c r="G518" t="n">
        <v>1.3</v>
      </c>
      <c r="H518" t="n">
        <v>0</v>
      </c>
      <c r="I518" t="n">
        <v>0</v>
      </c>
      <c r="J518" t="n">
        <v>0</v>
      </c>
      <c r="K518" t="n">
        <v>0</v>
      </c>
      <c r="L518" t="n">
        <v>0</v>
      </c>
      <c r="M518" t="n">
        <v>0</v>
      </c>
      <c r="N518" t="n">
        <v>0</v>
      </c>
      <c r="O518" t="n">
        <v>0</v>
      </c>
      <c r="P518" t="n">
        <v>0</v>
      </c>
      <c r="Q518" t="n">
        <v>0</v>
      </c>
      <c r="R518" s="2" t="inlineStr"/>
    </row>
    <row r="519" ht="15" customHeight="1">
      <c r="A519" t="inlineStr">
        <is>
          <t>A 1273-2023</t>
        </is>
      </c>
      <c r="B519" s="1" t="n">
        <v>44936</v>
      </c>
      <c r="C519" s="1" t="n">
        <v>46019</v>
      </c>
      <c r="D519" t="inlineStr">
        <is>
          <t>GOTLANDS LÄN</t>
        </is>
      </c>
      <c r="E519" t="inlineStr">
        <is>
          <t>GOTLAND</t>
        </is>
      </c>
      <c r="G519" t="n">
        <v>4.5</v>
      </c>
      <c r="H519" t="n">
        <v>0</v>
      </c>
      <c r="I519" t="n">
        <v>0</v>
      </c>
      <c r="J519" t="n">
        <v>0</v>
      </c>
      <c r="K519" t="n">
        <v>0</v>
      </c>
      <c r="L519" t="n">
        <v>0</v>
      </c>
      <c r="M519" t="n">
        <v>0</v>
      </c>
      <c r="N519" t="n">
        <v>0</v>
      </c>
      <c r="O519" t="n">
        <v>0</v>
      </c>
      <c r="P519" t="n">
        <v>0</v>
      </c>
      <c r="Q519" t="n">
        <v>0</v>
      </c>
      <c r="R519" s="2" t="inlineStr"/>
    </row>
    <row r="520" ht="15" customHeight="1">
      <c r="A520" t="inlineStr">
        <is>
          <t>A 17724-2024</t>
        </is>
      </c>
      <c r="B520" s="1" t="n">
        <v>45418.55096064815</v>
      </c>
      <c r="C520" s="1" t="n">
        <v>46019</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23978-2023</t>
        </is>
      </c>
      <c r="B521" s="1" t="n">
        <v>45078</v>
      </c>
      <c r="C521" s="1" t="n">
        <v>46019</v>
      </c>
      <c r="D521" t="inlineStr">
        <is>
          <t>GOTLANDS LÄN</t>
        </is>
      </c>
      <c r="E521" t="inlineStr">
        <is>
          <t>GOTLAND</t>
        </is>
      </c>
      <c r="F521" t="inlineStr">
        <is>
          <t>Naturvårdsverket</t>
        </is>
      </c>
      <c r="G521" t="n">
        <v>1.7</v>
      </c>
      <c r="H521" t="n">
        <v>0</v>
      </c>
      <c r="I521" t="n">
        <v>0</v>
      </c>
      <c r="J521" t="n">
        <v>0</v>
      </c>
      <c r="K521" t="n">
        <v>0</v>
      </c>
      <c r="L521" t="n">
        <v>0</v>
      </c>
      <c r="M521" t="n">
        <v>0</v>
      </c>
      <c r="N521" t="n">
        <v>0</v>
      </c>
      <c r="O521" t="n">
        <v>0</v>
      </c>
      <c r="P521" t="n">
        <v>0</v>
      </c>
      <c r="Q521" t="n">
        <v>0</v>
      </c>
      <c r="R521" s="2" t="inlineStr"/>
    </row>
    <row r="522" ht="15" customHeight="1">
      <c r="A522" t="inlineStr">
        <is>
          <t>A 49884-2023</t>
        </is>
      </c>
      <c r="B522" s="1" t="n">
        <v>45213</v>
      </c>
      <c r="C522" s="1" t="n">
        <v>46019</v>
      </c>
      <c r="D522" t="inlineStr">
        <is>
          <t>GOTLANDS LÄN</t>
        </is>
      </c>
      <c r="E522" t="inlineStr">
        <is>
          <t>GOTLAND</t>
        </is>
      </c>
      <c r="G522" t="n">
        <v>8.9</v>
      </c>
      <c r="H522" t="n">
        <v>0</v>
      </c>
      <c r="I522" t="n">
        <v>0</v>
      </c>
      <c r="J522" t="n">
        <v>0</v>
      </c>
      <c r="K522" t="n">
        <v>0</v>
      </c>
      <c r="L522" t="n">
        <v>0</v>
      </c>
      <c r="M522" t="n">
        <v>0</v>
      </c>
      <c r="N522" t="n">
        <v>0</v>
      </c>
      <c r="O522" t="n">
        <v>0</v>
      </c>
      <c r="P522" t="n">
        <v>0</v>
      </c>
      <c r="Q522" t="n">
        <v>0</v>
      </c>
      <c r="R522" s="2" t="inlineStr"/>
    </row>
    <row r="523" ht="15" customHeight="1">
      <c r="A523" t="inlineStr">
        <is>
          <t>A 12846-2025</t>
        </is>
      </c>
      <c r="B523" s="1" t="n">
        <v>45733.65049768519</v>
      </c>
      <c r="C523" s="1" t="n">
        <v>46019</v>
      </c>
      <c r="D523" t="inlineStr">
        <is>
          <t>GOTLANDS LÄN</t>
        </is>
      </c>
      <c r="E523" t="inlineStr">
        <is>
          <t>GOTLAND</t>
        </is>
      </c>
      <c r="G523" t="n">
        <v>1.7</v>
      </c>
      <c r="H523" t="n">
        <v>0</v>
      </c>
      <c r="I523" t="n">
        <v>0</v>
      </c>
      <c r="J523" t="n">
        <v>0</v>
      </c>
      <c r="K523" t="n">
        <v>0</v>
      </c>
      <c r="L523" t="n">
        <v>0</v>
      </c>
      <c r="M523" t="n">
        <v>0</v>
      </c>
      <c r="N523" t="n">
        <v>0</v>
      </c>
      <c r="O523" t="n">
        <v>0</v>
      </c>
      <c r="P523" t="n">
        <v>0</v>
      </c>
      <c r="Q523" t="n">
        <v>0</v>
      </c>
      <c r="R523" s="2" t="inlineStr"/>
    </row>
    <row r="524" ht="15" customHeight="1">
      <c r="A524" t="inlineStr">
        <is>
          <t>A 43200-2023</t>
        </is>
      </c>
      <c r="B524" s="1" t="n">
        <v>45183</v>
      </c>
      <c r="C524" s="1" t="n">
        <v>46019</v>
      </c>
      <c r="D524" t="inlineStr">
        <is>
          <t>GOTLANDS LÄN</t>
        </is>
      </c>
      <c r="E524" t="inlineStr">
        <is>
          <t>GOTLAND</t>
        </is>
      </c>
      <c r="G524" t="n">
        <v>0.5</v>
      </c>
      <c r="H524" t="n">
        <v>0</v>
      </c>
      <c r="I524" t="n">
        <v>0</v>
      </c>
      <c r="J524" t="n">
        <v>0</v>
      </c>
      <c r="K524" t="n">
        <v>0</v>
      </c>
      <c r="L524" t="n">
        <v>0</v>
      </c>
      <c r="M524" t="n">
        <v>0</v>
      </c>
      <c r="N524" t="n">
        <v>0</v>
      </c>
      <c r="O524" t="n">
        <v>0</v>
      </c>
      <c r="P524" t="n">
        <v>0</v>
      </c>
      <c r="Q524" t="n">
        <v>0</v>
      </c>
      <c r="R524" s="2" t="inlineStr"/>
    </row>
    <row r="525" ht="15" customHeight="1">
      <c r="A525" t="inlineStr">
        <is>
          <t>A 3935-2025</t>
        </is>
      </c>
      <c r="B525" s="1" t="n">
        <v>45684.46070601852</v>
      </c>
      <c r="C525" s="1" t="n">
        <v>46019</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21792-2024</t>
        </is>
      </c>
      <c r="B526" s="1" t="n">
        <v>45442.64326388889</v>
      </c>
      <c r="C526" s="1" t="n">
        <v>46019</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48843-2024</t>
        </is>
      </c>
      <c r="B527" s="1" t="n">
        <v>45593</v>
      </c>
      <c r="C527" s="1" t="n">
        <v>46019</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10653-2023</t>
        </is>
      </c>
      <c r="B528" s="1" t="n">
        <v>44988.48859953704</v>
      </c>
      <c r="C528" s="1" t="n">
        <v>46019</v>
      </c>
      <c r="D528" t="inlineStr">
        <is>
          <t>GOTLANDS LÄN</t>
        </is>
      </c>
      <c r="E528" t="inlineStr">
        <is>
          <t>GOTLAND</t>
        </is>
      </c>
      <c r="F528" t="inlineStr">
        <is>
          <t>Kyrkan</t>
        </is>
      </c>
      <c r="G528" t="n">
        <v>3</v>
      </c>
      <c r="H528" t="n">
        <v>0</v>
      </c>
      <c r="I528" t="n">
        <v>0</v>
      </c>
      <c r="J528" t="n">
        <v>0</v>
      </c>
      <c r="K528" t="n">
        <v>0</v>
      </c>
      <c r="L528" t="n">
        <v>0</v>
      </c>
      <c r="M528" t="n">
        <v>0</v>
      </c>
      <c r="N528" t="n">
        <v>0</v>
      </c>
      <c r="O528" t="n">
        <v>0</v>
      </c>
      <c r="P528" t="n">
        <v>0</v>
      </c>
      <c r="Q528" t="n">
        <v>0</v>
      </c>
      <c r="R528" s="2" t="inlineStr"/>
    </row>
    <row r="529" ht="15" customHeight="1">
      <c r="A529" t="inlineStr">
        <is>
          <t>A 35512-2023</t>
        </is>
      </c>
      <c r="B529" s="1" t="n">
        <v>45147.25623842593</v>
      </c>
      <c r="C529" s="1" t="n">
        <v>46019</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11874-2024</t>
        </is>
      </c>
      <c r="B530" s="1" t="n">
        <v>45376.46956018519</v>
      </c>
      <c r="C530" s="1" t="n">
        <v>46019</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20225-2025</t>
        </is>
      </c>
      <c r="B531" s="1" t="n">
        <v>45772.65802083333</v>
      </c>
      <c r="C531" s="1" t="n">
        <v>46019</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1677-2023</t>
        </is>
      </c>
      <c r="B532" s="1" t="n">
        <v>44938</v>
      </c>
      <c r="C532" s="1" t="n">
        <v>46019</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64831-2023</t>
        </is>
      </c>
      <c r="B533" s="1" t="n">
        <v>45282.44924768519</v>
      </c>
      <c r="C533" s="1" t="n">
        <v>46019</v>
      </c>
      <c r="D533" t="inlineStr">
        <is>
          <t>GOTLANDS LÄN</t>
        </is>
      </c>
      <c r="E533" t="inlineStr">
        <is>
          <t>GOTLAND</t>
        </is>
      </c>
      <c r="G533" t="n">
        <v>1.9</v>
      </c>
      <c r="H533" t="n">
        <v>0</v>
      </c>
      <c r="I533" t="n">
        <v>0</v>
      </c>
      <c r="J533" t="n">
        <v>0</v>
      </c>
      <c r="K533" t="n">
        <v>0</v>
      </c>
      <c r="L533" t="n">
        <v>0</v>
      </c>
      <c r="M533" t="n">
        <v>0</v>
      </c>
      <c r="N533" t="n">
        <v>0</v>
      </c>
      <c r="O533" t="n">
        <v>0</v>
      </c>
      <c r="P533" t="n">
        <v>0</v>
      </c>
      <c r="Q533" t="n">
        <v>0</v>
      </c>
      <c r="R533" s="2" t="inlineStr"/>
    </row>
    <row r="534" ht="15" customHeight="1">
      <c r="A534" t="inlineStr">
        <is>
          <t>A 8036-2022</t>
        </is>
      </c>
      <c r="B534" s="1" t="n">
        <v>44609.44362268518</v>
      </c>
      <c r="C534" s="1" t="n">
        <v>46019</v>
      </c>
      <c r="D534" t="inlineStr">
        <is>
          <t>GOTLANDS LÄN</t>
        </is>
      </c>
      <c r="E534" t="inlineStr">
        <is>
          <t>GOTLAND</t>
        </is>
      </c>
      <c r="G534" t="n">
        <v>6.1</v>
      </c>
      <c r="H534" t="n">
        <v>0</v>
      </c>
      <c r="I534" t="n">
        <v>0</v>
      </c>
      <c r="J534" t="n">
        <v>0</v>
      </c>
      <c r="K534" t="n">
        <v>0</v>
      </c>
      <c r="L534" t="n">
        <v>0</v>
      </c>
      <c r="M534" t="n">
        <v>0</v>
      </c>
      <c r="N534" t="n">
        <v>0</v>
      </c>
      <c r="O534" t="n">
        <v>0</v>
      </c>
      <c r="P534" t="n">
        <v>0</v>
      </c>
      <c r="Q534" t="n">
        <v>0</v>
      </c>
      <c r="R534" s="2" t="inlineStr"/>
    </row>
    <row r="535" ht="15" customHeight="1">
      <c r="A535" t="inlineStr">
        <is>
          <t>A 46375-2024</t>
        </is>
      </c>
      <c r="B535" s="1" t="n">
        <v>45582</v>
      </c>
      <c r="C535" s="1" t="n">
        <v>46019</v>
      </c>
      <c r="D535" t="inlineStr">
        <is>
          <t>GOTLANDS LÄN</t>
        </is>
      </c>
      <c r="E535" t="inlineStr">
        <is>
          <t>GOTLAND</t>
        </is>
      </c>
      <c r="G535" t="n">
        <v>3</v>
      </c>
      <c r="H535" t="n">
        <v>0</v>
      </c>
      <c r="I535" t="n">
        <v>0</v>
      </c>
      <c r="J535" t="n">
        <v>0</v>
      </c>
      <c r="K535" t="n">
        <v>0</v>
      </c>
      <c r="L535" t="n">
        <v>0</v>
      </c>
      <c r="M535" t="n">
        <v>0</v>
      </c>
      <c r="N535" t="n">
        <v>0</v>
      </c>
      <c r="O535" t="n">
        <v>0</v>
      </c>
      <c r="P535" t="n">
        <v>0</v>
      </c>
      <c r="Q535" t="n">
        <v>0</v>
      </c>
      <c r="R535" s="2" t="inlineStr"/>
    </row>
    <row r="536" ht="15" customHeight="1">
      <c r="A536" t="inlineStr">
        <is>
          <t>A 62915-2021</t>
        </is>
      </c>
      <c r="B536" s="1" t="n">
        <v>44504</v>
      </c>
      <c r="C536" s="1" t="n">
        <v>46019</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7638-2025</t>
        </is>
      </c>
      <c r="B537" s="1" t="n">
        <v>45705.77306712963</v>
      </c>
      <c r="C537" s="1" t="n">
        <v>46019</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4377-2023</t>
        </is>
      </c>
      <c r="B538" s="1" t="n">
        <v>44955.5502662037</v>
      </c>
      <c r="C538" s="1" t="n">
        <v>46019</v>
      </c>
      <c r="D538" t="inlineStr">
        <is>
          <t>GOTLANDS LÄN</t>
        </is>
      </c>
      <c r="E538" t="inlineStr">
        <is>
          <t>GOTLAND</t>
        </is>
      </c>
      <c r="F538" t="inlineStr">
        <is>
          <t>Kyrkan</t>
        </is>
      </c>
      <c r="G538" t="n">
        <v>0.6</v>
      </c>
      <c r="H538" t="n">
        <v>0</v>
      </c>
      <c r="I538" t="n">
        <v>0</v>
      </c>
      <c r="J538" t="n">
        <v>0</v>
      </c>
      <c r="K538" t="n">
        <v>0</v>
      </c>
      <c r="L538" t="n">
        <v>0</v>
      </c>
      <c r="M538" t="n">
        <v>0</v>
      </c>
      <c r="N538" t="n">
        <v>0</v>
      </c>
      <c r="O538" t="n">
        <v>0</v>
      </c>
      <c r="P538" t="n">
        <v>0</v>
      </c>
      <c r="Q538" t="n">
        <v>0</v>
      </c>
      <c r="R538" s="2" t="inlineStr"/>
    </row>
    <row r="539" ht="15" customHeight="1">
      <c r="A539" t="inlineStr">
        <is>
          <t>A 43901-2023</t>
        </is>
      </c>
      <c r="B539" s="1" t="n">
        <v>45187</v>
      </c>
      <c r="C539" s="1" t="n">
        <v>46019</v>
      </c>
      <c r="D539" t="inlineStr">
        <is>
          <t>GOTLANDS LÄN</t>
        </is>
      </c>
      <c r="E539" t="inlineStr">
        <is>
          <t>GOTLAND</t>
        </is>
      </c>
      <c r="G539" t="n">
        <v>5.4</v>
      </c>
      <c r="H539" t="n">
        <v>0</v>
      </c>
      <c r="I539" t="n">
        <v>0</v>
      </c>
      <c r="J539" t="n">
        <v>0</v>
      </c>
      <c r="K539" t="n">
        <v>0</v>
      </c>
      <c r="L539" t="n">
        <v>0</v>
      </c>
      <c r="M539" t="n">
        <v>0</v>
      </c>
      <c r="N539" t="n">
        <v>0</v>
      </c>
      <c r="O539" t="n">
        <v>0</v>
      </c>
      <c r="P539" t="n">
        <v>0</v>
      </c>
      <c r="Q539" t="n">
        <v>0</v>
      </c>
      <c r="R539" s="2" t="inlineStr"/>
    </row>
    <row r="540" ht="15" customHeight="1">
      <c r="A540" t="inlineStr">
        <is>
          <t>A 17532-2024</t>
        </is>
      </c>
      <c r="B540" s="1" t="n">
        <v>45415</v>
      </c>
      <c r="C540" s="1" t="n">
        <v>46019</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45692-2023</t>
        </is>
      </c>
      <c r="B541" s="1" t="n">
        <v>45195</v>
      </c>
      <c r="C541" s="1" t="n">
        <v>46019</v>
      </c>
      <c r="D541" t="inlineStr">
        <is>
          <t>GOTLANDS LÄN</t>
        </is>
      </c>
      <c r="E541" t="inlineStr">
        <is>
          <t>GOTLAND</t>
        </is>
      </c>
      <c r="G541" t="n">
        <v>5.3</v>
      </c>
      <c r="H541" t="n">
        <v>0</v>
      </c>
      <c r="I541" t="n">
        <v>0</v>
      </c>
      <c r="J541" t="n">
        <v>0</v>
      </c>
      <c r="K541" t="n">
        <v>0</v>
      </c>
      <c r="L541" t="n">
        <v>0</v>
      </c>
      <c r="M541" t="n">
        <v>0</v>
      </c>
      <c r="N541" t="n">
        <v>0</v>
      </c>
      <c r="O541" t="n">
        <v>0</v>
      </c>
      <c r="P541" t="n">
        <v>0</v>
      </c>
      <c r="Q541" t="n">
        <v>0</v>
      </c>
      <c r="R541" s="2" t="inlineStr"/>
    </row>
    <row r="542" ht="15" customHeight="1">
      <c r="A542" t="inlineStr">
        <is>
          <t>A 37222-2021</t>
        </is>
      </c>
      <c r="B542" s="1" t="n">
        <v>44396</v>
      </c>
      <c r="C542" s="1" t="n">
        <v>46019</v>
      </c>
      <c r="D542" t="inlineStr">
        <is>
          <t>GOTLANDS LÄN</t>
        </is>
      </c>
      <c r="E542" t="inlineStr">
        <is>
          <t>GOTLAND</t>
        </is>
      </c>
      <c r="G542" t="n">
        <v>3</v>
      </c>
      <c r="H542" t="n">
        <v>0</v>
      </c>
      <c r="I542" t="n">
        <v>0</v>
      </c>
      <c r="J542" t="n">
        <v>0</v>
      </c>
      <c r="K542" t="n">
        <v>0</v>
      </c>
      <c r="L542" t="n">
        <v>0</v>
      </c>
      <c r="M542" t="n">
        <v>0</v>
      </c>
      <c r="N542" t="n">
        <v>0</v>
      </c>
      <c r="O542" t="n">
        <v>0</v>
      </c>
      <c r="P542" t="n">
        <v>0</v>
      </c>
      <c r="Q542" t="n">
        <v>0</v>
      </c>
      <c r="R542" s="2" t="inlineStr"/>
    </row>
    <row r="543" ht="15" customHeight="1">
      <c r="A543" t="inlineStr">
        <is>
          <t>A 46396-2023</t>
        </is>
      </c>
      <c r="B543" s="1" t="n">
        <v>45197</v>
      </c>
      <c r="C543" s="1" t="n">
        <v>46019</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58388-2022</t>
        </is>
      </c>
      <c r="B544" s="1" t="n">
        <v>44894</v>
      </c>
      <c r="C544" s="1" t="n">
        <v>46019</v>
      </c>
      <c r="D544" t="inlineStr">
        <is>
          <t>GOTLANDS LÄN</t>
        </is>
      </c>
      <c r="E544" t="inlineStr">
        <is>
          <t>GOTLAND</t>
        </is>
      </c>
      <c r="F544" t="inlineStr">
        <is>
          <t>Övriga statliga verk och myndigheter</t>
        </is>
      </c>
      <c r="G544" t="n">
        <v>3.1</v>
      </c>
      <c r="H544" t="n">
        <v>0</v>
      </c>
      <c r="I544" t="n">
        <v>0</v>
      </c>
      <c r="J544" t="n">
        <v>0</v>
      </c>
      <c r="K544" t="n">
        <v>0</v>
      </c>
      <c r="L544" t="n">
        <v>0</v>
      </c>
      <c r="M544" t="n">
        <v>0</v>
      </c>
      <c r="N544" t="n">
        <v>0</v>
      </c>
      <c r="O544" t="n">
        <v>0</v>
      </c>
      <c r="P544" t="n">
        <v>0</v>
      </c>
      <c r="Q544" t="n">
        <v>0</v>
      </c>
      <c r="R544" s="2" t="inlineStr"/>
    </row>
    <row r="545" ht="15" customHeight="1">
      <c r="A545" t="inlineStr">
        <is>
          <t>A 53934-2024</t>
        </is>
      </c>
      <c r="B545" s="1" t="n">
        <v>45615</v>
      </c>
      <c r="C545" s="1" t="n">
        <v>46019</v>
      </c>
      <c r="D545" t="inlineStr">
        <is>
          <t>GOTLANDS LÄN</t>
        </is>
      </c>
      <c r="E545" t="inlineStr">
        <is>
          <t>GOTLAND</t>
        </is>
      </c>
      <c r="G545" t="n">
        <v>5</v>
      </c>
      <c r="H545" t="n">
        <v>0</v>
      </c>
      <c r="I545" t="n">
        <v>0</v>
      </c>
      <c r="J545" t="n">
        <v>0</v>
      </c>
      <c r="K545" t="n">
        <v>0</v>
      </c>
      <c r="L545" t="n">
        <v>0</v>
      </c>
      <c r="M545" t="n">
        <v>0</v>
      </c>
      <c r="N545" t="n">
        <v>0</v>
      </c>
      <c r="O545" t="n">
        <v>0</v>
      </c>
      <c r="P545" t="n">
        <v>0</v>
      </c>
      <c r="Q545" t="n">
        <v>0</v>
      </c>
      <c r="R545" s="2" t="inlineStr"/>
    </row>
    <row r="546" ht="15" customHeight="1">
      <c r="A546" t="inlineStr">
        <is>
          <t>A 58132-2023</t>
        </is>
      </c>
      <c r="B546" s="1" t="n">
        <v>45250</v>
      </c>
      <c r="C546" s="1" t="n">
        <v>46019</v>
      </c>
      <c r="D546" t="inlineStr">
        <is>
          <t>GOTLANDS LÄN</t>
        </is>
      </c>
      <c r="E546" t="inlineStr">
        <is>
          <t>GOTLAND</t>
        </is>
      </c>
      <c r="G546" t="n">
        <v>3.1</v>
      </c>
      <c r="H546" t="n">
        <v>0</v>
      </c>
      <c r="I546" t="n">
        <v>0</v>
      </c>
      <c r="J546" t="n">
        <v>0</v>
      </c>
      <c r="K546" t="n">
        <v>0</v>
      </c>
      <c r="L546" t="n">
        <v>0</v>
      </c>
      <c r="M546" t="n">
        <v>0</v>
      </c>
      <c r="N546" t="n">
        <v>0</v>
      </c>
      <c r="O546" t="n">
        <v>0</v>
      </c>
      <c r="P546" t="n">
        <v>0</v>
      </c>
      <c r="Q546" t="n">
        <v>0</v>
      </c>
      <c r="R546" s="2" t="inlineStr"/>
    </row>
    <row r="547" ht="15" customHeight="1">
      <c r="A547" t="inlineStr">
        <is>
          <t>A 22899-2023</t>
        </is>
      </c>
      <c r="B547" s="1" t="n">
        <v>45072</v>
      </c>
      <c r="C547" s="1" t="n">
        <v>46019</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28285-2024</t>
        </is>
      </c>
      <c r="B548" s="1" t="n">
        <v>45477</v>
      </c>
      <c r="C548" s="1" t="n">
        <v>46019</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51963-2024</t>
        </is>
      </c>
      <c r="B549" s="1" t="n">
        <v>45607.64833333333</v>
      </c>
      <c r="C549" s="1" t="n">
        <v>46019</v>
      </c>
      <c r="D549" t="inlineStr">
        <is>
          <t>GOTLANDS LÄN</t>
        </is>
      </c>
      <c r="E549" t="inlineStr">
        <is>
          <t>GOTLAND</t>
        </is>
      </c>
      <c r="G549" t="n">
        <v>2.4</v>
      </c>
      <c r="H549" t="n">
        <v>0</v>
      </c>
      <c r="I549" t="n">
        <v>0</v>
      </c>
      <c r="J549" t="n">
        <v>0</v>
      </c>
      <c r="K549" t="n">
        <v>0</v>
      </c>
      <c r="L549" t="n">
        <v>0</v>
      </c>
      <c r="M549" t="n">
        <v>0</v>
      </c>
      <c r="N549" t="n">
        <v>0</v>
      </c>
      <c r="O549" t="n">
        <v>0</v>
      </c>
      <c r="P549" t="n">
        <v>0</v>
      </c>
      <c r="Q549" t="n">
        <v>0</v>
      </c>
      <c r="R549" s="2" t="inlineStr"/>
    </row>
    <row r="550" ht="15" customHeight="1">
      <c r="A550" t="inlineStr">
        <is>
          <t>A 1734-2025</t>
        </is>
      </c>
      <c r="B550" s="1" t="n">
        <v>45671.3840625</v>
      </c>
      <c r="C550" s="1" t="n">
        <v>46019</v>
      </c>
      <c r="D550" t="inlineStr">
        <is>
          <t>GOTLANDS LÄN</t>
        </is>
      </c>
      <c r="E550" t="inlineStr">
        <is>
          <t>GOTLAND</t>
        </is>
      </c>
      <c r="G550" t="n">
        <v>1.9</v>
      </c>
      <c r="H550" t="n">
        <v>0</v>
      </c>
      <c r="I550" t="n">
        <v>0</v>
      </c>
      <c r="J550" t="n">
        <v>0</v>
      </c>
      <c r="K550" t="n">
        <v>0</v>
      </c>
      <c r="L550" t="n">
        <v>0</v>
      </c>
      <c r="M550" t="n">
        <v>0</v>
      </c>
      <c r="N550" t="n">
        <v>0</v>
      </c>
      <c r="O550" t="n">
        <v>0</v>
      </c>
      <c r="P550" t="n">
        <v>0</v>
      </c>
      <c r="Q550" t="n">
        <v>0</v>
      </c>
      <c r="R550" s="2" t="inlineStr"/>
    </row>
    <row r="551" ht="15" customHeight="1">
      <c r="A551" t="inlineStr">
        <is>
          <t>A 30365-2024</t>
        </is>
      </c>
      <c r="B551" s="1" t="n">
        <v>45491.3716087963</v>
      </c>
      <c r="C551" s="1" t="n">
        <v>46019</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2674-2023</t>
        </is>
      </c>
      <c r="B552" s="1" t="n">
        <v>44944</v>
      </c>
      <c r="C552" s="1" t="n">
        <v>46019</v>
      </c>
      <c r="D552" t="inlineStr">
        <is>
          <t>GOTLANDS LÄN</t>
        </is>
      </c>
      <c r="E552" t="inlineStr">
        <is>
          <t>GOTLAND</t>
        </is>
      </c>
      <c r="G552" t="n">
        <v>2.5</v>
      </c>
      <c r="H552" t="n">
        <v>0</v>
      </c>
      <c r="I552" t="n">
        <v>0</v>
      </c>
      <c r="J552" t="n">
        <v>0</v>
      </c>
      <c r="K552" t="n">
        <v>0</v>
      </c>
      <c r="L552" t="n">
        <v>0</v>
      </c>
      <c r="M552" t="n">
        <v>0</v>
      </c>
      <c r="N552" t="n">
        <v>0</v>
      </c>
      <c r="O552" t="n">
        <v>0</v>
      </c>
      <c r="P552" t="n">
        <v>0</v>
      </c>
      <c r="Q552" t="n">
        <v>0</v>
      </c>
      <c r="R552" s="2" t="inlineStr"/>
    </row>
    <row r="553" ht="15" customHeight="1">
      <c r="A553" t="inlineStr">
        <is>
          <t>A 61100-2022</t>
        </is>
      </c>
      <c r="B553" s="1" t="n">
        <v>44915</v>
      </c>
      <c r="C553" s="1" t="n">
        <v>46019</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581-2023</t>
        </is>
      </c>
      <c r="B554" s="1" t="n">
        <v>44930</v>
      </c>
      <c r="C554" s="1" t="n">
        <v>46019</v>
      </c>
      <c r="D554" t="inlineStr">
        <is>
          <t>GOTLANDS LÄN</t>
        </is>
      </c>
      <c r="E554" t="inlineStr">
        <is>
          <t>GOTLAND</t>
        </is>
      </c>
      <c r="G554" t="n">
        <v>12</v>
      </c>
      <c r="H554" t="n">
        <v>0</v>
      </c>
      <c r="I554" t="n">
        <v>0</v>
      </c>
      <c r="J554" t="n">
        <v>0</v>
      </c>
      <c r="K554" t="n">
        <v>0</v>
      </c>
      <c r="L554" t="n">
        <v>0</v>
      </c>
      <c r="M554" t="n">
        <v>0</v>
      </c>
      <c r="N554" t="n">
        <v>0</v>
      </c>
      <c r="O554" t="n">
        <v>0</v>
      </c>
      <c r="P554" t="n">
        <v>0</v>
      </c>
      <c r="Q554" t="n">
        <v>0</v>
      </c>
      <c r="R554" s="2" t="inlineStr"/>
    </row>
    <row r="555" ht="15" customHeight="1">
      <c r="A555" t="inlineStr">
        <is>
          <t>A 10655-2023</t>
        </is>
      </c>
      <c r="B555" s="1" t="n">
        <v>44988.49543981482</v>
      </c>
      <c r="C555" s="1" t="n">
        <v>46019</v>
      </c>
      <c r="D555" t="inlineStr">
        <is>
          <t>GOTLANDS LÄN</t>
        </is>
      </c>
      <c r="E555" t="inlineStr">
        <is>
          <t>GOTLAND</t>
        </is>
      </c>
      <c r="F555" t="inlineStr">
        <is>
          <t>Kyrkan</t>
        </is>
      </c>
      <c r="G555" t="n">
        <v>2</v>
      </c>
      <c r="H555" t="n">
        <v>0</v>
      </c>
      <c r="I555" t="n">
        <v>0</v>
      </c>
      <c r="J555" t="n">
        <v>0</v>
      </c>
      <c r="K555" t="n">
        <v>0</v>
      </c>
      <c r="L555" t="n">
        <v>0</v>
      </c>
      <c r="M555" t="n">
        <v>0</v>
      </c>
      <c r="N555" t="n">
        <v>0</v>
      </c>
      <c r="O555" t="n">
        <v>0</v>
      </c>
      <c r="P555" t="n">
        <v>0</v>
      </c>
      <c r="Q555" t="n">
        <v>0</v>
      </c>
      <c r="R555" s="2" t="inlineStr"/>
    </row>
    <row r="556" ht="15" customHeight="1">
      <c r="A556" t="inlineStr">
        <is>
          <t>A 44649-2021</t>
        </is>
      </c>
      <c r="B556" s="1" t="n">
        <v>44437</v>
      </c>
      <c r="C556" s="1" t="n">
        <v>46019</v>
      </c>
      <c r="D556" t="inlineStr">
        <is>
          <t>GOTLANDS LÄN</t>
        </is>
      </c>
      <c r="E556" t="inlineStr">
        <is>
          <t>GOTLAND</t>
        </is>
      </c>
      <c r="G556" t="n">
        <v>8.1</v>
      </c>
      <c r="H556" t="n">
        <v>0</v>
      </c>
      <c r="I556" t="n">
        <v>0</v>
      </c>
      <c r="J556" t="n">
        <v>0</v>
      </c>
      <c r="K556" t="n">
        <v>0</v>
      </c>
      <c r="L556" t="n">
        <v>0</v>
      </c>
      <c r="M556" t="n">
        <v>0</v>
      </c>
      <c r="N556" t="n">
        <v>0</v>
      </c>
      <c r="O556" t="n">
        <v>0</v>
      </c>
      <c r="P556" t="n">
        <v>0</v>
      </c>
      <c r="Q556" t="n">
        <v>0</v>
      </c>
      <c r="R556" s="2" t="inlineStr"/>
    </row>
    <row r="557" ht="15" customHeight="1">
      <c r="A557" t="inlineStr">
        <is>
          <t>A 8484-2025</t>
        </is>
      </c>
      <c r="B557" s="1" t="n">
        <v>45709</v>
      </c>
      <c r="C557" s="1" t="n">
        <v>46019</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49962-2023</t>
        </is>
      </c>
      <c r="B558" s="1" t="n">
        <v>45215.38775462963</v>
      </c>
      <c r="C558" s="1" t="n">
        <v>46019</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50744-2024</t>
        </is>
      </c>
      <c r="B559" s="1" t="n">
        <v>45602.4187037037</v>
      </c>
      <c r="C559" s="1" t="n">
        <v>46019</v>
      </c>
      <c r="D559" t="inlineStr">
        <is>
          <t>GOTLANDS LÄN</t>
        </is>
      </c>
      <c r="E559" t="inlineStr">
        <is>
          <t>GOTLAND</t>
        </is>
      </c>
      <c r="G559" t="n">
        <v>3.2</v>
      </c>
      <c r="H559" t="n">
        <v>0</v>
      </c>
      <c r="I559" t="n">
        <v>0</v>
      </c>
      <c r="J559" t="n">
        <v>0</v>
      </c>
      <c r="K559" t="n">
        <v>0</v>
      </c>
      <c r="L559" t="n">
        <v>0</v>
      </c>
      <c r="M559" t="n">
        <v>0</v>
      </c>
      <c r="N559" t="n">
        <v>0</v>
      </c>
      <c r="O559" t="n">
        <v>0</v>
      </c>
      <c r="P559" t="n">
        <v>0</v>
      </c>
      <c r="Q559" t="n">
        <v>0</v>
      </c>
      <c r="R559" s="2" t="inlineStr"/>
    </row>
    <row r="560" ht="15" customHeight="1">
      <c r="A560" t="inlineStr">
        <is>
          <t>A 45244-2024</t>
        </is>
      </c>
      <c r="B560" s="1" t="n">
        <v>45576</v>
      </c>
      <c r="C560" s="1" t="n">
        <v>46019</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38787-2023</t>
        </is>
      </c>
      <c r="B561" s="1" t="n">
        <v>45163</v>
      </c>
      <c r="C561" s="1" t="n">
        <v>46019</v>
      </c>
      <c r="D561" t="inlineStr">
        <is>
          <t>GOTLANDS LÄN</t>
        </is>
      </c>
      <c r="E561" t="inlineStr">
        <is>
          <t>GOTLAND</t>
        </is>
      </c>
      <c r="G561" t="n">
        <v>0.4</v>
      </c>
      <c r="H561" t="n">
        <v>0</v>
      </c>
      <c r="I561" t="n">
        <v>0</v>
      </c>
      <c r="J561" t="n">
        <v>0</v>
      </c>
      <c r="K561" t="n">
        <v>0</v>
      </c>
      <c r="L561" t="n">
        <v>0</v>
      </c>
      <c r="M561" t="n">
        <v>0</v>
      </c>
      <c r="N561" t="n">
        <v>0</v>
      </c>
      <c r="O561" t="n">
        <v>0</v>
      </c>
      <c r="P561" t="n">
        <v>0</v>
      </c>
      <c r="Q561" t="n">
        <v>0</v>
      </c>
      <c r="R561" s="2" t="inlineStr"/>
    </row>
    <row r="562" ht="15" customHeight="1">
      <c r="A562" t="inlineStr">
        <is>
          <t>A 2714-2023</t>
        </is>
      </c>
      <c r="B562" s="1" t="n">
        <v>44944.54896990741</v>
      </c>
      <c r="C562" s="1" t="n">
        <v>46019</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22897-2023</t>
        </is>
      </c>
      <c r="B563" s="1" t="n">
        <v>45072.55239583334</v>
      </c>
      <c r="C563" s="1" t="n">
        <v>46019</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4568-2025</t>
        </is>
      </c>
      <c r="B564" s="1" t="n">
        <v>45687</v>
      </c>
      <c r="C564" s="1" t="n">
        <v>46019</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1681-2023</t>
        </is>
      </c>
      <c r="B565" s="1" t="n">
        <v>44938.39715277778</v>
      </c>
      <c r="C565" s="1" t="n">
        <v>46019</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42338-2023</t>
        </is>
      </c>
      <c r="B566" s="1" t="n">
        <v>45180</v>
      </c>
      <c r="C566" s="1" t="n">
        <v>46019</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18918-2025</t>
        </is>
      </c>
      <c r="B567" s="1" t="n">
        <v>45764</v>
      </c>
      <c r="C567" s="1" t="n">
        <v>46019</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11013-2024</t>
        </is>
      </c>
      <c r="B568" s="1" t="n">
        <v>45370</v>
      </c>
      <c r="C568" s="1" t="n">
        <v>46019</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45084-2024</t>
        </is>
      </c>
      <c r="B569" s="1" t="n">
        <v>45575</v>
      </c>
      <c r="C569" s="1" t="n">
        <v>46019</v>
      </c>
      <c r="D569" t="inlineStr">
        <is>
          <t>GOTLANDS LÄN</t>
        </is>
      </c>
      <c r="E569" t="inlineStr">
        <is>
          <t>GOTLAND</t>
        </is>
      </c>
      <c r="G569" t="n">
        <v>6.8</v>
      </c>
      <c r="H569" t="n">
        <v>0</v>
      </c>
      <c r="I569" t="n">
        <v>0</v>
      </c>
      <c r="J569" t="n">
        <v>0</v>
      </c>
      <c r="K569" t="n">
        <v>0</v>
      </c>
      <c r="L569" t="n">
        <v>0</v>
      </c>
      <c r="M569" t="n">
        <v>0</v>
      </c>
      <c r="N569" t="n">
        <v>0</v>
      </c>
      <c r="O569" t="n">
        <v>0</v>
      </c>
      <c r="P569" t="n">
        <v>0</v>
      </c>
      <c r="Q569" t="n">
        <v>0</v>
      </c>
      <c r="R569" s="2" t="inlineStr"/>
    </row>
    <row r="570" ht="15" customHeight="1">
      <c r="A570" t="inlineStr">
        <is>
          <t>A 20356-2022</t>
        </is>
      </c>
      <c r="B570" s="1" t="n">
        <v>44699</v>
      </c>
      <c r="C570" s="1" t="n">
        <v>46019</v>
      </c>
      <c r="D570" t="inlineStr">
        <is>
          <t>GOTLANDS LÄN</t>
        </is>
      </c>
      <c r="E570" t="inlineStr">
        <is>
          <t>GOTLAND</t>
        </is>
      </c>
      <c r="F570" t="inlineStr">
        <is>
          <t>Övriga Aktiebolag</t>
        </is>
      </c>
      <c r="G570" t="n">
        <v>4.4</v>
      </c>
      <c r="H570" t="n">
        <v>0</v>
      </c>
      <c r="I570" t="n">
        <v>0</v>
      </c>
      <c r="J570" t="n">
        <v>0</v>
      </c>
      <c r="K570" t="n">
        <v>0</v>
      </c>
      <c r="L570" t="n">
        <v>0</v>
      </c>
      <c r="M570" t="n">
        <v>0</v>
      </c>
      <c r="N570" t="n">
        <v>0</v>
      </c>
      <c r="O570" t="n">
        <v>0</v>
      </c>
      <c r="P570" t="n">
        <v>0</v>
      </c>
      <c r="Q570" t="n">
        <v>0</v>
      </c>
      <c r="R570" s="2" t="inlineStr"/>
    </row>
    <row r="571" ht="15" customHeight="1">
      <c r="A571" t="inlineStr">
        <is>
          <t>A 4868-2024</t>
        </is>
      </c>
      <c r="B571" s="1" t="n">
        <v>45329</v>
      </c>
      <c r="C571" s="1" t="n">
        <v>46019</v>
      </c>
      <c r="D571" t="inlineStr">
        <is>
          <t>GOTLANDS LÄN</t>
        </is>
      </c>
      <c r="E571" t="inlineStr">
        <is>
          <t>GOTLAND</t>
        </is>
      </c>
      <c r="G571" t="n">
        <v>7.1</v>
      </c>
      <c r="H571" t="n">
        <v>0</v>
      </c>
      <c r="I571" t="n">
        <v>0</v>
      </c>
      <c r="J571" t="n">
        <v>0</v>
      </c>
      <c r="K571" t="n">
        <v>0</v>
      </c>
      <c r="L571" t="n">
        <v>0</v>
      </c>
      <c r="M571" t="n">
        <v>0</v>
      </c>
      <c r="N571" t="n">
        <v>0</v>
      </c>
      <c r="O571" t="n">
        <v>0</v>
      </c>
      <c r="P571" t="n">
        <v>0</v>
      </c>
      <c r="Q571" t="n">
        <v>0</v>
      </c>
      <c r="R571" s="2" t="inlineStr"/>
    </row>
    <row r="572" ht="15" customHeight="1">
      <c r="A572" t="inlineStr">
        <is>
          <t>A 9613-2025</t>
        </is>
      </c>
      <c r="B572" s="1" t="n">
        <v>45715</v>
      </c>
      <c r="C572" s="1" t="n">
        <v>46019</v>
      </c>
      <c r="D572" t="inlineStr">
        <is>
          <t>GOTLANDS LÄN</t>
        </is>
      </c>
      <c r="E572" t="inlineStr">
        <is>
          <t>GOTLAND</t>
        </is>
      </c>
      <c r="G572" t="n">
        <v>3.5</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46019</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58211-2024</t>
        </is>
      </c>
      <c r="B574" s="1" t="n">
        <v>45632.49292824074</v>
      </c>
      <c r="C574" s="1" t="n">
        <v>46019</v>
      </c>
      <c r="D574" t="inlineStr">
        <is>
          <t>GOTLANDS LÄN</t>
        </is>
      </c>
      <c r="E574" t="inlineStr">
        <is>
          <t>GOTLAND</t>
        </is>
      </c>
      <c r="G574" t="n">
        <v>5.4</v>
      </c>
      <c r="H574" t="n">
        <v>0</v>
      </c>
      <c r="I574" t="n">
        <v>0</v>
      </c>
      <c r="J574" t="n">
        <v>0</v>
      </c>
      <c r="K574" t="n">
        <v>0</v>
      </c>
      <c r="L574" t="n">
        <v>0</v>
      </c>
      <c r="M574" t="n">
        <v>0</v>
      </c>
      <c r="N574" t="n">
        <v>0</v>
      </c>
      <c r="O574" t="n">
        <v>0</v>
      </c>
      <c r="P574" t="n">
        <v>0</v>
      </c>
      <c r="Q574" t="n">
        <v>0</v>
      </c>
      <c r="R574" s="2" t="inlineStr"/>
    </row>
    <row r="575" ht="15" customHeight="1">
      <c r="A575" t="inlineStr">
        <is>
          <t>A 11634-2024</t>
        </is>
      </c>
      <c r="B575" s="1" t="n">
        <v>45373</v>
      </c>
      <c r="C575" s="1" t="n">
        <v>46019</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5884-2025</t>
        </is>
      </c>
      <c r="B576" s="1" t="n">
        <v>45695.37482638889</v>
      </c>
      <c r="C576" s="1" t="n">
        <v>46019</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5897-2025</t>
        </is>
      </c>
      <c r="B577" s="1" t="n">
        <v>45695.39273148148</v>
      </c>
      <c r="C577" s="1" t="n">
        <v>46019</v>
      </c>
      <c r="D577" t="inlineStr">
        <is>
          <t>GOTLANDS LÄN</t>
        </is>
      </c>
      <c r="E577" t="inlineStr">
        <is>
          <t>GOTLAND</t>
        </is>
      </c>
      <c r="G577" t="n">
        <v>3.7</v>
      </c>
      <c r="H577" t="n">
        <v>0</v>
      </c>
      <c r="I577" t="n">
        <v>0</v>
      </c>
      <c r="J577" t="n">
        <v>0</v>
      </c>
      <c r="K577" t="n">
        <v>0</v>
      </c>
      <c r="L577" t="n">
        <v>0</v>
      </c>
      <c r="M577" t="n">
        <v>0</v>
      </c>
      <c r="N577" t="n">
        <v>0</v>
      </c>
      <c r="O577" t="n">
        <v>0</v>
      </c>
      <c r="P577" t="n">
        <v>0</v>
      </c>
      <c r="Q577" t="n">
        <v>0</v>
      </c>
      <c r="R577" s="2" t="inlineStr"/>
    </row>
    <row r="578" ht="15" customHeight="1">
      <c r="A578" t="inlineStr">
        <is>
          <t>A 5909-2025</t>
        </is>
      </c>
      <c r="B578" s="1" t="n">
        <v>45695.40634259259</v>
      </c>
      <c r="C578" s="1" t="n">
        <v>46019</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60086-2022</t>
        </is>
      </c>
      <c r="B579" s="1" t="n">
        <v>44909</v>
      </c>
      <c r="C579" s="1" t="n">
        <v>46019</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22704-2023</t>
        </is>
      </c>
      <c r="B580" s="1" t="n">
        <v>45071</v>
      </c>
      <c r="C580" s="1" t="n">
        <v>46019</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25866-2022</t>
        </is>
      </c>
      <c r="B581" s="1" t="n">
        <v>44733</v>
      </c>
      <c r="C581" s="1" t="n">
        <v>46019</v>
      </c>
      <c r="D581" t="inlineStr">
        <is>
          <t>GOTLANDS LÄN</t>
        </is>
      </c>
      <c r="E581" t="inlineStr">
        <is>
          <t>GOTLAND</t>
        </is>
      </c>
      <c r="G581" t="n">
        <v>2.9</v>
      </c>
      <c r="H581" t="n">
        <v>0</v>
      </c>
      <c r="I581" t="n">
        <v>0</v>
      </c>
      <c r="J581" t="n">
        <v>0</v>
      </c>
      <c r="K581" t="n">
        <v>0</v>
      </c>
      <c r="L581" t="n">
        <v>0</v>
      </c>
      <c r="M581" t="n">
        <v>0</v>
      </c>
      <c r="N581" t="n">
        <v>0</v>
      </c>
      <c r="O581" t="n">
        <v>0</v>
      </c>
      <c r="P581" t="n">
        <v>0</v>
      </c>
      <c r="Q581" t="n">
        <v>0</v>
      </c>
      <c r="R581" s="2" t="inlineStr"/>
    </row>
    <row r="582" ht="15" customHeight="1">
      <c r="A582" t="inlineStr">
        <is>
          <t>A 9887-2025</t>
        </is>
      </c>
      <c r="B582" s="1" t="n">
        <v>45716</v>
      </c>
      <c r="C582" s="1" t="n">
        <v>46019</v>
      </c>
      <c r="D582" t="inlineStr">
        <is>
          <t>GOTLANDS LÄN</t>
        </is>
      </c>
      <c r="E582" t="inlineStr">
        <is>
          <t>GOTLAND</t>
        </is>
      </c>
      <c r="G582" t="n">
        <v>7.5</v>
      </c>
      <c r="H582" t="n">
        <v>0</v>
      </c>
      <c r="I582" t="n">
        <v>0</v>
      </c>
      <c r="J582" t="n">
        <v>0</v>
      </c>
      <c r="K582" t="n">
        <v>0</v>
      </c>
      <c r="L582" t="n">
        <v>0</v>
      </c>
      <c r="M582" t="n">
        <v>0</v>
      </c>
      <c r="N582" t="n">
        <v>0</v>
      </c>
      <c r="O582" t="n">
        <v>0</v>
      </c>
      <c r="P582" t="n">
        <v>0</v>
      </c>
      <c r="Q582" t="n">
        <v>0</v>
      </c>
      <c r="R582" s="2" t="inlineStr"/>
    </row>
    <row r="583" ht="15" customHeight="1">
      <c r="A583" t="inlineStr">
        <is>
          <t>A 12209-2024</t>
        </is>
      </c>
      <c r="B583" s="1" t="n">
        <v>45378</v>
      </c>
      <c r="C583" s="1" t="n">
        <v>46019</v>
      </c>
      <c r="D583" t="inlineStr">
        <is>
          <t>GOTLANDS LÄN</t>
        </is>
      </c>
      <c r="E583" t="inlineStr">
        <is>
          <t>GOTLAND</t>
        </is>
      </c>
      <c r="G583" t="n">
        <v>5.3</v>
      </c>
      <c r="H583" t="n">
        <v>0</v>
      </c>
      <c r="I583" t="n">
        <v>0</v>
      </c>
      <c r="J583" t="n">
        <v>0</v>
      </c>
      <c r="K583" t="n">
        <v>0</v>
      </c>
      <c r="L583" t="n">
        <v>0</v>
      </c>
      <c r="M583" t="n">
        <v>0</v>
      </c>
      <c r="N583" t="n">
        <v>0</v>
      </c>
      <c r="O583" t="n">
        <v>0</v>
      </c>
      <c r="P583" t="n">
        <v>0</v>
      </c>
      <c r="Q583" t="n">
        <v>0</v>
      </c>
      <c r="R583" s="2" t="inlineStr"/>
    </row>
    <row r="584" ht="15" customHeight="1">
      <c r="A584" t="inlineStr">
        <is>
          <t>A 12210-2024</t>
        </is>
      </c>
      <c r="B584" s="1" t="n">
        <v>45378</v>
      </c>
      <c r="C584" s="1" t="n">
        <v>46019</v>
      </c>
      <c r="D584" t="inlineStr">
        <is>
          <t>GOTLANDS LÄN</t>
        </is>
      </c>
      <c r="E584" t="inlineStr">
        <is>
          <t>GOTLAND</t>
        </is>
      </c>
      <c r="G584" t="n">
        <v>4.1</v>
      </c>
      <c r="H584" t="n">
        <v>0</v>
      </c>
      <c r="I584" t="n">
        <v>0</v>
      </c>
      <c r="J584" t="n">
        <v>0</v>
      </c>
      <c r="K584" t="n">
        <v>0</v>
      </c>
      <c r="L584" t="n">
        <v>0</v>
      </c>
      <c r="M584" t="n">
        <v>0</v>
      </c>
      <c r="N584" t="n">
        <v>0</v>
      </c>
      <c r="O584" t="n">
        <v>0</v>
      </c>
      <c r="P584" t="n">
        <v>0</v>
      </c>
      <c r="Q584" t="n">
        <v>0</v>
      </c>
      <c r="R584" s="2" t="inlineStr"/>
    </row>
    <row r="585" ht="15" customHeight="1">
      <c r="A585" t="inlineStr">
        <is>
          <t>A 59986-2022</t>
        </is>
      </c>
      <c r="B585" s="1" t="n">
        <v>44909</v>
      </c>
      <c r="C585" s="1" t="n">
        <v>46019</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31802-2024</t>
        </is>
      </c>
      <c r="B586" s="1" t="n">
        <v>45509</v>
      </c>
      <c r="C586" s="1" t="n">
        <v>46019</v>
      </c>
      <c r="D586" t="inlineStr">
        <is>
          <t>GOTLANDS LÄN</t>
        </is>
      </c>
      <c r="E586" t="inlineStr">
        <is>
          <t>GOTLAND</t>
        </is>
      </c>
      <c r="G586" t="n">
        <v>2.8</v>
      </c>
      <c r="H586" t="n">
        <v>0</v>
      </c>
      <c r="I586" t="n">
        <v>0</v>
      </c>
      <c r="J586" t="n">
        <v>0</v>
      </c>
      <c r="K586" t="n">
        <v>0</v>
      </c>
      <c r="L586" t="n">
        <v>0</v>
      </c>
      <c r="M586" t="n">
        <v>0</v>
      </c>
      <c r="N586" t="n">
        <v>0</v>
      </c>
      <c r="O586" t="n">
        <v>0</v>
      </c>
      <c r="P586" t="n">
        <v>0</v>
      </c>
      <c r="Q586" t="n">
        <v>0</v>
      </c>
      <c r="R586" s="2" t="inlineStr"/>
    </row>
    <row r="587" ht="15" customHeight="1">
      <c r="A587" t="inlineStr">
        <is>
          <t>A 20993-2023</t>
        </is>
      </c>
      <c r="B587" s="1" t="n">
        <v>45056</v>
      </c>
      <c r="C587" s="1" t="n">
        <v>46019</v>
      </c>
      <c r="D587" t="inlineStr">
        <is>
          <t>GOTLANDS LÄN</t>
        </is>
      </c>
      <c r="E587" t="inlineStr">
        <is>
          <t>GOTLAND</t>
        </is>
      </c>
      <c r="G587" t="n">
        <v>7.1</v>
      </c>
      <c r="H587" t="n">
        <v>0</v>
      </c>
      <c r="I587" t="n">
        <v>0</v>
      </c>
      <c r="J587" t="n">
        <v>0</v>
      </c>
      <c r="K587" t="n">
        <v>0</v>
      </c>
      <c r="L587" t="n">
        <v>0</v>
      </c>
      <c r="M587" t="n">
        <v>0</v>
      </c>
      <c r="N587" t="n">
        <v>0</v>
      </c>
      <c r="O587" t="n">
        <v>0</v>
      </c>
      <c r="P587" t="n">
        <v>0</v>
      </c>
      <c r="Q587" t="n">
        <v>0</v>
      </c>
      <c r="R587" s="2" t="inlineStr"/>
    </row>
    <row r="588" ht="15" customHeight="1">
      <c r="A588" t="inlineStr">
        <is>
          <t>A 15042-2025</t>
        </is>
      </c>
      <c r="B588" s="1" t="n">
        <v>45743</v>
      </c>
      <c r="C588" s="1" t="n">
        <v>46019</v>
      </c>
      <c r="D588" t="inlineStr">
        <is>
          <t>GOTLANDS LÄN</t>
        </is>
      </c>
      <c r="E588" t="inlineStr">
        <is>
          <t>GOTLAND</t>
        </is>
      </c>
      <c r="G588" t="n">
        <v>8.5</v>
      </c>
      <c r="H588" t="n">
        <v>0</v>
      </c>
      <c r="I588" t="n">
        <v>0</v>
      </c>
      <c r="J588" t="n">
        <v>0</v>
      </c>
      <c r="K588" t="n">
        <v>0</v>
      </c>
      <c r="L588" t="n">
        <v>0</v>
      </c>
      <c r="M588" t="n">
        <v>0</v>
      </c>
      <c r="N588" t="n">
        <v>0</v>
      </c>
      <c r="O588" t="n">
        <v>0</v>
      </c>
      <c r="P588" t="n">
        <v>0</v>
      </c>
      <c r="Q588" t="n">
        <v>0</v>
      </c>
      <c r="R588" s="2" t="inlineStr"/>
    </row>
    <row r="589" ht="15" customHeight="1">
      <c r="A589" t="inlineStr">
        <is>
          <t>A 12327-2025</t>
        </is>
      </c>
      <c r="B589" s="1" t="n">
        <v>45730</v>
      </c>
      <c r="C589" s="1" t="n">
        <v>46019</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4420-2025</t>
        </is>
      </c>
      <c r="B590" s="1" t="n">
        <v>45686.47157407407</v>
      </c>
      <c r="C590" s="1" t="n">
        <v>46019</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14427-2024</t>
        </is>
      </c>
      <c r="B591" s="1" t="n">
        <v>45394</v>
      </c>
      <c r="C591" s="1" t="n">
        <v>46019</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49257-2024</t>
        </is>
      </c>
      <c r="B592" s="1" t="n">
        <v>45595.47627314815</v>
      </c>
      <c r="C592" s="1" t="n">
        <v>46019</v>
      </c>
      <c r="D592" t="inlineStr">
        <is>
          <t>GOTLANDS LÄN</t>
        </is>
      </c>
      <c r="E592" t="inlineStr">
        <is>
          <t>GOTLAND</t>
        </is>
      </c>
      <c r="G592" t="n">
        <v>6.3</v>
      </c>
      <c r="H592" t="n">
        <v>0</v>
      </c>
      <c r="I592" t="n">
        <v>0</v>
      </c>
      <c r="J592" t="n">
        <v>0</v>
      </c>
      <c r="K592" t="n">
        <v>0</v>
      </c>
      <c r="L592" t="n">
        <v>0</v>
      </c>
      <c r="M592" t="n">
        <v>0</v>
      </c>
      <c r="N592" t="n">
        <v>0</v>
      </c>
      <c r="O592" t="n">
        <v>0</v>
      </c>
      <c r="P592" t="n">
        <v>0</v>
      </c>
      <c r="Q592" t="n">
        <v>0</v>
      </c>
      <c r="R592" s="2" t="inlineStr"/>
    </row>
    <row r="593" ht="15" customHeight="1">
      <c r="A593" t="inlineStr">
        <is>
          <t>A 49315-2024</t>
        </is>
      </c>
      <c r="B593" s="1" t="n">
        <v>45595</v>
      </c>
      <c r="C593" s="1" t="n">
        <v>46019</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27596-2023</t>
        </is>
      </c>
      <c r="B594" s="1" t="n">
        <v>45097</v>
      </c>
      <c r="C594" s="1" t="n">
        <v>46019</v>
      </c>
      <c r="D594" t="inlineStr">
        <is>
          <t>GOTLANDS LÄN</t>
        </is>
      </c>
      <c r="E594" t="inlineStr">
        <is>
          <t>GOTLAND</t>
        </is>
      </c>
      <c r="G594" t="n">
        <v>3.6</v>
      </c>
      <c r="H594" t="n">
        <v>0</v>
      </c>
      <c r="I594" t="n">
        <v>0</v>
      </c>
      <c r="J594" t="n">
        <v>0</v>
      </c>
      <c r="K594" t="n">
        <v>0</v>
      </c>
      <c r="L594" t="n">
        <v>0</v>
      </c>
      <c r="M594" t="n">
        <v>0</v>
      </c>
      <c r="N594" t="n">
        <v>0</v>
      </c>
      <c r="O594" t="n">
        <v>0</v>
      </c>
      <c r="P594" t="n">
        <v>0</v>
      </c>
      <c r="Q594" t="n">
        <v>0</v>
      </c>
      <c r="R594" s="2" t="inlineStr"/>
    </row>
    <row r="595" ht="15" customHeight="1">
      <c r="A595" t="inlineStr">
        <is>
          <t>A 56115-2023</t>
        </is>
      </c>
      <c r="B595" s="1" t="n">
        <v>45236</v>
      </c>
      <c r="C595" s="1" t="n">
        <v>46019</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64969-2023</t>
        </is>
      </c>
      <c r="B596" s="1" t="n">
        <v>45284.54009259259</v>
      </c>
      <c r="C596" s="1" t="n">
        <v>46019</v>
      </c>
      <c r="D596" t="inlineStr">
        <is>
          <t>GOTLANDS LÄN</t>
        </is>
      </c>
      <c r="E596" t="inlineStr">
        <is>
          <t>GOTLAND</t>
        </is>
      </c>
      <c r="G596" t="n">
        <v>1.2</v>
      </c>
      <c r="H596" t="n">
        <v>0</v>
      </c>
      <c r="I596" t="n">
        <v>0</v>
      </c>
      <c r="J596" t="n">
        <v>0</v>
      </c>
      <c r="K596" t="n">
        <v>0</v>
      </c>
      <c r="L596" t="n">
        <v>0</v>
      </c>
      <c r="M596" t="n">
        <v>0</v>
      </c>
      <c r="N596" t="n">
        <v>0</v>
      </c>
      <c r="O596" t="n">
        <v>0</v>
      </c>
      <c r="P596" t="n">
        <v>0</v>
      </c>
      <c r="Q596" t="n">
        <v>0</v>
      </c>
      <c r="R596" s="2" t="inlineStr"/>
    </row>
    <row r="597" ht="15" customHeight="1">
      <c r="A597" t="inlineStr">
        <is>
          <t>A 33853-2024</t>
        </is>
      </c>
      <c r="B597" s="1" t="n">
        <v>45520.64298611111</v>
      </c>
      <c r="C597" s="1" t="n">
        <v>46019</v>
      </c>
      <c r="D597" t="inlineStr">
        <is>
          <t>GOTLANDS LÄN</t>
        </is>
      </c>
      <c r="E597" t="inlineStr">
        <is>
          <t>GOTLAND</t>
        </is>
      </c>
      <c r="G597" t="n">
        <v>3.9</v>
      </c>
      <c r="H597" t="n">
        <v>0</v>
      </c>
      <c r="I597" t="n">
        <v>0</v>
      </c>
      <c r="J597" t="n">
        <v>0</v>
      </c>
      <c r="K597" t="n">
        <v>0</v>
      </c>
      <c r="L597" t="n">
        <v>0</v>
      </c>
      <c r="M597" t="n">
        <v>0</v>
      </c>
      <c r="N597" t="n">
        <v>0</v>
      </c>
      <c r="O597" t="n">
        <v>0</v>
      </c>
      <c r="P597" t="n">
        <v>0</v>
      </c>
      <c r="Q597" t="n">
        <v>0</v>
      </c>
      <c r="R597" s="2" t="inlineStr"/>
    </row>
    <row r="598" ht="15" customHeight="1">
      <c r="A598" t="inlineStr">
        <is>
          <t>A 18223-2025</t>
        </is>
      </c>
      <c r="B598" s="1" t="n">
        <v>45761</v>
      </c>
      <c r="C598" s="1" t="n">
        <v>46019</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46949-2024</t>
        </is>
      </c>
      <c r="B599" s="1" t="n">
        <v>45585</v>
      </c>
      <c r="C599" s="1" t="n">
        <v>46019</v>
      </c>
      <c r="D599" t="inlineStr">
        <is>
          <t>GOTLANDS LÄN</t>
        </is>
      </c>
      <c r="E599" t="inlineStr">
        <is>
          <t>GOTLAND</t>
        </is>
      </c>
      <c r="G599" t="n">
        <v>0.6</v>
      </c>
      <c r="H599" t="n">
        <v>0</v>
      </c>
      <c r="I599" t="n">
        <v>0</v>
      </c>
      <c r="J599" t="n">
        <v>0</v>
      </c>
      <c r="K599" t="n">
        <v>0</v>
      </c>
      <c r="L599" t="n">
        <v>0</v>
      </c>
      <c r="M599" t="n">
        <v>0</v>
      </c>
      <c r="N599" t="n">
        <v>0</v>
      </c>
      <c r="O599" t="n">
        <v>0</v>
      </c>
      <c r="P599" t="n">
        <v>0</v>
      </c>
      <c r="Q599" t="n">
        <v>0</v>
      </c>
      <c r="R599" s="2" t="inlineStr"/>
    </row>
    <row r="600" ht="15" customHeight="1">
      <c r="A600" t="inlineStr">
        <is>
          <t>A 24001-2021</t>
        </is>
      </c>
      <c r="B600" s="1" t="n">
        <v>44335</v>
      </c>
      <c r="C600" s="1" t="n">
        <v>46019</v>
      </c>
      <c r="D600" t="inlineStr">
        <is>
          <t>GOTLANDS LÄN</t>
        </is>
      </c>
      <c r="E600" t="inlineStr">
        <is>
          <t>GOTLAND</t>
        </is>
      </c>
      <c r="G600" t="n">
        <v>3.4</v>
      </c>
      <c r="H600" t="n">
        <v>0</v>
      </c>
      <c r="I600" t="n">
        <v>0</v>
      </c>
      <c r="J600" t="n">
        <v>0</v>
      </c>
      <c r="K600" t="n">
        <v>0</v>
      </c>
      <c r="L600" t="n">
        <v>0</v>
      </c>
      <c r="M600" t="n">
        <v>0</v>
      </c>
      <c r="N600" t="n">
        <v>0</v>
      </c>
      <c r="O600" t="n">
        <v>0</v>
      </c>
      <c r="P600" t="n">
        <v>0</v>
      </c>
      <c r="Q600" t="n">
        <v>0</v>
      </c>
      <c r="R600" s="2" t="inlineStr"/>
    </row>
    <row r="601" ht="15" customHeight="1">
      <c r="A601" t="inlineStr">
        <is>
          <t>A 39479-2022</t>
        </is>
      </c>
      <c r="B601" s="1" t="n">
        <v>44818</v>
      </c>
      <c r="C601" s="1" t="n">
        <v>46019</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39496-2022</t>
        </is>
      </c>
      <c r="B602" s="1" t="n">
        <v>44818</v>
      </c>
      <c r="C602" s="1" t="n">
        <v>46019</v>
      </c>
      <c r="D602" t="inlineStr">
        <is>
          <t>GOTLANDS LÄN</t>
        </is>
      </c>
      <c r="E602" t="inlineStr">
        <is>
          <t>GOTLAND</t>
        </is>
      </c>
      <c r="G602" t="n">
        <v>2.4</v>
      </c>
      <c r="H602" t="n">
        <v>0</v>
      </c>
      <c r="I602" t="n">
        <v>0</v>
      </c>
      <c r="J602" t="n">
        <v>0</v>
      </c>
      <c r="K602" t="n">
        <v>0</v>
      </c>
      <c r="L602" t="n">
        <v>0</v>
      </c>
      <c r="M602" t="n">
        <v>0</v>
      </c>
      <c r="N602" t="n">
        <v>0</v>
      </c>
      <c r="O602" t="n">
        <v>0</v>
      </c>
      <c r="P602" t="n">
        <v>0</v>
      </c>
      <c r="Q602" t="n">
        <v>0</v>
      </c>
      <c r="R602" s="2" t="inlineStr"/>
    </row>
    <row r="603" ht="15" customHeight="1">
      <c r="A603" t="inlineStr">
        <is>
          <t>A 46389-2021</t>
        </is>
      </c>
      <c r="B603" s="1" t="n">
        <v>44443</v>
      </c>
      <c r="C603" s="1" t="n">
        <v>46019</v>
      </c>
      <c r="D603" t="inlineStr">
        <is>
          <t>GOTLANDS LÄN</t>
        </is>
      </c>
      <c r="E603" t="inlineStr">
        <is>
          <t>GOTLAND</t>
        </is>
      </c>
      <c r="F603" t="inlineStr">
        <is>
          <t>Kyrkan</t>
        </is>
      </c>
      <c r="G603" t="n">
        <v>2.1</v>
      </c>
      <c r="H603" t="n">
        <v>0</v>
      </c>
      <c r="I603" t="n">
        <v>0</v>
      </c>
      <c r="J603" t="n">
        <v>0</v>
      </c>
      <c r="K603" t="n">
        <v>0</v>
      </c>
      <c r="L603" t="n">
        <v>0</v>
      </c>
      <c r="M603" t="n">
        <v>0</v>
      </c>
      <c r="N603" t="n">
        <v>0</v>
      </c>
      <c r="O603" t="n">
        <v>0</v>
      </c>
      <c r="P603" t="n">
        <v>0</v>
      </c>
      <c r="Q603" t="n">
        <v>0</v>
      </c>
      <c r="R603" s="2" t="inlineStr"/>
    </row>
    <row r="604" ht="15" customHeight="1">
      <c r="A604" t="inlineStr">
        <is>
          <t>A 44949-2023</t>
        </is>
      </c>
      <c r="B604" s="1" t="n">
        <v>45190.69520833333</v>
      </c>
      <c r="C604" s="1" t="n">
        <v>46019</v>
      </c>
      <c r="D604" t="inlineStr">
        <is>
          <t>GOTLANDS LÄN</t>
        </is>
      </c>
      <c r="E604" t="inlineStr">
        <is>
          <t>GOTLAND</t>
        </is>
      </c>
      <c r="G604" t="n">
        <v>1.4</v>
      </c>
      <c r="H604" t="n">
        <v>0</v>
      </c>
      <c r="I604" t="n">
        <v>0</v>
      </c>
      <c r="J604" t="n">
        <v>0</v>
      </c>
      <c r="K604" t="n">
        <v>0</v>
      </c>
      <c r="L604" t="n">
        <v>0</v>
      </c>
      <c r="M604" t="n">
        <v>0</v>
      </c>
      <c r="N604" t="n">
        <v>0</v>
      </c>
      <c r="O604" t="n">
        <v>0</v>
      </c>
      <c r="P604" t="n">
        <v>0</v>
      </c>
      <c r="Q604" t="n">
        <v>0</v>
      </c>
      <c r="R604" s="2" t="inlineStr"/>
    </row>
    <row r="605" ht="15" customHeight="1">
      <c r="A605" t="inlineStr">
        <is>
          <t>A 17682-2024</t>
        </is>
      </c>
      <c r="B605" s="1" t="n">
        <v>45418.42966435185</v>
      </c>
      <c r="C605" s="1" t="n">
        <v>46019</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61897-2024</t>
        </is>
      </c>
      <c r="B606" s="1" t="n">
        <v>45652.75685185185</v>
      </c>
      <c r="C606" s="1" t="n">
        <v>46019</v>
      </c>
      <c r="D606" t="inlineStr">
        <is>
          <t>GOTLANDS LÄN</t>
        </is>
      </c>
      <c r="E606" t="inlineStr">
        <is>
          <t>GOTLAND</t>
        </is>
      </c>
      <c r="G606" t="n">
        <v>6.4</v>
      </c>
      <c r="H606" t="n">
        <v>0</v>
      </c>
      <c r="I606" t="n">
        <v>0</v>
      </c>
      <c r="J606" t="n">
        <v>0</v>
      </c>
      <c r="K606" t="n">
        <v>0</v>
      </c>
      <c r="L606" t="n">
        <v>0</v>
      </c>
      <c r="M606" t="n">
        <v>0</v>
      </c>
      <c r="N606" t="n">
        <v>0</v>
      </c>
      <c r="O606" t="n">
        <v>0</v>
      </c>
      <c r="P606" t="n">
        <v>0</v>
      </c>
      <c r="Q606" t="n">
        <v>0</v>
      </c>
      <c r="R606" s="2" t="inlineStr"/>
    </row>
    <row r="607" ht="15" customHeight="1">
      <c r="A607" t="inlineStr">
        <is>
          <t>A 12032-2025</t>
        </is>
      </c>
      <c r="B607" s="1" t="n">
        <v>45728.64472222222</v>
      </c>
      <c r="C607" s="1" t="n">
        <v>46019</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15595-2024</t>
        </is>
      </c>
      <c r="B608" s="1" t="n">
        <v>45401.81480324074</v>
      </c>
      <c r="C608" s="1" t="n">
        <v>46019</v>
      </c>
      <c r="D608" t="inlineStr">
        <is>
          <t>GOTLANDS LÄN</t>
        </is>
      </c>
      <c r="E608" t="inlineStr">
        <is>
          <t>GOTLAND</t>
        </is>
      </c>
      <c r="G608" t="n">
        <v>6.4</v>
      </c>
      <c r="H608" t="n">
        <v>0</v>
      </c>
      <c r="I608" t="n">
        <v>0</v>
      </c>
      <c r="J608" t="n">
        <v>0</v>
      </c>
      <c r="K608" t="n">
        <v>0</v>
      </c>
      <c r="L608" t="n">
        <v>0</v>
      </c>
      <c r="M608" t="n">
        <v>0</v>
      </c>
      <c r="N608" t="n">
        <v>0</v>
      </c>
      <c r="O608" t="n">
        <v>0</v>
      </c>
      <c r="P608" t="n">
        <v>0</v>
      </c>
      <c r="Q608" t="n">
        <v>0</v>
      </c>
      <c r="R608" s="2" t="inlineStr"/>
    </row>
    <row r="609" ht="15" customHeight="1">
      <c r="A609" t="inlineStr">
        <is>
          <t>A 21164-2024</t>
        </is>
      </c>
      <c r="B609" s="1" t="n">
        <v>45440</v>
      </c>
      <c r="C609" s="1" t="n">
        <v>46019</v>
      </c>
      <c r="D609" t="inlineStr">
        <is>
          <t>GOTLANDS LÄN</t>
        </is>
      </c>
      <c r="E609" t="inlineStr">
        <is>
          <t>GOTLAND</t>
        </is>
      </c>
      <c r="G609" t="n">
        <v>6.3</v>
      </c>
      <c r="H609" t="n">
        <v>0</v>
      </c>
      <c r="I609" t="n">
        <v>0</v>
      </c>
      <c r="J609" t="n">
        <v>0</v>
      </c>
      <c r="K609" t="n">
        <v>0</v>
      </c>
      <c r="L609" t="n">
        <v>0</v>
      </c>
      <c r="M609" t="n">
        <v>0</v>
      </c>
      <c r="N609" t="n">
        <v>0</v>
      </c>
      <c r="O609" t="n">
        <v>0</v>
      </c>
      <c r="P609" t="n">
        <v>0</v>
      </c>
      <c r="Q609" t="n">
        <v>0</v>
      </c>
      <c r="R609" s="2" t="inlineStr"/>
    </row>
    <row r="610" ht="15" customHeight="1">
      <c r="A610" t="inlineStr">
        <is>
          <t>A 17541-2024</t>
        </is>
      </c>
      <c r="B610" s="1" t="n">
        <v>45415</v>
      </c>
      <c r="C610" s="1" t="n">
        <v>46019</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883-2025</t>
        </is>
      </c>
      <c r="B611" s="1" t="n">
        <v>45665</v>
      </c>
      <c r="C611" s="1" t="n">
        <v>46019</v>
      </c>
      <c r="D611" t="inlineStr">
        <is>
          <t>GOTLANDS LÄN</t>
        </is>
      </c>
      <c r="E611" t="inlineStr">
        <is>
          <t>GOTLAND</t>
        </is>
      </c>
      <c r="G611" t="n">
        <v>1.3</v>
      </c>
      <c r="H611" t="n">
        <v>0</v>
      </c>
      <c r="I611" t="n">
        <v>0</v>
      </c>
      <c r="J611" t="n">
        <v>0</v>
      </c>
      <c r="K611" t="n">
        <v>0</v>
      </c>
      <c r="L611" t="n">
        <v>0</v>
      </c>
      <c r="M611" t="n">
        <v>0</v>
      </c>
      <c r="N611" t="n">
        <v>0</v>
      </c>
      <c r="O611" t="n">
        <v>0</v>
      </c>
      <c r="P611" t="n">
        <v>0</v>
      </c>
      <c r="Q611" t="n">
        <v>0</v>
      </c>
      <c r="R611" s="2" t="inlineStr"/>
    </row>
    <row r="612" ht="15" customHeight="1">
      <c r="A612" t="inlineStr">
        <is>
          <t>A 13910-2025</t>
        </is>
      </c>
      <c r="B612" s="1" t="n">
        <v>45737</v>
      </c>
      <c r="C612" s="1" t="n">
        <v>46019</v>
      </c>
      <c r="D612" t="inlineStr">
        <is>
          <t>GOTLANDS LÄN</t>
        </is>
      </c>
      <c r="E612" t="inlineStr">
        <is>
          <t>GOTLAND</t>
        </is>
      </c>
      <c r="F612" t="inlineStr">
        <is>
          <t>Kommuner</t>
        </is>
      </c>
      <c r="G612" t="n">
        <v>3.2</v>
      </c>
      <c r="H612" t="n">
        <v>0</v>
      </c>
      <c r="I612" t="n">
        <v>0</v>
      </c>
      <c r="J612" t="n">
        <v>0</v>
      </c>
      <c r="K612" t="n">
        <v>0</v>
      </c>
      <c r="L612" t="n">
        <v>0</v>
      </c>
      <c r="M612" t="n">
        <v>0</v>
      </c>
      <c r="N612" t="n">
        <v>0</v>
      </c>
      <c r="O612" t="n">
        <v>0</v>
      </c>
      <c r="P612" t="n">
        <v>0</v>
      </c>
      <c r="Q612" t="n">
        <v>0</v>
      </c>
      <c r="R612" s="2" t="inlineStr"/>
    </row>
    <row r="613" ht="15" customHeight="1">
      <c r="A613" t="inlineStr">
        <is>
          <t>A 20794-2025</t>
        </is>
      </c>
      <c r="B613" s="1" t="n">
        <v>45776</v>
      </c>
      <c r="C613" s="1" t="n">
        <v>46019</v>
      </c>
      <c r="D613" t="inlineStr">
        <is>
          <t>GOTLANDS LÄN</t>
        </is>
      </c>
      <c r="E613" t="inlineStr">
        <is>
          <t>GOTLAND</t>
        </is>
      </c>
      <c r="G613" t="n">
        <v>6</v>
      </c>
      <c r="H613" t="n">
        <v>0</v>
      </c>
      <c r="I613" t="n">
        <v>0</v>
      </c>
      <c r="J613" t="n">
        <v>0</v>
      </c>
      <c r="K613" t="n">
        <v>0</v>
      </c>
      <c r="L613" t="n">
        <v>0</v>
      </c>
      <c r="M613" t="n">
        <v>0</v>
      </c>
      <c r="N613" t="n">
        <v>0</v>
      </c>
      <c r="O613" t="n">
        <v>0</v>
      </c>
      <c r="P613" t="n">
        <v>0</v>
      </c>
      <c r="Q613" t="n">
        <v>0</v>
      </c>
      <c r="R613" s="2" t="inlineStr"/>
    </row>
    <row r="614" ht="15" customHeight="1">
      <c r="A614" t="inlineStr">
        <is>
          <t>A 20805-2025</t>
        </is>
      </c>
      <c r="B614" s="1" t="n">
        <v>45776</v>
      </c>
      <c r="C614" s="1" t="n">
        <v>46019</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21389-2025</t>
        </is>
      </c>
      <c r="B615" s="1" t="n">
        <v>45782</v>
      </c>
      <c r="C615" s="1" t="n">
        <v>46019</v>
      </c>
      <c r="D615" t="inlineStr">
        <is>
          <t>GOTLANDS LÄN</t>
        </is>
      </c>
      <c r="E615" t="inlineStr">
        <is>
          <t>GOTLAND</t>
        </is>
      </c>
      <c r="G615" t="n">
        <v>4.1</v>
      </c>
      <c r="H615" t="n">
        <v>0</v>
      </c>
      <c r="I615" t="n">
        <v>0</v>
      </c>
      <c r="J615" t="n">
        <v>0</v>
      </c>
      <c r="K615" t="n">
        <v>0</v>
      </c>
      <c r="L615" t="n">
        <v>0</v>
      </c>
      <c r="M615" t="n">
        <v>0</v>
      </c>
      <c r="N615" t="n">
        <v>0</v>
      </c>
      <c r="O615" t="n">
        <v>0</v>
      </c>
      <c r="P615" t="n">
        <v>0</v>
      </c>
      <c r="Q615" t="n">
        <v>0</v>
      </c>
      <c r="R615" s="2" t="inlineStr"/>
    </row>
    <row r="616" ht="15" customHeight="1">
      <c r="A616" t="inlineStr">
        <is>
          <t>A 21651-2025</t>
        </is>
      </c>
      <c r="B616" s="1" t="n">
        <v>45783</v>
      </c>
      <c r="C616" s="1" t="n">
        <v>46019</v>
      </c>
      <c r="D616" t="inlineStr">
        <is>
          <t>GOTLANDS LÄN</t>
        </is>
      </c>
      <c r="E616" t="inlineStr">
        <is>
          <t>GOTLAND</t>
        </is>
      </c>
      <c r="G616" t="n">
        <v>4.2</v>
      </c>
      <c r="H616" t="n">
        <v>0</v>
      </c>
      <c r="I616" t="n">
        <v>0</v>
      </c>
      <c r="J616" t="n">
        <v>0</v>
      </c>
      <c r="K616" t="n">
        <v>0</v>
      </c>
      <c r="L616" t="n">
        <v>0</v>
      </c>
      <c r="M616" t="n">
        <v>0</v>
      </c>
      <c r="N616" t="n">
        <v>0</v>
      </c>
      <c r="O616" t="n">
        <v>0</v>
      </c>
      <c r="P616" t="n">
        <v>0</v>
      </c>
      <c r="Q616" t="n">
        <v>0</v>
      </c>
      <c r="R616" s="2" t="inlineStr"/>
    </row>
    <row r="617" ht="15" customHeight="1">
      <c r="A617" t="inlineStr">
        <is>
          <t>A 21420-2024</t>
        </is>
      </c>
      <c r="B617" s="1" t="n">
        <v>45441.38293981482</v>
      </c>
      <c r="C617" s="1" t="n">
        <v>46019</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10656-2024</t>
        </is>
      </c>
      <c r="B618" s="1" t="n">
        <v>45368</v>
      </c>
      <c r="C618" s="1" t="n">
        <v>46019</v>
      </c>
      <c r="D618" t="inlineStr">
        <is>
          <t>GOTLANDS LÄN</t>
        </is>
      </c>
      <c r="E618" t="inlineStr">
        <is>
          <t>GOTLAND</t>
        </is>
      </c>
      <c r="G618" t="n">
        <v>1.5</v>
      </c>
      <c r="H618" t="n">
        <v>0</v>
      </c>
      <c r="I618" t="n">
        <v>0</v>
      </c>
      <c r="J618" t="n">
        <v>0</v>
      </c>
      <c r="K618" t="n">
        <v>0</v>
      </c>
      <c r="L618" t="n">
        <v>0</v>
      </c>
      <c r="M618" t="n">
        <v>0</v>
      </c>
      <c r="N618" t="n">
        <v>0</v>
      </c>
      <c r="O618" t="n">
        <v>0</v>
      </c>
      <c r="P618" t="n">
        <v>0</v>
      </c>
      <c r="Q618" t="n">
        <v>0</v>
      </c>
      <c r="R618" s="2" t="inlineStr"/>
    </row>
    <row r="619" ht="15" customHeight="1">
      <c r="A619" t="inlineStr">
        <is>
          <t>A 57356-2023</t>
        </is>
      </c>
      <c r="B619" s="1" t="n">
        <v>45240</v>
      </c>
      <c r="C619" s="1" t="n">
        <v>46019</v>
      </c>
      <c r="D619" t="inlineStr">
        <is>
          <t>GOTLANDS LÄN</t>
        </is>
      </c>
      <c r="E619" t="inlineStr">
        <is>
          <t>GOTLAND</t>
        </is>
      </c>
      <c r="G619" t="n">
        <v>6.4</v>
      </c>
      <c r="H619" t="n">
        <v>0</v>
      </c>
      <c r="I619" t="n">
        <v>0</v>
      </c>
      <c r="J619" t="n">
        <v>0</v>
      </c>
      <c r="K619" t="n">
        <v>0</v>
      </c>
      <c r="L619" t="n">
        <v>0</v>
      </c>
      <c r="M619" t="n">
        <v>0</v>
      </c>
      <c r="N619" t="n">
        <v>0</v>
      </c>
      <c r="O619" t="n">
        <v>0</v>
      </c>
      <c r="P619" t="n">
        <v>0</v>
      </c>
      <c r="Q619" t="n">
        <v>0</v>
      </c>
      <c r="R619" s="2" t="inlineStr"/>
    </row>
    <row r="620">
      <c r="A620" t="inlineStr">
        <is>
          <t>A 28506-2023</t>
        </is>
      </c>
      <c r="B620" s="1" t="n">
        <v>45103</v>
      </c>
      <c r="C620" s="1" t="n">
        <v>46019</v>
      </c>
      <c r="D620" t="inlineStr">
        <is>
          <t>GOTLANDS LÄN</t>
        </is>
      </c>
      <c r="E620" t="inlineStr">
        <is>
          <t>GOTLAND</t>
        </is>
      </c>
      <c r="G620" t="n">
        <v>3.2</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2025-12-28T09:29:04Z</dcterms:created>
  <dcterms:modified xmlns:dcterms="http://purl.org/dc/terms/" xmlns:xsi="http://www.w3.org/2001/XMLSchema-instance" xsi:type="dcterms:W3CDTF">2025-12-28T09:29:05Z</dcterms:modified>
</cp:coreProperties>
</file>